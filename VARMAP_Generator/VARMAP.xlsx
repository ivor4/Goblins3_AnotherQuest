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ACTION_CONDS" sheetId="3" r:id="rId6"/>
    <sheet state="visible" name="ITEM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O4nqMv2n64a0RUYakQVL2lzXcD412qfUXiQwV915Za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<sst xmlns="http://schemas.openxmlformats.org/spreadsheetml/2006/main" count="1205" uniqueCount="485">
  <si>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</si>
  <si>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</si>
  <si>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</si>
  <si>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</si>
  <si>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</si>
  <si>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</si>
  <si>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</si>
  <si>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</si>
  <si>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</si>
  <si>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</si>
  <si>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</si>
  <si>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</si>
  <si>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</si>
  <si>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</si>
  <si>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</si>
  <si>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</si>
  <si>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</si>
  <si>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</si>
  <si>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</si>
  <si>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</si>
  <si>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</si>
  <si>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</si>
  <si>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</si>
  <si>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</si>
  <si>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</si>
  <si>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</si>
  <si>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</si>
  <si>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</si>
  <si>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</si>
  <si>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</si>
  <si>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</si>
  <si>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</si>
  <si>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</si>
  <si>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</si>
  <si>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</si>
  <si>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</si>
  <si>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</si>
  <si>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</si>
  <si>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</si>
  <si>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</si>
  <si>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</si>
  <si>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</si>
  <si>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</si>
  <si>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</si>
  <si>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</si>
  <si>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</si>
  <si>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</si>
  <si>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</si>
  <si>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</si>
  <si>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</si>
  <si>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</si>
  <si>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</si>
  <si>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</si>
  <si>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</si>
  <si>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</si>
  <si>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</si>
  <si>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</si>
  <si>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</si>
  <si>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</si>
  <si>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</si>
  <si>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</si>
  <si>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</si>
  <si>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</si>
  <si>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</si>
  <si>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</si>
  <si>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</si>
  <si>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</si>
  <si>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</si>
  <si>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</si>
  <si>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</si>
  <si>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</si>
  <si>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</si>
  <si>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</si>
  <si>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</si>
  <si>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</si>
  <si>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</si>
  <si>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</si>
  <si>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</si>
  <si>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</si>
  <si>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</si>
  <si>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</si>
  <si>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</si>
  <si>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</si>
  <si>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</si>
  <si>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</si>
  <si>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</si>
  <si>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</si>
  <si>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</si>
  <si>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</si>
  <si>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</si>
  <si>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</si>
  <si>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</si>
  <si>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</si>
  <si>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</si>
  <si>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</si>
  <si>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</si>
  <si>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</si>
  <si>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</si>
  <si>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</si>
  <si>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</si>
  <si>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</si>
  <si>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</si>
  <si>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</si>
  <si>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</si>
  <si>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</si>
  <si>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</si>
  <si>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</si>
  <si>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</si>
  <si>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</si>
  <si>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</si>
  <si>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</si>
  <si>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</si>
  <si>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</si>
  <si>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</si>
  <si>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</si>
  <si>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</si>
  <si>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</si>
  <si>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</si>
  <si>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</si>
  <si>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</si>
  <si>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</si>
  <si>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</si>
  <si>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</si>
  <si>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</si>
  <si>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</si>
  <si>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</si>
  <si>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</si>
  <si>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</si>
  <si>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</si>
  <si>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</si>
  <si>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</si>
  <si>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</si>
  <si>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</si>
  <si>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</si>
  <si>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</si>
  <si>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</si>
  <si>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</si>
  <si>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</si>
  <si>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</si>
  <si>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</si>
  <si>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</si>
  <si>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</si>
  <si>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</si>
  <si>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</si>
  <si>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</si>
  <si>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</si>
  <si>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</si>
  <si>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</si>
  <si>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</si>
  <si>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</si>
  <si>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</si>
  <si>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</si>
  <si>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</si>
  <si>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</si>
  <si>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</si>
  <si>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</si>
  <si>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</si>
  <si>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</si>
  <si>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</si>
  <si>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</si>
  <si>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</si>
  <si>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</si>
  <si>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</si>
  <si>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</si>
  <si>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</si>
  <si>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</si>
  <si>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</si>
  <si>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</si>
  <si>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</si>
  <si>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</si>
  <si>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</si>
  <si>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</si>
  <si>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</si>
  <si>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</si>
  <si>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</si>
  <si>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</si>
  <si>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</si>
  <si>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</si>
  <si>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</si>
  <si>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</si>
  <si>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</si>
  <si>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</si>
  <si>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</si>
  <si>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</si>
  <si>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</si>
  <si>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</si>
  <si>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</si>
  <si>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</si>
  <si>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</si>
  <si>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</si>
  <si>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</si>
  <si>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</si>
  <si>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</si>
  <si>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</si>
  <si>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</si>
  <si>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</si>
  <si>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COND_OK</t>
  </si>
  <si>
    <t>EVENT_NONE</t>
  </si>
  <si>
    <t>CHARACTER_NONE</t>
  </si>
  <si>
    <t>ITEM_NONE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</si>
  <si>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</si>
  <si>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</si>
  <si>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</si>
  <si>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</si>
  <si>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</si>
  <si>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</si>
  <si>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</si>
  <si>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</si>
  <si>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</si>
  <si>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</si>
  <si>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</si>
  <si>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</si>
  <si>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</si>
  <si>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COND_TAKE_POTION_BLUE</t>
  </si>
  <si>
    <t>CHARACTER_PARROT</t>
  </si>
  <si>
    <t>ITEM_POTION_BLUE</t>
  </si>
  <si>
    <t>EVENT_BLUE_POTION_TOOK</t>
  </si>
  <si>
    <t>COND_FOUNTAIN</t>
  </si>
  <si>
    <t>ITEM_POTION</t>
  </si>
  <si>
    <t>INTERACTION_USE</t>
  </si>
  <si>
    <t>ITEM_USE_ANIMATION_POUR</t>
  </si>
  <si>
    <t>EVENT_FOUNTAIN_FULL</t>
  </si>
  <si>
    <t>COND_FOUNTAIN2</t>
  </si>
  <si>
    <t>ITEM_USE_ANIMATION_STARE_SCREEN</t>
  </si>
  <si>
    <t>DIALOG_FOUNTAIN</t>
  </si>
  <si>
    <t>COND_TALK_MILITO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</si>
  <si>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</si>
  <si>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</si>
  <si>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</si>
  <si>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</si>
  <si>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</si>
  <si>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</si>
  <si>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</si>
  <si>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</si>
  <si>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</si>
  <si>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</si>
  <si>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</si>
  <si>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UNCHAIN_RED_POTION_TOOK</t>
  </si>
  <si>
    <t>UNCHAIN_TYPE_DESPAWN</t>
  </si>
  <si>
    <t>SPRITE_NONE</t>
  </si>
  <si>
    <t>MEMENTO_NONE</t>
  </si>
  <si>
    <t>UNCHAIN_RED_POTION_TOOK_2</t>
  </si>
  <si>
    <t>UNCHAIN_TYPE_EARN_ITEM</t>
  </si>
  <si>
    <t>UNCHAIN_RED_POTION_TOOK_3</t>
  </si>
  <si>
    <t>UNCHAIN_TYPE_MEMENTO</t>
  </si>
  <si>
    <t>MEMENTO_RED_POTION_1</t>
  </si>
  <si>
    <t>UNCHAIN_BLUE_POTION_TOOK</t>
  </si>
  <si>
    <t>UNCHAIN_BLUE_POTION_TOOK_2</t>
  </si>
  <si>
    <t>UNCHAIN_FOUNTAIN_FULL</t>
  </si>
  <si>
    <t>UNCHAIN_TYPE_SET_SPRITE</t>
  </si>
  <si>
    <t>ITEM_FOUNTAIN</t>
  </si>
  <si>
    <t>SPRITE_FOUNTAIN_FULL</t>
  </si>
  <si>
    <t>UNCHAIN_FOUNTAIN_FULL_2</t>
  </si>
  <si>
    <t>UNCHAIN_TYPE_LOSE_ITEM</t>
  </si>
  <si>
    <t>UNCHAIN_FOUNTAIN_FULL_3</t>
  </si>
  <si>
    <t>MEMENTO_RED_POTION_2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</si>
  <si>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</si>
  <si>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</si>
  <si>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</si>
  <si>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</si>
  <si>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</si>
  <si>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</si>
  <si>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</si>
  <si>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</si>
  <si>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</si>
  <si>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</si>
  <si>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</si>
  <si>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</si>
  <si>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</si>
  <si>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</si>
  <si>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</si>
  <si>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</si>
  <si>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</si>
  <si>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</si>
  <si>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NAME_ITEM_POTION</t>
  </si>
  <si>
    <t>ITEM_FAMILY_TYPE_OBJECT</t>
  </si>
  <si>
    <t>COND_OBSERVE_POTION, COND_TAKE_POTION</t>
  </si>
  <si>
    <t>NAME_ITEM_BLUE_POTION</t>
  </si>
  <si>
    <t>SPRITE_POTION_BLUE</t>
  </si>
  <si>
    <t>NAME_ITEM_FOUNTAIN</t>
  </si>
  <si>
    <t>SPRITE_FOUNTAIN, SPRITE_FOUNTAIN_FULL</t>
  </si>
  <si>
    <t>SPRITE_FOUNTAIN</t>
  </si>
  <si>
    <t>COND_FOUNTAIN, COND_FOUNTAIN2</t>
  </si>
  <si>
    <t>ITEM_NPC_MILITO</t>
  </si>
  <si>
    <t>NAME_NPC_MILITO</t>
  </si>
  <si>
    <t>ITEM_FAMILY_TYPE_NPC</t>
  </si>
  <si>
    <t>SPRITE_NPC_MILITO</t>
  </si>
  <si>
    <t>ITEM_LAST</t>
  </si>
  <si>
    <t>NAME_NPC_LAST</t>
  </si>
  <si>
    <t>SPRITE_LAST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</si>
  <si>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</si>
  <si>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</si>
  <si>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</si>
  <si>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</si>
  <si>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</si>
  <si>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</si>
  <si>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</si>
  <si>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</si>
  <si>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</si>
  <si>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</si>
  <si>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</si>
  <si>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</si>
  <si>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</si>
  <si>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</si>
  <si>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</si>
  <si>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</si>
  <si>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</si>
  <si>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</si>
  <si>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</si>
  <si>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</si>
  <si>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</si>
  <si>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</si>
  <si>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</si>
  <si>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</si>
  <si>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</si>
  <si>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</si>
  <si>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</si>
  <si>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</si>
  <si>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</si>
  <si>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</si>
  <si>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DIALOG_OPTION_ASK_FOUNTAIN_1, DIALOG_OPTION_ASK_FOUNTAIN_2, DIALOG_OPTION_ASK_FOUNTAIN_3, DIALOG_OPTION_ASK_FOUNTAIN_4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</si>
  <si>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</si>
  <si>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</si>
  <si>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</si>
  <si>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</si>
  <si>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</si>
  <si>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</si>
  <si>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DIALOG_OPTION_ASK_FOUNTAIN_1</t>
  </si>
  <si>
    <t>PHRASE_ASK_FOUNTAIN1_1, PHRASE_ASK_FOUNTAIN1_2</t>
  </si>
  <si>
    <t>DIALOG_OPTION_ASK_FOUNTAIN_2</t>
  </si>
  <si>
    <t>PHRASE_ASK_FOUNTAIN2_1</t>
  </si>
  <si>
    <t>DIALOG_OPTION_ASK_FOUNTAIN_3</t>
  </si>
  <si>
    <t>PHRASE_ASK_FOUNTAIN3_1</t>
  </si>
  <si>
    <t>DIALOG_OPTION_ASK_FOUNTAIN_4</t>
  </si>
  <si>
    <t>(NOT)EVENT_FOUNTAIN_FULL</t>
  </si>
  <si>
    <t>PHRASE_ASK_FOUNTAIN4_1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</si>
  <si>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</si>
  <si>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</si>
  <si>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</si>
  <si>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</si>
  <si>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</si>
  <si>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</si>
  <si>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</si>
  <si>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</si>
  <si>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</si>
  <si>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</si>
  <si>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</si>
  <si>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</si>
  <si>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</si>
  <si>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</si>
  <si>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</si>
  <si>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</si>
  <si>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</si>
  <si>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</si>
  <si>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</si>
  <si>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</si>
  <si>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</si>
  <si>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</si>
  <si>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</si>
  <si>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</si>
  <si>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</si>
  <si>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</si>
  <si>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</si>
  <si>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</si>
  <si>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</si>
  <si>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</si>
  <si>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</si>
  <si>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</si>
  <si>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</si>
  <si>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</si>
  <si>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</si>
  <si>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</si>
  <si>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</si>
  <si>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</si>
  <si>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</si>
  <si>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</si>
  <si>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</si>
  <si>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</si>
  <si>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</si>
  <si>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</si>
  <si>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</si>
  <si>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</si>
  <si>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</si>
  <si>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</si>
  <si>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</si>
  <si>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PHRASE_ASK_FOUNTAIN1_1</t>
  </si>
  <si>
    <t>Are you the fountain?</t>
  </si>
  <si>
    <t>¿Eres tú la fuente?</t>
  </si>
  <si>
    <t>PHRASE_ASK_FOUNTAIN1_2</t>
  </si>
  <si>
    <t>Sure?</t>
  </si>
  <si>
    <t>¿De verdad?</t>
  </si>
  <si>
    <t>Are you kidding me?</t>
  </si>
  <si>
    <t>¿Me estás troleando?</t>
  </si>
  <si>
    <t>Why are you red?</t>
  </si>
  <si>
    <t>¿Por qué estás roja?</t>
  </si>
  <si>
    <t>Why are you not red yet?</t>
  </si>
  <si>
    <t>¿Por qué aún no estás roja?</t>
  </si>
  <si>
    <t>It looks like a potion with red liquid</t>
  </si>
  <si>
    <t>Parece una poción con líquido rojo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</si>
  <si>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</si>
  <si>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</si>
  <si>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</si>
  <si>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</si>
  <si>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PHRASE_MEMENTO_POTION_1</t>
  </si>
  <si>
    <t>A potion with unknown effects. What will it serve for?</t>
  </si>
  <si>
    <t>Una poción con efectos desconocidos. Para qué servirá?</t>
  </si>
  <si>
    <t>PHRASE_MEMENTO_POTION_2</t>
  </si>
  <si>
    <t>Finally I knew it served to fill fountain</t>
  </si>
  <si>
    <t>Finalmente descurí que servía para llenar la fuente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</si>
  <si>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</si>
  <si>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</si>
  <si>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</si>
  <si>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</si>
  <si>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</si>
  <si>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</si>
  <si>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</si>
  <si>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</si>
  <si>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</si>
  <si>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</si>
  <si>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</si>
  <si>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</si>
  <si>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</si>
  <si>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</si>
  <si>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</si>
  <si>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</si>
  <si>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INTERACTION_ID</t>
  </si>
  <si>
    <t>INTERACTION_MOVE</t>
  </si>
  <si>
    <t>UNCHAIN_TYPE_ID</t>
  </si>
  <si>
    <t>UNCHAIN_TYPE_SPAWN</t>
  </si>
  <si>
    <t>UNCHAIN_TYPE_EVENT</t>
  </si>
  <si>
    <t>UNCHAIN_TYPE_NOTIF</t>
  </si>
  <si>
    <t>DIALOG_ANIMATION_ID</t>
  </si>
  <si>
    <t>ITEM_FAMILY_TYPE_ID</t>
  </si>
  <si>
    <t>ITEM_FAMILY_TYPE_DOOR</t>
  </si>
  <si>
    <t>EVENT_ID</t>
  </si>
  <si>
    <t>EVENT_LAST</t>
  </si>
  <si>
    <t>MEMENTO_PARENT_ID</t>
  </si>
  <si>
    <t>Sprite</t>
  </si>
  <si>
    <t>Children</t>
  </si>
  <si>
    <t>MEMENTO_PARENT_NONE</t>
  </si>
  <si>
    <t>MEMENTO_PARENT_RED_POTION</t>
  </si>
  <si>
    <t>MEMENTO_PARENT_LAST</t>
  </si>
  <si>
    <t>MEMENTO_ID</t>
  </si>
  <si>
    <t>Parent</t>
  </si>
  <si>
    <t>Phrase</t>
  </si>
  <si>
    <t>Initial</t>
  </si>
  <si>
    <t>Final</t>
  </si>
  <si>
    <t>MEMENTO_LAST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</si>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</sst>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4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8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1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J9" displayName="Table_Action_Conditions" name="Table_Action_Conditions" id="3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4.xml><?xml version="1.0" encoding="utf-8"?>
<table xmlns="http://schemas.openxmlformats.org/spreadsheetml/2006/main" ref="A11:J19" displayName="Table_Unchain_Conditions" name="Table_Unchain_Conditions" id="4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5.xml><?xml version="1.0" encoding="utf-8"?>
<table xmlns="http://schemas.openxmlformats.org/spreadsheetml/2006/main" ref="A1:I10" displayName="Table_Items" name="Table_Items" id="5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7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5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6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8:E11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3:F17" displayName="Table_Memento" name="Table_Memento" id="20">
  <tableColumns count="6">
    <tableColumn name="N" id="1"/>
    <tableColumn name="MEMENTO_ID" id="2"/>
    <tableColumn name="Parent" id="3"/>
    <tableColumn name="Phrase" id="4"/>
    <tableColumn name="Initial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9:B42" displayName="Table_EventsCombi" name="Table_EventsCombi" id="21">
  <tableColumns count="2">
    <tableColumn name="N" id="1"/>
    <tableColumn name="EVENT_COMBI_ID" id="2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1:D28" displayName="Table_TODO" name="Table_TODO" id="2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3.xml><?xml version="1.0" encoding="utf-8"?>
<table xmlns="http://schemas.openxmlformats.org/spreadsheetml/2006/main" ref="A1:B128" displayName="Table_PickableSprites" name="Table_PickableSprites" id="23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4.xml><?xml version="1.0" encoding="utf-8"?>
<table xmlns="http://schemas.openxmlformats.org/spreadsheetml/2006/main" ref="D1:E128" displayName="Table_PickableNames" name="Table_PickableNames" id="24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9" Type="http://schemas.openxmlformats.org/officeDocument/2006/relationships/table" Target="../tables/table21.xml"/><Relationship Id="rId6" Type="http://schemas.openxmlformats.org/officeDocument/2006/relationships/table" Target="../tables/table18.xml"/><Relationship Id="rId7" Type="http://schemas.openxmlformats.org/officeDocument/2006/relationships/table" Target="../tables/table19.xml"/><Relationship Id="rId8" Type="http://schemas.openxmlformats.org/officeDocument/2006/relationships/table" Target="../tables/table2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3.xml"/><Relationship Id="rId5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8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36</v>
      </c>
      <c r="D7" s="5">
        <v>2.0</v>
      </c>
      <c r="E7" s="7">
        <f>COUNTIF(Table_Items[PICKABLE],"=TRUE")</f>
        <v>2</v>
      </c>
      <c r="F7" s="2" t="s">
        <v>37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30</v>
      </c>
      <c r="N7" s="5" t="s">
        <v>21</v>
      </c>
      <c r="O7" s="5" t="s">
        <v>23</v>
      </c>
      <c r="P7" s="5" t="s">
        <v>21</v>
      </c>
    </row>
    <row r="8">
      <c r="A8" s="2">
        <f t="shared" si="1"/>
        <v>6</v>
      </c>
      <c r="B8" s="2" t="s">
        <v>38</v>
      </c>
      <c r="C8" s="2" t="s">
        <v>39</v>
      </c>
      <c r="D8" s="5">
        <v>2.0</v>
      </c>
      <c r="E8" s="7">
        <f>COUNT(Table_Characters[N])-1</f>
        <v>3</v>
      </c>
      <c r="F8" s="2">
        <v>-1.0</v>
      </c>
      <c r="G8" s="5" t="s">
        <v>19</v>
      </c>
      <c r="H8" s="3"/>
      <c r="I8" s="5" t="s">
        <v>21</v>
      </c>
      <c r="J8" s="5" t="s">
        <v>21</v>
      </c>
      <c r="K8" s="5" t="s">
        <v>23</v>
      </c>
      <c r="L8" s="5" t="s">
        <v>21</v>
      </c>
      <c r="M8" s="5" t="s">
        <v>21</v>
      </c>
      <c r="N8" s="5" t="s">
        <v>22</v>
      </c>
      <c r="O8" s="5" t="s">
        <v>21</v>
      </c>
      <c r="P8" s="5" t="s">
        <v>21</v>
      </c>
    </row>
    <row r="9">
      <c r="A9" s="2">
        <f t="shared" si="1"/>
        <v>7</v>
      </c>
      <c r="B9" s="2" t="s">
        <v>40</v>
      </c>
      <c r="C9" s="2" t="s">
        <v>41</v>
      </c>
      <c r="D9" s="5">
        <v>0.0</v>
      </c>
      <c r="E9" s="2">
        <v>0.0</v>
      </c>
      <c r="F9" s="2" t="s">
        <v>42</v>
      </c>
      <c r="G9" s="5" t="s">
        <v>19</v>
      </c>
      <c r="H9" s="3"/>
      <c r="I9" s="5" t="s">
        <v>21</v>
      </c>
      <c r="J9" s="5" t="s">
        <v>21</v>
      </c>
      <c r="K9" s="5" t="s">
        <v>21</v>
      </c>
      <c r="L9" s="5" t="s">
        <v>23</v>
      </c>
      <c r="M9" s="5" t="s">
        <v>21</v>
      </c>
      <c r="N9" s="5" t="s">
        <v>21</v>
      </c>
      <c r="O9" s="5" t="s">
        <v>21</v>
      </c>
      <c r="P9" s="5" t="s">
        <v>21</v>
      </c>
    </row>
    <row r="10">
      <c r="A10" s="2">
        <f t="shared" si="1"/>
        <v>8</v>
      </c>
      <c r="B10" s="3" t="s">
        <v>43</v>
      </c>
      <c r="C10" s="3" t="s">
        <v>44</v>
      </c>
      <c r="D10" s="4">
        <v>0.0</v>
      </c>
      <c r="E10" s="3">
        <v>0.0</v>
      </c>
      <c r="F10" s="3" t="s">
        <v>45</v>
      </c>
      <c r="G10" s="4" t="s">
        <v>0</v>
      </c>
      <c r="H10" s="3" t="s">
        <v>20</v>
      </c>
      <c r="I10" s="4" t="s">
        <v>23</v>
      </c>
      <c r="J10" s="5" t="s">
        <v>21</v>
      </c>
      <c r="K10" s="4" t="s">
        <v>30</v>
      </c>
      <c r="L10" s="4" t="s">
        <v>30</v>
      </c>
      <c r="M10" s="4" t="s">
        <v>30</v>
      </c>
      <c r="N10" s="4" t="s">
        <v>30</v>
      </c>
      <c r="O10" s="5" t="s">
        <v>30</v>
      </c>
      <c r="P10" s="5" t="s">
        <v>21</v>
      </c>
    </row>
    <row r="11">
      <c r="A11" s="2">
        <f t="shared" si="1"/>
        <v>9</v>
      </c>
      <c r="B11" s="3" t="s">
        <v>46</v>
      </c>
      <c r="C11" s="3" t="s">
        <v>47</v>
      </c>
      <c r="D11" s="4">
        <v>0.0</v>
      </c>
      <c r="E11" s="3">
        <v>0.0</v>
      </c>
      <c r="F11" s="3" t="s">
        <v>48</v>
      </c>
      <c r="G11" s="4" t="s">
        <v>0</v>
      </c>
      <c r="H11" s="3" t="s">
        <v>20</v>
      </c>
      <c r="I11" s="4" t="s">
        <v>22</v>
      </c>
      <c r="J11" s="5" t="s">
        <v>23</v>
      </c>
      <c r="K11" s="5" t="s">
        <v>22</v>
      </c>
      <c r="L11" s="5" t="s">
        <v>22</v>
      </c>
      <c r="M11" s="4" t="s">
        <v>22</v>
      </c>
      <c r="N11" s="5" t="s">
        <v>21</v>
      </c>
      <c r="O11" s="5" t="s">
        <v>21</v>
      </c>
      <c r="P11" s="5" t="s">
        <v>21</v>
      </c>
    </row>
    <row r="12">
      <c r="A12" s="2">
        <f t="shared" si="1"/>
        <v>10</v>
      </c>
      <c r="B12" s="3" t="s">
        <v>49</v>
      </c>
      <c r="C12" s="3" t="s">
        <v>50</v>
      </c>
      <c r="D12" s="4">
        <v>0.0</v>
      </c>
      <c r="E12" s="3">
        <v>0.0</v>
      </c>
      <c r="F12" s="3" t="s">
        <v>51</v>
      </c>
      <c r="G12" s="4" t="s">
        <v>0</v>
      </c>
      <c r="H12" s="3" t="s">
        <v>20</v>
      </c>
      <c r="I12" s="5" t="s">
        <v>21</v>
      </c>
      <c r="J12" s="4" t="s">
        <v>23</v>
      </c>
      <c r="K12" s="5" t="s">
        <v>22</v>
      </c>
      <c r="L12" s="4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2" t="s">
        <v>52</v>
      </c>
      <c r="C13" s="2" t="s">
        <v>36</v>
      </c>
      <c r="D13" s="5">
        <v>0.0</v>
      </c>
      <c r="E13" s="2">
        <v>0.0</v>
      </c>
      <c r="F13" s="2" t="s">
        <v>37</v>
      </c>
      <c r="G13" s="5" t="s">
        <v>0</v>
      </c>
      <c r="H13" s="8"/>
      <c r="I13" s="5" t="s">
        <v>21</v>
      </c>
      <c r="J13" s="5" t="s">
        <v>21</v>
      </c>
      <c r="K13" s="5" t="s">
        <v>23</v>
      </c>
      <c r="L13" s="5" t="s">
        <v>21</v>
      </c>
      <c r="M13" s="5" t="s">
        <v>22</v>
      </c>
      <c r="N13" s="5" t="s">
        <v>30</v>
      </c>
      <c r="O13" s="5" t="s">
        <v>22</v>
      </c>
      <c r="P13" s="5" t="s">
        <v>21</v>
      </c>
    </row>
    <row r="14" ht="15.75" customHeight="1">
      <c r="A14" s="2">
        <f t="shared" si="1"/>
        <v>12</v>
      </c>
      <c r="B14" s="2" t="s">
        <v>53</v>
      </c>
      <c r="C14" s="2" t="s">
        <v>54</v>
      </c>
      <c r="D14" s="5">
        <v>1.0</v>
      </c>
      <c r="E14" s="2">
        <v>0.0</v>
      </c>
      <c r="F14" s="2" t="s">
        <v>55</v>
      </c>
      <c r="G14" s="5" t="s">
        <v>0</v>
      </c>
      <c r="H14" s="8"/>
      <c r="I14" s="5" t="s">
        <v>21</v>
      </c>
      <c r="J14" s="5" t="s">
        <v>21</v>
      </c>
      <c r="K14" s="5" t="s">
        <v>22</v>
      </c>
      <c r="L14" s="5" t="s">
        <v>30</v>
      </c>
      <c r="M14" s="5" t="s">
        <v>23</v>
      </c>
      <c r="N14" s="5" t="s">
        <v>21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56</v>
      </c>
      <c r="C15" s="2" t="s">
        <v>54</v>
      </c>
      <c r="D15" s="5">
        <v>0.0</v>
      </c>
      <c r="E15" s="2">
        <v>0.0</v>
      </c>
      <c r="F15" s="2" t="s">
        <v>55</v>
      </c>
      <c r="G15" s="5" t="s">
        <v>0</v>
      </c>
      <c r="H15" s="8"/>
      <c r="I15" s="5" t="s">
        <v>21</v>
      </c>
      <c r="J15" s="5" t="s">
        <v>21</v>
      </c>
      <c r="K15" s="5" t="s">
        <v>23</v>
      </c>
      <c r="L15" s="5" t="s">
        <v>30</v>
      </c>
      <c r="M15" s="5" t="s">
        <v>21</v>
      </c>
      <c r="N15" s="5" t="s">
        <v>21</v>
      </c>
      <c r="O15" s="5" t="s">
        <v>21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58</v>
      </c>
      <c r="D16" s="5">
        <v>0.0</v>
      </c>
      <c r="E16" s="2">
        <v>0.0</v>
      </c>
      <c r="F16" s="2" t="s">
        <v>59</v>
      </c>
      <c r="G16" s="5" t="s">
        <v>0</v>
      </c>
      <c r="H16" s="8"/>
      <c r="I16" s="5" t="s">
        <v>21</v>
      </c>
      <c r="J16" s="5" t="s">
        <v>21</v>
      </c>
      <c r="K16" s="5" t="s">
        <v>22</v>
      </c>
      <c r="L16" s="5" t="s">
        <v>30</v>
      </c>
      <c r="M16" s="5" t="s">
        <v>23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60</v>
      </c>
      <c r="C17" s="2" t="s">
        <v>61</v>
      </c>
      <c r="D17" s="5">
        <v>0.0</v>
      </c>
      <c r="E17" s="2">
        <v>0.0</v>
      </c>
      <c r="F17" s="9" t="s">
        <v>62</v>
      </c>
      <c r="G17" s="5" t="s">
        <v>0</v>
      </c>
      <c r="H17" s="8"/>
      <c r="I17" s="5" t="s">
        <v>22</v>
      </c>
      <c r="J17" s="5" t="s">
        <v>21</v>
      </c>
      <c r="K17" s="5" t="s">
        <v>22</v>
      </c>
      <c r="L17" s="5" t="s">
        <v>21</v>
      </c>
      <c r="M17" s="5" t="s">
        <v>21</v>
      </c>
      <c r="N17" s="5" t="s">
        <v>21</v>
      </c>
      <c r="O17" s="5" t="s">
        <v>21</v>
      </c>
      <c r="P17" s="5" t="s">
        <v>23</v>
      </c>
    </row>
    <row r="18" ht="15.75" customHeight="1">
      <c r="A18" s="2">
        <f t="shared" si="1"/>
        <v>16</v>
      </c>
      <c r="B18" s="2" t="s">
        <v>63</v>
      </c>
      <c r="C18" s="2" t="s">
        <v>61</v>
      </c>
      <c r="D18" s="5">
        <v>0.0</v>
      </c>
      <c r="E18" s="2">
        <v>0.0</v>
      </c>
      <c r="F18" s="9" t="s">
        <v>62</v>
      </c>
      <c r="G18" s="5" t="s">
        <v>0</v>
      </c>
      <c r="H18" s="8"/>
      <c r="I18" s="5" t="s">
        <v>23</v>
      </c>
      <c r="J18" s="5" t="s">
        <v>21</v>
      </c>
      <c r="K18" s="5" t="s">
        <v>21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>
      <c r="I25" s="10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dataValidations>
    <dataValidation type="list" allowBlank="1" showErrorMessage="1" sqref="G2:G18">
      <formula1>"N,Y"</formula1>
    </dataValidation>
    <dataValidation type="list" allowBlank="1" showErrorMessage="1" sqref="D2:D18">
      <formula1>"0,1,2"</formula1>
    </dataValidation>
    <dataValidation type="list" allowBlank="1" showErrorMessage="1" sqref="I2:P18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64</v>
      </c>
      <c r="C1" s="1" t="s">
        <v>65</v>
      </c>
      <c r="D1" s="1" t="s">
        <v>66</v>
      </c>
      <c r="E1" s="11" t="s">
        <v>67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1" si="1">ROW()-ROW($A$2)</f>
        <v>0</v>
      </c>
      <c r="B2" s="3" t="s">
        <v>68</v>
      </c>
      <c r="C2" s="3" t="s">
        <v>69</v>
      </c>
      <c r="D2" s="3" t="s">
        <v>70</v>
      </c>
      <c r="E2" s="2" t="s">
        <v>71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72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73</v>
      </c>
      <c r="C3" s="2" t="s">
        <v>74</v>
      </c>
      <c r="D3" s="2" t="s">
        <v>75</v>
      </c>
      <c r="E3" s="2" t="s">
        <v>76</v>
      </c>
      <c r="F3" s="3"/>
      <c r="G3" s="5" t="s">
        <v>23</v>
      </c>
      <c r="H3" s="5" t="s">
        <v>21</v>
      </c>
      <c r="I3" s="5" t="s">
        <v>72</v>
      </c>
      <c r="J3" s="5" t="s">
        <v>21</v>
      </c>
      <c r="K3" s="5" t="s">
        <v>72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77</v>
      </c>
      <c r="C4" s="2" t="s">
        <v>78</v>
      </c>
      <c r="D4" s="2" t="s">
        <v>79</v>
      </c>
      <c r="E4" s="2" t="s">
        <v>80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72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81</v>
      </c>
      <c r="C5" s="3" t="s">
        <v>82</v>
      </c>
      <c r="D5" s="3" t="s">
        <v>83</v>
      </c>
      <c r="E5" s="2" t="s">
        <v>84</v>
      </c>
      <c r="F5" s="3" t="s">
        <v>20</v>
      </c>
      <c r="G5" s="4" t="s">
        <v>23</v>
      </c>
      <c r="H5" s="5" t="s">
        <v>21</v>
      </c>
      <c r="I5" s="4" t="s">
        <v>72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85</v>
      </c>
      <c r="C6" s="3" t="s">
        <v>86</v>
      </c>
      <c r="D6" s="3" t="s">
        <v>87</v>
      </c>
      <c r="E6" s="2" t="s">
        <v>88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72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89</v>
      </c>
      <c r="C7" s="3" t="s">
        <v>90</v>
      </c>
      <c r="D7" s="3" t="s">
        <v>91</v>
      </c>
      <c r="E7" s="2" t="s">
        <v>92</v>
      </c>
      <c r="F7" s="3" t="s">
        <v>20</v>
      </c>
      <c r="G7" s="4" t="s">
        <v>23</v>
      </c>
      <c r="H7" s="5" t="s">
        <v>72</v>
      </c>
      <c r="I7" s="4" t="s">
        <v>72</v>
      </c>
      <c r="J7" s="5" t="s">
        <v>72</v>
      </c>
      <c r="K7" s="5" t="s">
        <v>72</v>
      </c>
      <c r="L7" s="5" t="s">
        <v>72</v>
      </c>
      <c r="M7" s="5" t="s">
        <v>72</v>
      </c>
      <c r="N7" s="5" t="s">
        <v>72</v>
      </c>
    </row>
    <row r="8">
      <c r="A8" s="12">
        <f t="shared" si="1"/>
        <v>6</v>
      </c>
      <c r="B8" s="2" t="s">
        <v>93</v>
      </c>
      <c r="C8" s="2" t="s">
        <v>94</v>
      </c>
      <c r="D8" s="2" t="s">
        <v>95</v>
      </c>
      <c r="E8" s="2" t="s">
        <v>96</v>
      </c>
      <c r="F8" s="3"/>
      <c r="G8" s="5" t="s">
        <v>23</v>
      </c>
      <c r="H8" s="5" t="s">
        <v>72</v>
      </c>
      <c r="I8" s="5" t="s">
        <v>72</v>
      </c>
      <c r="J8" s="5" t="s">
        <v>72</v>
      </c>
      <c r="K8" s="5" t="s">
        <v>72</v>
      </c>
      <c r="L8" s="5" t="s">
        <v>72</v>
      </c>
      <c r="M8" s="5" t="s">
        <v>72</v>
      </c>
      <c r="N8" s="5" t="s">
        <v>72</v>
      </c>
    </row>
    <row r="9">
      <c r="A9" s="12">
        <f t="shared" si="1"/>
        <v>7</v>
      </c>
      <c r="B9" s="2" t="s">
        <v>97</v>
      </c>
      <c r="C9" s="2" t="s">
        <v>98</v>
      </c>
      <c r="D9" s="2" t="s">
        <v>99</v>
      </c>
      <c r="E9" s="2" t="s">
        <v>100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72</v>
      </c>
      <c r="M9" s="5" t="s">
        <v>72</v>
      </c>
      <c r="N9" s="5" t="s">
        <v>21</v>
      </c>
    </row>
    <row r="10">
      <c r="A10" s="12">
        <f t="shared" si="1"/>
        <v>8</v>
      </c>
      <c r="B10" s="3" t="s">
        <v>101</v>
      </c>
      <c r="C10" s="2" t="s">
        <v>102</v>
      </c>
      <c r="D10" s="3" t="s">
        <v>103</v>
      </c>
      <c r="E10" s="2" t="s">
        <v>104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72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105</v>
      </c>
      <c r="C11" s="2" t="s">
        <v>106</v>
      </c>
      <c r="D11" s="2" t="s">
        <v>107</v>
      </c>
      <c r="E11" s="2" t="s">
        <v>108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109</v>
      </c>
      <c r="C12" s="2" t="s">
        <v>110</v>
      </c>
      <c r="D12" s="2" t="s">
        <v>111</v>
      </c>
      <c r="E12" s="2" t="s">
        <v>112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72</v>
      </c>
      <c r="N12" s="5" t="s">
        <v>21</v>
      </c>
    </row>
    <row r="13">
      <c r="A13" s="12">
        <f t="shared" si="1"/>
        <v>11</v>
      </c>
      <c r="B13" s="2" t="s">
        <v>113</v>
      </c>
      <c r="C13" s="2" t="s">
        <v>114</v>
      </c>
      <c r="D13" s="2" t="s">
        <v>115</v>
      </c>
      <c r="E13" s="2" t="s">
        <v>116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72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117</v>
      </c>
      <c r="C14" s="2" t="s">
        <v>118</v>
      </c>
      <c r="D14" s="2" t="s">
        <v>119</v>
      </c>
      <c r="E14" s="2" t="s">
        <v>120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72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121</v>
      </c>
      <c r="C15" s="2" t="s">
        <v>122</v>
      </c>
      <c r="D15" s="2" t="s">
        <v>123</v>
      </c>
      <c r="E15" s="2" t="s">
        <v>124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72</v>
      </c>
      <c r="L15" s="5" t="s">
        <v>21</v>
      </c>
      <c r="M15" s="5" t="s">
        <v>72</v>
      </c>
      <c r="N15" s="5" t="s">
        <v>21</v>
      </c>
    </row>
    <row r="16">
      <c r="A16" s="12">
        <f t="shared" si="1"/>
        <v>14</v>
      </c>
      <c r="B16" s="2" t="s">
        <v>125</v>
      </c>
      <c r="C16" s="2" t="s">
        <v>126</v>
      </c>
      <c r="D16" s="2" t="s">
        <v>127</v>
      </c>
      <c r="E16" s="2" t="s">
        <v>128</v>
      </c>
      <c r="F16" s="8"/>
      <c r="G16" s="5" t="s">
        <v>21</v>
      </c>
      <c r="H16" s="5" t="s">
        <v>21</v>
      </c>
      <c r="I16" s="5" t="s">
        <v>23</v>
      </c>
      <c r="J16" s="5" t="s">
        <v>72</v>
      </c>
      <c r="K16" s="5" t="s">
        <v>21</v>
      </c>
      <c r="L16" s="5" t="s">
        <v>72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129</v>
      </c>
      <c r="C17" s="2" t="s">
        <v>130</v>
      </c>
      <c r="D17" s="2" t="s">
        <v>131</v>
      </c>
      <c r="E17" s="2" t="s">
        <v>132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72</v>
      </c>
      <c r="M17" s="5" t="s">
        <v>72</v>
      </c>
      <c r="N17" s="5" t="s">
        <v>21</v>
      </c>
    </row>
    <row r="18">
      <c r="A18" s="12">
        <f t="shared" si="1"/>
        <v>16</v>
      </c>
      <c r="B18" s="13" t="s">
        <v>133</v>
      </c>
      <c r="C18" s="13" t="s">
        <v>134</v>
      </c>
      <c r="D18" s="13" t="s">
        <v>135</v>
      </c>
      <c r="E18" s="13" t="s">
        <v>136</v>
      </c>
      <c r="F18" s="14"/>
      <c r="G18" s="15" t="s">
        <v>21</v>
      </c>
      <c r="H18" s="15" t="s">
        <v>21</v>
      </c>
      <c r="I18" s="15" t="s">
        <v>72</v>
      </c>
      <c r="J18" s="15" t="s">
        <v>21</v>
      </c>
      <c r="K18" s="15" t="s">
        <v>72</v>
      </c>
      <c r="L18" s="15" t="s">
        <v>72</v>
      </c>
      <c r="M18" s="15" t="s">
        <v>72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137</v>
      </c>
      <c r="C19" s="2" t="s">
        <v>138</v>
      </c>
      <c r="D19" s="2" t="s">
        <v>139</v>
      </c>
      <c r="E19" s="2" t="s">
        <v>140</v>
      </c>
      <c r="F19" s="8"/>
      <c r="G19" s="5" t="s">
        <v>21</v>
      </c>
      <c r="H19" s="5" t="s">
        <v>21</v>
      </c>
      <c r="I19" s="5" t="s">
        <v>72</v>
      </c>
      <c r="J19" s="5" t="s">
        <v>21</v>
      </c>
      <c r="K19" s="5" t="s">
        <v>72</v>
      </c>
      <c r="L19" s="5" t="s">
        <v>72</v>
      </c>
      <c r="M19" s="5" t="s">
        <v>72</v>
      </c>
      <c r="N19" s="5" t="s">
        <v>23</v>
      </c>
    </row>
    <row r="20">
      <c r="A20" s="12">
        <f t="shared" si="1"/>
        <v>18</v>
      </c>
      <c r="B20" s="13" t="s">
        <v>141</v>
      </c>
      <c r="C20" s="13" t="s">
        <v>142</v>
      </c>
      <c r="D20" s="13" t="s">
        <v>143</v>
      </c>
      <c r="E20" s="13" t="s">
        <v>144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72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145</v>
      </c>
      <c r="C21" s="13" t="s">
        <v>146</v>
      </c>
      <c r="D21" s="13" t="s">
        <v>147</v>
      </c>
      <c r="E21" s="13" t="s">
        <v>148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72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149</v>
      </c>
      <c r="C22" s="13" t="s">
        <v>150</v>
      </c>
      <c r="D22" s="13" t="s">
        <v>151</v>
      </c>
      <c r="E22" s="13" t="s">
        <v>152</v>
      </c>
      <c r="F22" s="14"/>
      <c r="G22" s="15" t="s">
        <v>21</v>
      </c>
      <c r="H22" s="15" t="s">
        <v>21</v>
      </c>
      <c r="I22" s="15" t="s">
        <v>72</v>
      </c>
      <c r="J22" s="15" t="s">
        <v>21</v>
      </c>
      <c r="K22" s="15" t="s">
        <v>21</v>
      </c>
      <c r="L22" s="15" t="s">
        <v>23</v>
      </c>
      <c r="M22" s="15" t="s">
        <v>21</v>
      </c>
      <c r="N22" s="15" t="s">
        <v>21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153</v>
      </c>
      <c r="C23" s="13" t="s">
        <v>154</v>
      </c>
      <c r="D23" s="13" t="s">
        <v>155</v>
      </c>
      <c r="E23" s="13" t="s">
        <v>156</v>
      </c>
      <c r="F23" s="14"/>
      <c r="G23" s="15" t="s">
        <v>21</v>
      </c>
      <c r="H23" s="15" t="s">
        <v>21</v>
      </c>
      <c r="I23" s="15" t="s">
        <v>21</v>
      </c>
      <c r="J23" s="15" t="s">
        <v>21</v>
      </c>
      <c r="K23" s="15" t="s">
        <v>21</v>
      </c>
      <c r="L23" s="15" t="s">
        <v>21</v>
      </c>
      <c r="M23" s="15" t="s">
        <v>23</v>
      </c>
      <c r="N23" s="15" t="s">
        <v>72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157</v>
      </c>
      <c r="C24" s="13" t="s">
        <v>158</v>
      </c>
      <c r="D24" s="13" t="s">
        <v>159</v>
      </c>
      <c r="E24" s="13" t="s">
        <v>160</v>
      </c>
      <c r="F24" s="14"/>
      <c r="G24" s="15" t="s">
        <v>21</v>
      </c>
      <c r="H24" s="15" t="s">
        <v>21</v>
      </c>
      <c r="I24" s="15" t="s">
        <v>23</v>
      </c>
      <c r="J24" s="15" t="s">
        <v>21</v>
      </c>
      <c r="K24" s="15" t="s">
        <v>21</v>
      </c>
      <c r="L24" s="15" t="s">
        <v>72</v>
      </c>
      <c r="M24" s="15" t="s">
        <v>21</v>
      </c>
      <c r="N24" s="15" t="s">
        <v>21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7" t="s">
        <v>161</v>
      </c>
      <c r="C25" s="17" t="s">
        <v>162</v>
      </c>
      <c r="D25" s="17" t="s">
        <v>163</v>
      </c>
      <c r="E25" s="13" t="s">
        <v>164</v>
      </c>
      <c r="F25" s="14"/>
      <c r="G25" s="18" t="s">
        <v>21</v>
      </c>
      <c r="H25" s="18" t="s">
        <v>21</v>
      </c>
      <c r="I25" s="15" t="s">
        <v>72</v>
      </c>
      <c r="J25" s="18" t="s">
        <v>21</v>
      </c>
      <c r="K25" s="18" t="s">
        <v>21</v>
      </c>
      <c r="L25" s="15" t="s">
        <v>21</v>
      </c>
      <c r="M25" s="18" t="s">
        <v>23</v>
      </c>
      <c r="N25" s="18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2" t="s">
        <v>165</v>
      </c>
      <c r="C26" s="2" t="s">
        <v>166</v>
      </c>
      <c r="D26" s="2" t="s">
        <v>167</v>
      </c>
      <c r="E26" s="2" t="s">
        <v>168</v>
      </c>
      <c r="F26" s="8"/>
      <c r="G26" s="5" t="s">
        <v>21</v>
      </c>
      <c r="H26" s="5" t="s">
        <v>21</v>
      </c>
      <c r="I26" s="5" t="s">
        <v>72</v>
      </c>
      <c r="J26" s="5" t="s">
        <v>21</v>
      </c>
      <c r="K26" s="5" t="s">
        <v>23</v>
      </c>
      <c r="L26" s="5" t="s">
        <v>21</v>
      </c>
      <c r="M26" s="5" t="s">
        <v>72</v>
      </c>
      <c r="N26" s="5" t="s">
        <v>21</v>
      </c>
    </row>
    <row r="27">
      <c r="A27" s="12">
        <f t="shared" si="1"/>
        <v>25</v>
      </c>
      <c r="B27" s="2" t="s">
        <v>169</v>
      </c>
      <c r="C27" s="2" t="s">
        <v>170</v>
      </c>
      <c r="D27" s="2" t="s">
        <v>171</v>
      </c>
      <c r="E27" s="2" t="s">
        <v>172</v>
      </c>
      <c r="F27" s="2"/>
      <c r="G27" s="5" t="s">
        <v>21</v>
      </c>
      <c r="H27" s="5" t="s">
        <v>23</v>
      </c>
      <c r="I27" s="5" t="s">
        <v>21</v>
      </c>
      <c r="J27" s="5" t="s">
        <v>21</v>
      </c>
      <c r="K27" s="5" t="s">
        <v>72</v>
      </c>
      <c r="L27" s="5" t="s">
        <v>21</v>
      </c>
      <c r="M27" s="5" t="s">
        <v>21</v>
      </c>
      <c r="N27" s="5" t="s">
        <v>21</v>
      </c>
    </row>
    <row r="28">
      <c r="A28" s="12">
        <f t="shared" si="1"/>
        <v>26</v>
      </c>
      <c r="B28" s="2" t="s">
        <v>173</v>
      </c>
      <c r="C28" s="2" t="s">
        <v>174</v>
      </c>
      <c r="D28" s="2" t="s">
        <v>175</v>
      </c>
      <c r="E28" s="2" t="s">
        <v>176</v>
      </c>
      <c r="F28" s="8"/>
      <c r="G28" s="5" t="s">
        <v>21</v>
      </c>
      <c r="H28" s="5" t="s">
        <v>21</v>
      </c>
      <c r="I28" s="5" t="s">
        <v>72</v>
      </c>
      <c r="J28" s="5" t="s">
        <v>21</v>
      </c>
      <c r="K28" s="5" t="s">
        <v>21</v>
      </c>
      <c r="L28" s="5" t="s">
        <v>23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177</v>
      </c>
      <c r="C29" s="2" t="s">
        <v>178</v>
      </c>
      <c r="D29" s="2" t="s">
        <v>179</v>
      </c>
      <c r="E29" s="2" t="s">
        <v>180</v>
      </c>
      <c r="F29" s="8"/>
      <c r="G29" s="5" t="s">
        <v>23</v>
      </c>
      <c r="H29" s="5" t="s">
        <v>21</v>
      </c>
      <c r="I29" s="5" t="s">
        <v>72</v>
      </c>
      <c r="J29" s="5" t="s">
        <v>21</v>
      </c>
      <c r="K29" s="5" t="s">
        <v>72</v>
      </c>
      <c r="L29" s="5" t="s">
        <v>21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181</v>
      </c>
      <c r="C30" s="2" t="s">
        <v>182</v>
      </c>
      <c r="D30" s="2" t="s">
        <v>183</v>
      </c>
      <c r="E30" s="2" t="s">
        <v>184</v>
      </c>
      <c r="F30" s="8"/>
      <c r="G30" s="5" t="s">
        <v>21</v>
      </c>
      <c r="H30" s="5" t="s">
        <v>21</v>
      </c>
      <c r="I30" s="5" t="s">
        <v>72</v>
      </c>
      <c r="J30" s="5" t="s">
        <v>21</v>
      </c>
      <c r="K30" s="5" t="s">
        <v>23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185</v>
      </c>
      <c r="C31" s="3" t="s">
        <v>86</v>
      </c>
      <c r="D31" s="3" t="s">
        <v>87</v>
      </c>
      <c r="E31" s="2" t="s">
        <v>186</v>
      </c>
      <c r="F31" s="8"/>
      <c r="G31" s="5" t="s">
        <v>23</v>
      </c>
      <c r="H31" s="5" t="s">
        <v>21</v>
      </c>
      <c r="I31" s="5" t="s">
        <v>21</v>
      </c>
      <c r="J31" s="5" t="s">
        <v>21</v>
      </c>
      <c r="K31" s="5" t="s">
        <v>21</v>
      </c>
      <c r="L31" s="5" t="s">
        <v>21</v>
      </c>
      <c r="M31" s="5" t="s">
        <v>21</v>
      </c>
      <c r="N31" s="5" t="s">
        <v>21</v>
      </c>
    </row>
  </sheetData>
  <dataValidations>
    <dataValidation type="custom" allowBlank="1" showDropDown="1" sqref="A2:A31">
      <formula1>AND(ISNUMBER(A2),(NOT(OR(NOT(ISERROR(DATEVALUE(A2))), AND(ISNUMBER(A2), LEFT(CELL("format", A2))="D")))))</formula1>
    </dataValidation>
    <dataValidation type="list" allowBlank="1" showErrorMessage="1" sqref="G2:N31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38.86"/>
    <col customWidth="1" min="3" max="3" width="37.86"/>
    <col customWidth="1" min="4" max="4" width="34.29"/>
    <col customWidth="1" min="5" max="5" width="38.0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35.86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187</v>
      </c>
      <c r="C1" s="19" t="s">
        <v>188</v>
      </c>
      <c r="D1" s="20" t="s">
        <v>189</v>
      </c>
      <c r="E1" s="20" t="s">
        <v>190</v>
      </c>
      <c r="F1" s="20" t="s">
        <v>191</v>
      </c>
      <c r="G1" s="19" t="s">
        <v>192</v>
      </c>
      <c r="H1" s="19" t="s">
        <v>193</v>
      </c>
      <c r="I1" s="20" t="s">
        <v>194</v>
      </c>
      <c r="J1" s="21" t="s">
        <v>195</v>
      </c>
    </row>
    <row r="2">
      <c r="A2" s="22">
        <f>ROW()-ROW(Table_Action_Conditions[N])</f>
        <v>0</v>
      </c>
      <c r="B2" s="22" t="s">
        <v>196</v>
      </c>
      <c r="C2" s="23" t="s">
        <v>197</v>
      </c>
      <c r="D2" s="24" t="s">
        <v>198</v>
      </c>
      <c r="E2" s="24" t="s">
        <v>199</v>
      </c>
      <c r="F2" s="24" t="s">
        <v>200</v>
      </c>
      <c r="G2" s="24" t="s">
        <v>201</v>
      </c>
      <c r="H2" s="24" t="s">
        <v>202</v>
      </c>
      <c r="I2" s="24" t="s">
        <v>203</v>
      </c>
      <c r="J2" s="25" t="s">
        <v>197</v>
      </c>
    </row>
    <row r="3">
      <c r="A3" s="22">
        <f>ROW()-ROW(Table_Action_Conditions[N])</f>
        <v>1</v>
      </c>
      <c r="B3" s="22" t="s">
        <v>204</v>
      </c>
      <c r="C3" s="26" t="s">
        <v>197</v>
      </c>
      <c r="D3" s="24" t="s">
        <v>205</v>
      </c>
      <c r="E3" s="24" t="s">
        <v>199</v>
      </c>
      <c r="F3" s="24" t="s">
        <v>206</v>
      </c>
      <c r="G3" s="24" t="s">
        <v>201</v>
      </c>
      <c r="H3" s="24" t="s">
        <v>202</v>
      </c>
      <c r="I3" s="24" t="s">
        <v>203</v>
      </c>
      <c r="J3" s="25" t="s">
        <v>207</v>
      </c>
    </row>
    <row r="4">
      <c r="A4" s="22">
        <f>ROW()-ROW(Table_Action_Conditions[N])</f>
        <v>2</v>
      </c>
      <c r="B4" s="22" t="s">
        <v>208</v>
      </c>
      <c r="C4" s="26" t="s">
        <v>197</v>
      </c>
      <c r="D4" s="24" t="s">
        <v>205</v>
      </c>
      <c r="E4" s="24" t="s">
        <v>199</v>
      </c>
      <c r="F4" s="24" t="s">
        <v>209</v>
      </c>
      <c r="G4" s="24" t="s">
        <v>210</v>
      </c>
      <c r="H4" s="24" t="s">
        <v>211</v>
      </c>
      <c r="I4" s="24" t="s">
        <v>212</v>
      </c>
      <c r="J4" s="25" t="s">
        <v>197</v>
      </c>
    </row>
    <row r="5">
      <c r="A5" s="22">
        <f>ROW()-ROW(Table_Action_Conditions[N])</f>
        <v>3</v>
      </c>
      <c r="B5" s="22" t="s">
        <v>213</v>
      </c>
      <c r="C5" s="26" t="s">
        <v>197</v>
      </c>
      <c r="D5" s="24" t="s">
        <v>214</v>
      </c>
      <c r="E5" s="24" t="s">
        <v>215</v>
      </c>
      <c r="F5" s="24" t="s">
        <v>206</v>
      </c>
      <c r="G5" s="24" t="s">
        <v>201</v>
      </c>
      <c r="H5" s="24" t="s">
        <v>202</v>
      </c>
      <c r="I5" s="24" t="s">
        <v>203</v>
      </c>
      <c r="J5" s="25" t="s">
        <v>216</v>
      </c>
    </row>
    <row r="6">
      <c r="A6" s="22">
        <f>ROW()-ROW(Table_Action_Conditions[N])</f>
        <v>4</v>
      </c>
      <c r="B6" s="22" t="s">
        <v>217</v>
      </c>
      <c r="C6" s="23" t="s">
        <v>197</v>
      </c>
      <c r="D6" s="24" t="s">
        <v>205</v>
      </c>
      <c r="E6" s="24" t="s">
        <v>218</v>
      </c>
      <c r="F6" s="24" t="s">
        <v>219</v>
      </c>
      <c r="G6" s="24" t="s">
        <v>220</v>
      </c>
      <c r="H6" s="24" t="s">
        <v>202</v>
      </c>
      <c r="I6" s="24" t="s">
        <v>203</v>
      </c>
      <c r="J6" s="25" t="s">
        <v>221</v>
      </c>
    </row>
    <row r="7">
      <c r="A7" s="22">
        <f>ROW()-ROW(Table_Action_Conditions[N])</f>
        <v>5</v>
      </c>
      <c r="B7" s="22" t="s">
        <v>222</v>
      </c>
      <c r="C7" s="23" t="s">
        <v>197</v>
      </c>
      <c r="D7" s="24" t="s">
        <v>214</v>
      </c>
      <c r="E7" s="24" t="s">
        <v>215</v>
      </c>
      <c r="F7" s="24" t="s">
        <v>219</v>
      </c>
      <c r="G7" s="24" t="s">
        <v>223</v>
      </c>
      <c r="H7" s="24" t="s">
        <v>224</v>
      </c>
      <c r="I7" s="24" t="s">
        <v>203</v>
      </c>
      <c r="J7" s="25" t="s">
        <v>197</v>
      </c>
    </row>
    <row r="8">
      <c r="A8" s="22">
        <f>ROW()-ROW(Table_Action_Conditions[N])</f>
        <v>6</v>
      </c>
      <c r="B8" s="22" t="s">
        <v>225</v>
      </c>
      <c r="C8" s="26" t="s">
        <v>197</v>
      </c>
      <c r="D8" s="24" t="s">
        <v>205</v>
      </c>
      <c r="E8" s="24" t="s">
        <v>199</v>
      </c>
      <c r="F8" s="24" t="s">
        <v>226</v>
      </c>
      <c r="G8" s="24" t="s">
        <v>210</v>
      </c>
      <c r="H8" s="24" t="s">
        <v>227</v>
      </c>
      <c r="I8" s="24" t="s">
        <v>203</v>
      </c>
      <c r="J8" s="25" t="s">
        <v>197</v>
      </c>
    </row>
    <row r="9">
      <c r="A9" s="22">
        <f>ROW()-ROW(Table_Action_Conditions[N])</f>
        <v>7</v>
      </c>
      <c r="B9" s="22" t="s">
        <v>228</v>
      </c>
      <c r="C9" s="23" t="s">
        <v>197</v>
      </c>
      <c r="D9" s="24" t="s">
        <v>198</v>
      </c>
      <c r="E9" s="24" t="s">
        <v>199</v>
      </c>
      <c r="F9" s="24" t="s">
        <v>200</v>
      </c>
      <c r="G9" s="24" t="s">
        <v>201</v>
      </c>
      <c r="H9" s="24" t="s">
        <v>202</v>
      </c>
      <c r="I9" s="24" t="s">
        <v>203</v>
      </c>
      <c r="J9" s="25" t="s">
        <v>197</v>
      </c>
    </row>
    <row r="11">
      <c r="A11" s="19" t="s">
        <v>0</v>
      </c>
      <c r="B11" s="19" t="s">
        <v>229</v>
      </c>
      <c r="C11" s="19" t="s">
        <v>230</v>
      </c>
      <c r="D11" s="21" t="s">
        <v>231</v>
      </c>
      <c r="E11" s="21" t="s">
        <v>188</v>
      </c>
      <c r="F11" s="21" t="s">
        <v>232</v>
      </c>
      <c r="G11" s="21" t="s">
        <v>233</v>
      </c>
      <c r="H11" s="21" t="s">
        <v>234</v>
      </c>
      <c r="I11" s="21" t="s">
        <v>235</v>
      </c>
      <c r="J11" s="21" t="s">
        <v>236</v>
      </c>
    </row>
    <row r="12">
      <c r="A12" s="22">
        <f>ROW()-ROW(Table_Unchain_Conditions[N])</f>
        <v>0</v>
      </c>
      <c r="B12" s="22" t="s">
        <v>237</v>
      </c>
      <c r="C12" s="24" t="s">
        <v>238</v>
      </c>
      <c r="D12" s="27" t="s">
        <v>197</v>
      </c>
      <c r="E12" s="28" t="s">
        <v>207</v>
      </c>
      <c r="F12" s="27" t="s">
        <v>218</v>
      </c>
      <c r="G12" s="27" t="s">
        <v>239</v>
      </c>
      <c r="H12" s="29" t="s">
        <v>198</v>
      </c>
      <c r="I12" s="27" t="s">
        <v>240</v>
      </c>
      <c r="J12" s="28" t="s">
        <v>197</v>
      </c>
    </row>
    <row r="13">
      <c r="A13" s="22">
        <f>ROW()-ROW(Table_Unchain_Conditions[N])</f>
        <v>1</v>
      </c>
      <c r="B13" s="22" t="s">
        <v>241</v>
      </c>
      <c r="C13" s="24" t="s">
        <v>242</v>
      </c>
      <c r="D13" s="27" t="s">
        <v>207</v>
      </c>
      <c r="E13" s="28" t="s">
        <v>207</v>
      </c>
      <c r="F13" s="27" t="s">
        <v>218</v>
      </c>
      <c r="G13" s="27" t="s">
        <v>239</v>
      </c>
      <c r="H13" s="29" t="s">
        <v>205</v>
      </c>
      <c r="I13" s="27" t="s">
        <v>240</v>
      </c>
      <c r="J13" s="28" t="s">
        <v>197</v>
      </c>
    </row>
    <row r="14">
      <c r="A14" s="22">
        <f>ROW()-ROW(Table_Unchain_Conditions[N])</f>
        <v>2</v>
      </c>
      <c r="B14" s="22" t="s">
        <v>243</v>
      </c>
      <c r="C14" s="24" t="s">
        <v>244</v>
      </c>
      <c r="D14" s="27" t="s">
        <v>207</v>
      </c>
      <c r="E14" s="28" t="s">
        <v>207</v>
      </c>
      <c r="F14" s="27" t="s">
        <v>199</v>
      </c>
      <c r="G14" s="27" t="s">
        <v>239</v>
      </c>
      <c r="H14" s="29" t="s">
        <v>198</v>
      </c>
      <c r="I14" s="27" t="s">
        <v>245</v>
      </c>
      <c r="J14" s="28" t="s">
        <v>197</v>
      </c>
    </row>
    <row r="15">
      <c r="A15" s="22">
        <f>ROW()-ROW(Table_Unchain_Conditions[N])</f>
        <v>3</v>
      </c>
      <c r="B15" s="22" t="s">
        <v>246</v>
      </c>
      <c r="C15" s="24" t="s">
        <v>238</v>
      </c>
      <c r="D15" s="27" t="s">
        <v>197</v>
      </c>
      <c r="E15" s="28" t="s">
        <v>216</v>
      </c>
      <c r="F15" s="27" t="s">
        <v>215</v>
      </c>
      <c r="G15" s="27" t="s">
        <v>239</v>
      </c>
      <c r="H15" s="29" t="s">
        <v>198</v>
      </c>
      <c r="I15" s="27" t="s">
        <v>240</v>
      </c>
      <c r="J15" s="28" t="s">
        <v>197</v>
      </c>
    </row>
    <row r="16">
      <c r="A16" s="22">
        <f>ROW()-ROW(Table_Unchain_Conditions[N])</f>
        <v>4</v>
      </c>
      <c r="B16" s="22" t="s">
        <v>247</v>
      </c>
      <c r="C16" s="24" t="s">
        <v>242</v>
      </c>
      <c r="D16" s="27" t="s">
        <v>207</v>
      </c>
      <c r="E16" s="28" t="s">
        <v>216</v>
      </c>
      <c r="F16" s="27" t="s">
        <v>215</v>
      </c>
      <c r="G16" s="27" t="s">
        <v>239</v>
      </c>
      <c r="H16" s="29" t="s">
        <v>214</v>
      </c>
      <c r="I16" s="27" t="s">
        <v>240</v>
      </c>
      <c r="J16" s="28" t="s">
        <v>197</v>
      </c>
    </row>
    <row r="17">
      <c r="A17" s="22">
        <f>ROW()-ROW(Table_Unchain_Conditions[N])</f>
        <v>5</v>
      </c>
      <c r="B17" s="22" t="s">
        <v>248</v>
      </c>
      <c r="C17" s="24" t="s">
        <v>249</v>
      </c>
      <c r="D17" s="27" t="s">
        <v>197</v>
      </c>
      <c r="E17" s="28" t="s">
        <v>221</v>
      </c>
      <c r="F17" s="27" t="s">
        <v>250</v>
      </c>
      <c r="G17" s="27" t="s">
        <v>251</v>
      </c>
      <c r="H17" s="29" t="s">
        <v>198</v>
      </c>
      <c r="I17" s="27" t="s">
        <v>240</v>
      </c>
      <c r="J17" s="28" t="s">
        <v>197</v>
      </c>
    </row>
    <row r="18">
      <c r="A18" s="22">
        <f>ROW()-ROW(Table_Unchain_Conditions[N])</f>
        <v>6</v>
      </c>
      <c r="B18" s="22" t="s">
        <v>252</v>
      </c>
      <c r="C18" s="24" t="s">
        <v>253</v>
      </c>
      <c r="D18" s="27" t="s">
        <v>221</v>
      </c>
      <c r="E18" s="28" t="s">
        <v>221</v>
      </c>
      <c r="F18" s="27" t="s">
        <v>218</v>
      </c>
      <c r="G18" s="27" t="s">
        <v>239</v>
      </c>
      <c r="H18" s="29" t="s">
        <v>198</v>
      </c>
      <c r="I18" s="27" t="s">
        <v>240</v>
      </c>
      <c r="J18" s="28" t="s">
        <v>197</v>
      </c>
    </row>
    <row r="19">
      <c r="A19" s="22">
        <f>ROW()-ROW(Table_Unchain_Conditions[N])</f>
        <v>7</v>
      </c>
      <c r="B19" s="22" t="s">
        <v>254</v>
      </c>
      <c r="C19" s="24" t="s">
        <v>244</v>
      </c>
      <c r="D19" s="27" t="s">
        <v>221</v>
      </c>
      <c r="E19" s="28" t="s">
        <v>221</v>
      </c>
      <c r="F19" s="27" t="s">
        <v>199</v>
      </c>
      <c r="G19" s="27" t="s">
        <v>239</v>
      </c>
      <c r="H19" s="29" t="s">
        <v>198</v>
      </c>
      <c r="I19" s="27" t="s">
        <v>255</v>
      </c>
      <c r="J19" s="28" t="s">
        <v>197</v>
      </c>
    </row>
  </sheetData>
  <dataValidations>
    <dataValidation type="list" allowBlank="1" sqref="D12:D19">
      <formula1>#REF!</formula1>
    </dataValidation>
    <dataValidation type="list" allowBlank="1" sqref="C2:C9">
      <formula1>#REF!</formula1>
    </dataValidation>
    <dataValidation type="list" allowBlank="1" sqref="H2:H9">
      <formula1>#REF!</formula1>
    </dataValidation>
    <dataValidation type="list" allowBlank="1" sqref="J2:J9 E12:E19 J12:J19">
      <formula1>#REF!</formula1>
    </dataValidation>
    <dataValidation type="list" allowBlank="1" sqref="D2:G9 C12:C19 F12:I19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33.14"/>
    <col customWidth="1" min="10" max="15" width="12.43"/>
  </cols>
  <sheetData>
    <row r="1">
      <c r="A1" s="19" t="s">
        <v>0</v>
      </c>
      <c r="B1" s="19" t="s">
        <v>256</v>
      </c>
      <c r="C1" s="20" t="s">
        <v>257</v>
      </c>
      <c r="D1" s="20" t="s">
        <v>258</v>
      </c>
      <c r="E1" s="20" t="s">
        <v>259</v>
      </c>
      <c r="F1" s="20" t="s">
        <v>260</v>
      </c>
      <c r="G1" s="19" t="s">
        <v>261</v>
      </c>
      <c r="H1" s="20" t="s">
        <v>262</v>
      </c>
      <c r="I1" s="21" t="s">
        <v>263</v>
      </c>
    </row>
    <row r="2">
      <c r="A2" s="30">
        <f t="shared" ref="A2:A10" si="1">ROW()-ROW($A$2)</f>
        <v>0</v>
      </c>
      <c r="B2" s="30" t="s">
        <v>199</v>
      </c>
      <c r="C2" s="31" t="s">
        <v>264</v>
      </c>
      <c r="D2" s="32" t="s">
        <v>265</v>
      </c>
      <c r="E2" s="33" t="s">
        <v>239</v>
      </c>
      <c r="F2" s="31" t="s">
        <v>239</v>
      </c>
      <c r="G2" s="34" t="b">
        <v>0</v>
      </c>
      <c r="H2" s="31" t="s">
        <v>239</v>
      </c>
      <c r="I2" s="35" t="s">
        <v>196</v>
      </c>
    </row>
    <row r="3">
      <c r="A3" s="30">
        <f t="shared" si="1"/>
        <v>1</v>
      </c>
      <c r="B3" s="30" t="s">
        <v>266</v>
      </c>
      <c r="C3" s="31" t="s">
        <v>267</v>
      </c>
      <c r="D3" s="32" t="s">
        <v>268</v>
      </c>
      <c r="E3" s="33" t="s">
        <v>269</v>
      </c>
      <c r="F3" s="31" t="s">
        <v>269</v>
      </c>
      <c r="G3" s="34" t="b">
        <v>0</v>
      </c>
      <c r="H3" s="31" t="s">
        <v>239</v>
      </c>
      <c r="I3" s="35" t="s">
        <v>196</v>
      </c>
    </row>
    <row r="4">
      <c r="A4" s="30">
        <f t="shared" si="1"/>
        <v>2</v>
      </c>
      <c r="B4" s="30" t="s">
        <v>270</v>
      </c>
      <c r="C4" s="31" t="s">
        <v>271</v>
      </c>
      <c r="D4" s="32" t="s">
        <v>268</v>
      </c>
      <c r="E4" s="33" t="s">
        <v>269</v>
      </c>
      <c r="F4" s="31" t="s">
        <v>269</v>
      </c>
      <c r="G4" s="34" t="b">
        <v>0</v>
      </c>
      <c r="H4" s="31" t="s">
        <v>239</v>
      </c>
      <c r="I4" s="35" t="s">
        <v>196</v>
      </c>
    </row>
    <row r="5">
      <c r="A5" s="30">
        <f t="shared" si="1"/>
        <v>3</v>
      </c>
      <c r="B5" s="30" t="s">
        <v>272</v>
      </c>
      <c r="C5" s="31" t="s">
        <v>273</v>
      </c>
      <c r="D5" s="32" t="s">
        <v>268</v>
      </c>
      <c r="E5" s="33" t="s">
        <v>269</v>
      </c>
      <c r="F5" s="31" t="s">
        <v>269</v>
      </c>
      <c r="G5" s="34" t="b">
        <v>0</v>
      </c>
      <c r="H5" s="31" t="s">
        <v>239</v>
      </c>
      <c r="I5" s="35" t="s">
        <v>196</v>
      </c>
    </row>
    <row r="6">
      <c r="A6" s="30">
        <f t="shared" si="1"/>
        <v>4</v>
      </c>
      <c r="B6" s="30" t="s">
        <v>218</v>
      </c>
      <c r="C6" s="31" t="s">
        <v>274</v>
      </c>
      <c r="D6" s="32" t="s">
        <v>275</v>
      </c>
      <c r="E6" s="33" t="s">
        <v>269</v>
      </c>
      <c r="F6" s="31" t="s">
        <v>269</v>
      </c>
      <c r="G6" s="34" t="b">
        <v>1</v>
      </c>
      <c r="H6" s="31" t="s">
        <v>269</v>
      </c>
      <c r="I6" s="35" t="s">
        <v>276</v>
      </c>
    </row>
    <row r="7">
      <c r="A7" s="30">
        <f t="shared" si="1"/>
        <v>5</v>
      </c>
      <c r="B7" s="30" t="s">
        <v>215</v>
      </c>
      <c r="C7" s="31" t="s">
        <v>277</v>
      </c>
      <c r="D7" s="32" t="s">
        <v>275</v>
      </c>
      <c r="E7" s="33" t="s">
        <v>278</v>
      </c>
      <c r="F7" s="31" t="s">
        <v>278</v>
      </c>
      <c r="G7" s="34" t="b">
        <v>1</v>
      </c>
      <c r="H7" s="31" t="s">
        <v>278</v>
      </c>
      <c r="I7" s="35" t="s">
        <v>213</v>
      </c>
    </row>
    <row r="8">
      <c r="A8" s="30">
        <f t="shared" si="1"/>
        <v>6</v>
      </c>
      <c r="B8" s="30" t="s">
        <v>250</v>
      </c>
      <c r="C8" s="31" t="s">
        <v>279</v>
      </c>
      <c r="D8" s="32" t="s">
        <v>275</v>
      </c>
      <c r="E8" s="33" t="s">
        <v>280</v>
      </c>
      <c r="F8" s="31" t="s">
        <v>281</v>
      </c>
      <c r="G8" s="34" t="b">
        <v>0</v>
      </c>
      <c r="H8" s="31" t="s">
        <v>239</v>
      </c>
      <c r="I8" s="35" t="s">
        <v>282</v>
      </c>
    </row>
    <row r="9">
      <c r="A9" s="30">
        <f t="shared" si="1"/>
        <v>7</v>
      </c>
      <c r="B9" s="30" t="s">
        <v>283</v>
      </c>
      <c r="C9" s="31" t="s">
        <v>284</v>
      </c>
      <c r="D9" s="32" t="s">
        <v>285</v>
      </c>
      <c r="E9" s="33" t="s">
        <v>286</v>
      </c>
      <c r="F9" s="31" t="s">
        <v>286</v>
      </c>
      <c r="G9" s="34" t="b">
        <v>0</v>
      </c>
      <c r="H9" s="31" t="s">
        <v>239</v>
      </c>
      <c r="I9" s="35" t="s">
        <v>225</v>
      </c>
    </row>
    <row r="10">
      <c r="A10" s="30">
        <f t="shared" si="1"/>
        <v>8</v>
      </c>
      <c r="B10" s="30" t="s">
        <v>287</v>
      </c>
      <c r="C10" s="31" t="s">
        <v>288</v>
      </c>
      <c r="D10" s="32" t="s">
        <v>265</v>
      </c>
      <c r="E10" s="33" t="s">
        <v>289</v>
      </c>
      <c r="F10" s="31" t="s">
        <v>289</v>
      </c>
      <c r="G10" s="34" t="b">
        <v>0</v>
      </c>
      <c r="H10" s="31" t="s">
        <v>239</v>
      </c>
      <c r="I10" s="35" t="s">
        <v>196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290</v>
      </c>
      <c r="C1" s="19" t="s">
        <v>291</v>
      </c>
    </row>
    <row r="2">
      <c r="A2" s="22">
        <f>ROW()-ROW(Table_sprites[N])</f>
        <v>0</v>
      </c>
      <c r="B2" s="22" t="s">
        <v>239</v>
      </c>
    </row>
    <row r="3">
      <c r="A3" s="22">
        <f>ROW()-ROW(Table_sprites[N])</f>
        <v>1</v>
      </c>
      <c r="B3" s="22" t="s">
        <v>292</v>
      </c>
      <c r="C3" s="22" t="s">
        <v>293</v>
      </c>
    </row>
    <row r="4">
      <c r="A4" s="22">
        <f>ROW()-ROW(Table_sprites[N])</f>
        <v>2</v>
      </c>
      <c r="B4" s="22" t="s">
        <v>294</v>
      </c>
      <c r="C4" s="22" t="s">
        <v>295</v>
      </c>
    </row>
    <row r="5">
      <c r="A5" s="22">
        <f>ROW()-ROW(Table_sprites[N])</f>
        <v>3</v>
      </c>
      <c r="B5" s="22" t="s">
        <v>296</v>
      </c>
      <c r="C5" s="22" t="s">
        <v>297</v>
      </c>
    </row>
    <row r="6">
      <c r="A6" s="22">
        <f>ROW()-ROW(Table_sprites[N])</f>
        <v>4</v>
      </c>
      <c r="B6" s="22" t="s">
        <v>298</v>
      </c>
      <c r="C6" s="22" t="s">
        <v>299</v>
      </c>
    </row>
    <row r="7">
      <c r="A7" s="22">
        <f>ROW()-ROW(Table_sprites[N])</f>
        <v>5</v>
      </c>
      <c r="B7" s="22" t="s">
        <v>300</v>
      </c>
      <c r="C7" s="22" t="s">
        <v>301</v>
      </c>
    </row>
    <row r="8">
      <c r="A8" s="22">
        <f>ROW()-ROW(Table_sprites[N])</f>
        <v>6</v>
      </c>
      <c r="B8" s="22" t="s">
        <v>302</v>
      </c>
      <c r="C8" s="22" t="s">
        <v>303</v>
      </c>
    </row>
    <row r="9">
      <c r="A9" s="22">
        <f>ROW()-ROW(Table_sprites[N])</f>
        <v>7</v>
      </c>
      <c r="B9" s="22" t="s">
        <v>304</v>
      </c>
      <c r="C9" s="22" t="s">
        <v>305</v>
      </c>
    </row>
    <row r="10">
      <c r="A10" s="22">
        <f>ROW()-ROW(Table_sprites[N])</f>
        <v>8</v>
      </c>
      <c r="B10" s="22" t="s">
        <v>306</v>
      </c>
      <c r="C10" s="22" t="s">
        <v>307</v>
      </c>
    </row>
    <row r="11">
      <c r="A11" s="22">
        <f>ROW()-ROW(Table_sprites[N])</f>
        <v>9</v>
      </c>
      <c r="B11" s="22" t="s">
        <v>269</v>
      </c>
      <c r="C11" s="22" t="s">
        <v>308</v>
      </c>
    </row>
    <row r="12">
      <c r="A12" s="22">
        <f>ROW()-ROW(Table_sprites[N])</f>
        <v>10</v>
      </c>
      <c r="B12" s="22" t="s">
        <v>278</v>
      </c>
      <c r="C12" s="22" t="s">
        <v>309</v>
      </c>
    </row>
    <row r="13">
      <c r="A13" s="22">
        <f>ROW()-ROW(Table_sprites[N])</f>
        <v>11</v>
      </c>
      <c r="B13" s="22" t="s">
        <v>281</v>
      </c>
      <c r="C13" s="22" t="s">
        <v>310</v>
      </c>
    </row>
    <row r="14">
      <c r="A14" s="22">
        <f>ROW()-ROW(Table_sprites[N])</f>
        <v>12</v>
      </c>
      <c r="B14" s="22" t="s">
        <v>251</v>
      </c>
      <c r="C14" s="22" t="s">
        <v>311</v>
      </c>
    </row>
    <row r="15">
      <c r="A15" s="22">
        <f>ROW()-ROW(Table_sprites[N])</f>
        <v>13</v>
      </c>
      <c r="B15" s="22" t="s">
        <v>286</v>
      </c>
      <c r="C15" s="22" t="s">
        <v>312</v>
      </c>
    </row>
    <row r="16">
      <c r="A16" s="22">
        <f>ROW()-ROW(Table_sprites[N])</f>
        <v>14</v>
      </c>
      <c r="B16" s="22" t="s">
        <v>313</v>
      </c>
      <c r="C16" s="22" t="s">
        <v>314</v>
      </c>
    </row>
    <row r="17">
      <c r="A17" s="22">
        <f>ROW()-ROW(Table_sprites[N])</f>
        <v>15</v>
      </c>
      <c r="B17" s="22" t="s">
        <v>289</v>
      </c>
      <c r="C17" s="22" t="s">
        <v>289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9" t="s">
        <v>0</v>
      </c>
      <c r="B1" s="19" t="s">
        <v>315</v>
      </c>
      <c r="C1" s="21" t="s">
        <v>316</v>
      </c>
      <c r="D1" s="21" t="s">
        <v>317</v>
      </c>
    </row>
    <row r="2">
      <c r="A2" s="22">
        <f>ROW()-ROW(Table_Dialogs[N])</f>
        <v>0</v>
      </c>
      <c r="B2" s="22" t="s">
        <v>202</v>
      </c>
      <c r="C2" s="28" t="s">
        <v>199</v>
      </c>
      <c r="D2" s="25" t="s">
        <v>318</v>
      </c>
    </row>
    <row r="3">
      <c r="A3" s="22">
        <f>ROW()-ROW(Table_Dialogs[N])</f>
        <v>1</v>
      </c>
      <c r="B3" s="22" t="s">
        <v>211</v>
      </c>
      <c r="C3" s="28" t="s">
        <v>199</v>
      </c>
      <c r="D3" s="25" t="s">
        <v>319</v>
      </c>
    </row>
    <row r="4">
      <c r="A4" s="22">
        <f>ROW()-ROW(Table_Dialogs[N])</f>
        <v>2</v>
      </c>
      <c r="B4" s="22" t="s">
        <v>224</v>
      </c>
      <c r="C4" s="28" t="s">
        <v>199</v>
      </c>
      <c r="D4" s="25" t="s">
        <v>320</v>
      </c>
    </row>
    <row r="5">
      <c r="A5" s="22">
        <f>ROW()-ROW(Table_Dialogs[N])</f>
        <v>3</v>
      </c>
      <c r="B5" s="22" t="s">
        <v>227</v>
      </c>
      <c r="C5" s="28" t="s">
        <v>199</v>
      </c>
      <c r="D5" s="28" t="s">
        <v>321</v>
      </c>
    </row>
    <row r="6">
      <c r="A6" s="22">
        <f>ROW()-ROW(Table_Dialogs[N])</f>
        <v>4</v>
      </c>
      <c r="B6" s="22" t="s">
        <v>322</v>
      </c>
      <c r="C6" s="28" t="s">
        <v>199</v>
      </c>
      <c r="D6" s="25" t="s">
        <v>318</v>
      </c>
    </row>
    <row r="8">
      <c r="A8" s="19" t="s">
        <v>0</v>
      </c>
      <c r="B8" s="19" t="s">
        <v>323</v>
      </c>
      <c r="C8" s="19" t="s">
        <v>188</v>
      </c>
      <c r="D8" s="21" t="s">
        <v>324</v>
      </c>
      <c r="E8" s="21" t="s">
        <v>325</v>
      </c>
      <c r="F8" s="21" t="s">
        <v>326</v>
      </c>
    </row>
    <row r="9">
      <c r="A9" s="22">
        <f>ROW()-ROW(Table_Dialog_Options[N])</f>
        <v>0</v>
      </c>
      <c r="B9" s="22" t="s">
        <v>318</v>
      </c>
      <c r="C9" s="23" t="s">
        <v>197</v>
      </c>
      <c r="D9" s="23" t="s">
        <v>197</v>
      </c>
      <c r="E9" s="24" t="s">
        <v>202</v>
      </c>
      <c r="F9" s="23" t="s">
        <v>203</v>
      </c>
    </row>
    <row r="10">
      <c r="A10" s="22">
        <f>ROW()-ROW(Table_Dialog_Options[N])</f>
        <v>1</v>
      </c>
      <c r="B10" s="22" t="s">
        <v>319</v>
      </c>
      <c r="C10" s="23" t="s">
        <v>197</v>
      </c>
      <c r="D10" s="23" t="s">
        <v>197</v>
      </c>
      <c r="E10" s="24" t="s">
        <v>202</v>
      </c>
      <c r="F10" s="23" t="s">
        <v>203</v>
      </c>
    </row>
    <row r="11">
      <c r="A11" s="22">
        <f>ROW()-ROW(Table_Dialog_Options[N])</f>
        <v>2</v>
      </c>
      <c r="B11" s="22" t="s">
        <v>327</v>
      </c>
      <c r="C11" s="23" t="s">
        <v>197</v>
      </c>
      <c r="D11" s="23" t="s">
        <v>197</v>
      </c>
      <c r="E11" s="24" t="s">
        <v>202</v>
      </c>
      <c r="F11" s="23" t="s">
        <v>328</v>
      </c>
    </row>
    <row r="12">
      <c r="A12" s="22">
        <f>ROW()-ROW(Table_Dialog_Options[N])</f>
        <v>3</v>
      </c>
      <c r="B12" s="22" t="s">
        <v>329</v>
      </c>
      <c r="C12" s="23" t="s">
        <v>197</v>
      </c>
      <c r="D12" s="23" t="s">
        <v>197</v>
      </c>
      <c r="E12" s="24" t="s">
        <v>202</v>
      </c>
      <c r="F12" s="23" t="s">
        <v>330</v>
      </c>
    </row>
    <row r="13">
      <c r="A13" s="22">
        <f>ROW()-ROW(Table_Dialog_Options[N])</f>
        <v>4</v>
      </c>
      <c r="B13" s="22" t="s">
        <v>331</v>
      </c>
      <c r="C13" s="23" t="s">
        <v>221</v>
      </c>
      <c r="D13" s="23" t="s">
        <v>197</v>
      </c>
      <c r="E13" s="24" t="s">
        <v>202</v>
      </c>
      <c r="F13" s="23" t="s">
        <v>332</v>
      </c>
    </row>
    <row r="14">
      <c r="A14" s="22">
        <f>ROW()-ROW(Table_Dialog_Options[N])</f>
        <v>5</v>
      </c>
      <c r="B14" s="22" t="s">
        <v>333</v>
      </c>
      <c r="C14" s="23" t="s">
        <v>334</v>
      </c>
      <c r="D14" s="23" t="s">
        <v>197</v>
      </c>
      <c r="E14" s="24" t="s">
        <v>202</v>
      </c>
      <c r="F14" s="23" t="s">
        <v>335</v>
      </c>
    </row>
    <row r="15">
      <c r="A15" s="22">
        <f>ROW()-ROW(Table_Dialog_Options[N])</f>
        <v>6</v>
      </c>
      <c r="B15" s="22" t="s">
        <v>336</v>
      </c>
      <c r="C15" s="26" t="s">
        <v>197</v>
      </c>
      <c r="D15" s="23" t="s">
        <v>197</v>
      </c>
      <c r="E15" s="24" t="s">
        <v>202</v>
      </c>
      <c r="F15" s="26" t="s">
        <v>337</v>
      </c>
    </row>
    <row r="16">
      <c r="A16" s="22">
        <f>ROW()-ROW(Table_Dialog_Options[N])</f>
        <v>7</v>
      </c>
      <c r="B16" s="22" t="s">
        <v>338</v>
      </c>
      <c r="C16" s="26" t="s">
        <v>197</v>
      </c>
      <c r="D16" s="23" t="s">
        <v>197</v>
      </c>
      <c r="E16" s="24" t="s">
        <v>202</v>
      </c>
      <c r="F16" s="26" t="s">
        <v>339</v>
      </c>
    </row>
    <row r="17">
      <c r="A17" s="22">
        <f>ROW()-ROW(Table_Dialog_Options[N])</f>
        <v>8</v>
      </c>
      <c r="B17" s="22" t="s">
        <v>340</v>
      </c>
      <c r="C17" s="23" t="s">
        <v>197</v>
      </c>
      <c r="D17" s="23" t="s">
        <v>197</v>
      </c>
      <c r="E17" s="24" t="s">
        <v>202</v>
      </c>
      <c r="F17" s="23" t="s">
        <v>203</v>
      </c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  <row r="21">
      <c r="A21" s="36"/>
      <c r="B21" s="36"/>
      <c r="C21" s="36"/>
      <c r="D21" s="36"/>
      <c r="E21" s="36"/>
      <c r="F21" s="36"/>
    </row>
    <row r="22">
      <c r="A22" s="36"/>
      <c r="B22" s="36"/>
      <c r="C22" s="36"/>
      <c r="D22" s="36"/>
      <c r="E22" s="36"/>
      <c r="F22" s="36"/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</sheetData>
  <dataValidations>
    <dataValidation type="list" allowBlank="1" sqref="C2:C6">
      <formula1>#REF!</formula1>
    </dataValidation>
    <dataValidation type="list" allowBlank="1" sqref="F9:F17">
      <formula1>#REF!</formula1>
    </dataValidation>
    <dataValidation type="list" allowBlank="1" sqref="C9:C17">
      <formula1>#REF!</formula1>
    </dataValidation>
    <dataValidation type="list" allowBlank="1" sqref="D2:D6">
      <formula1>#REF!</formula1>
    </dataValidation>
    <dataValidation type="list" allowBlank="1" sqref="D9:D17">
      <formula1>#REF!</formula1>
    </dataValidation>
    <dataValidation type="list" allowBlank="1" sqref="E9:E17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341</v>
      </c>
      <c r="C1" s="37" t="s">
        <v>342</v>
      </c>
      <c r="D1" s="37" t="s">
        <v>343</v>
      </c>
    </row>
    <row r="2">
      <c r="A2" s="30">
        <f>ROW()-ROW(Table_Name[NAME_ID])</f>
        <v>0</v>
      </c>
      <c r="B2" s="30" t="s">
        <v>264</v>
      </c>
      <c r="C2" s="39"/>
      <c r="D2" s="39"/>
    </row>
    <row r="3">
      <c r="A3" s="30">
        <f>ROW()-ROW(Table_Name[NAME_ID])</f>
        <v>1</v>
      </c>
      <c r="B3" s="30" t="s">
        <v>267</v>
      </c>
      <c r="C3" s="30" t="s">
        <v>344</v>
      </c>
      <c r="D3" s="30" t="s">
        <v>344</v>
      </c>
    </row>
    <row r="4">
      <c r="A4" s="30">
        <f>ROW()-ROW(Table_Name[NAME_ID])</f>
        <v>2</v>
      </c>
      <c r="B4" s="30" t="s">
        <v>271</v>
      </c>
      <c r="C4" s="30" t="s">
        <v>345</v>
      </c>
      <c r="D4" s="30" t="s">
        <v>346</v>
      </c>
    </row>
    <row r="5">
      <c r="A5" s="30">
        <f>ROW()-ROW(Table_Name[NAME_ID])</f>
        <v>3</v>
      </c>
      <c r="B5" s="30" t="s">
        <v>273</v>
      </c>
      <c r="C5" s="30" t="s">
        <v>347</v>
      </c>
      <c r="D5" s="30" t="s">
        <v>348</v>
      </c>
    </row>
    <row r="6">
      <c r="A6" s="30">
        <f>ROW()-ROW(Table_Name[NAME_ID])</f>
        <v>4</v>
      </c>
      <c r="B6" s="30" t="s">
        <v>349</v>
      </c>
      <c r="C6" s="30" t="s">
        <v>350</v>
      </c>
      <c r="D6" s="30" t="s">
        <v>351</v>
      </c>
    </row>
    <row r="7">
      <c r="A7" s="30">
        <f>ROW()-ROW(Table_Name[NAME_ID])</f>
        <v>5</v>
      </c>
      <c r="B7" s="30" t="s">
        <v>352</v>
      </c>
      <c r="C7" s="30" t="s">
        <v>353</v>
      </c>
      <c r="D7" s="30" t="s">
        <v>354</v>
      </c>
    </row>
    <row r="8">
      <c r="A8" s="30">
        <f>ROW()-ROW(Table_Name[NAME_ID])</f>
        <v>6</v>
      </c>
      <c r="B8" s="30" t="s">
        <v>355</v>
      </c>
      <c r="C8" s="30" t="s">
        <v>356</v>
      </c>
      <c r="D8" s="30" t="s">
        <v>357</v>
      </c>
    </row>
    <row r="9">
      <c r="A9" s="30">
        <f>ROW()-ROW(Table_Name[NAME_ID])</f>
        <v>7</v>
      </c>
      <c r="B9" s="30" t="s">
        <v>274</v>
      </c>
      <c r="C9" s="30" t="s">
        <v>358</v>
      </c>
      <c r="D9" s="30" t="s">
        <v>359</v>
      </c>
    </row>
    <row r="10">
      <c r="A10" s="30">
        <f>ROW()-ROW(Table_Name[NAME_ID])</f>
        <v>8</v>
      </c>
      <c r="B10" s="30" t="s">
        <v>277</v>
      </c>
      <c r="C10" s="30" t="s">
        <v>360</v>
      </c>
      <c r="D10" s="30" t="s">
        <v>361</v>
      </c>
    </row>
    <row r="11">
      <c r="A11" s="30">
        <f>ROW()-ROW(Table_Name[NAME_ID])</f>
        <v>9</v>
      </c>
      <c r="B11" s="30" t="s">
        <v>279</v>
      </c>
      <c r="C11" s="30" t="s">
        <v>362</v>
      </c>
      <c r="D11" s="30" t="s">
        <v>363</v>
      </c>
    </row>
    <row r="12">
      <c r="A12" s="30">
        <f>ROW()-ROW(Table_Name[NAME_ID])</f>
        <v>10</v>
      </c>
      <c r="B12" s="30" t="s">
        <v>284</v>
      </c>
      <c r="C12" s="30" t="s">
        <v>364</v>
      </c>
      <c r="D12" s="30" t="s">
        <v>365</v>
      </c>
    </row>
    <row r="13">
      <c r="A13" s="30">
        <f>ROW()-ROW(Table_Name[NAME_ID])</f>
        <v>11</v>
      </c>
      <c r="B13" s="30" t="s">
        <v>288</v>
      </c>
      <c r="C13" s="30" t="s">
        <v>366</v>
      </c>
      <c r="D13" s="30" t="s">
        <v>367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2.14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9" t="s">
        <v>0</v>
      </c>
      <c r="B1" s="19" t="s">
        <v>368</v>
      </c>
      <c r="C1" s="20" t="s">
        <v>369</v>
      </c>
      <c r="D1" s="19" t="s">
        <v>370</v>
      </c>
      <c r="E1" s="21" t="s">
        <v>371</v>
      </c>
      <c r="F1" s="19" t="s">
        <v>372</v>
      </c>
      <c r="G1" s="20" t="s">
        <v>373</v>
      </c>
    </row>
    <row r="2">
      <c r="A2" s="22">
        <f>ROW()-ROW(Table_Phrases[N])</f>
        <v>0</v>
      </c>
      <c r="B2" s="22" t="s">
        <v>203</v>
      </c>
      <c r="C2" s="22">
        <v>0.0</v>
      </c>
      <c r="D2" s="22">
        <v>0.0</v>
      </c>
      <c r="E2" s="27" t="s">
        <v>374</v>
      </c>
      <c r="G2" s="22"/>
    </row>
    <row r="3">
      <c r="A3" s="22">
        <f>ROW()-ROW(Table_Phrases[N])</f>
        <v>1</v>
      </c>
      <c r="B3" s="22" t="s">
        <v>375</v>
      </c>
      <c r="C3" s="22">
        <v>0.0</v>
      </c>
      <c r="D3" s="22">
        <v>0.0</v>
      </c>
      <c r="E3" s="27" t="s">
        <v>376</v>
      </c>
      <c r="F3" s="22" t="s">
        <v>377</v>
      </c>
      <c r="G3" s="22" t="s">
        <v>378</v>
      </c>
    </row>
    <row r="4">
      <c r="A4" s="22">
        <f>ROW()-ROW(Table_Phrases[N])</f>
        <v>2</v>
      </c>
      <c r="B4" s="22" t="s">
        <v>379</v>
      </c>
      <c r="C4" s="22">
        <v>0.0</v>
      </c>
      <c r="D4" s="22">
        <v>0.0</v>
      </c>
      <c r="E4" s="27" t="s">
        <v>376</v>
      </c>
      <c r="F4" s="22" t="s">
        <v>380</v>
      </c>
      <c r="G4" s="22" t="s">
        <v>381</v>
      </c>
    </row>
    <row r="5">
      <c r="A5" s="22">
        <f>ROW()-ROW(Table_Phrases[N])</f>
        <v>3</v>
      </c>
      <c r="B5" s="22" t="s">
        <v>382</v>
      </c>
      <c r="C5" s="22">
        <v>0.0</v>
      </c>
      <c r="D5" s="22">
        <v>0.0</v>
      </c>
      <c r="E5" s="27" t="s">
        <v>376</v>
      </c>
      <c r="F5" s="22" t="s">
        <v>383</v>
      </c>
      <c r="G5" s="22" t="s">
        <v>384</v>
      </c>
    </row>
    <row r="6">
      <c r="A6" s="22">
        <f>ROW()-ROW(Table_Phrases[N])</f>
        <v>4</v>
      </c>
      <c r="B6" s="22" t="s">
        <v>385</v>
      </c>
      <c r="C6" s="22">
        <v>0.0</v>
      </c>
      <c r="D6" s="22">
        <v>0.0</v>
      </c>
      <c r="E6" s="27" t="s">
        <v>376</v>
      </c>
      <c r="F6" s="22" t="s">
        <v>386</v>
      </c>
      <c r="G6" s="22" t="s">
        <v>387</v>
      </c>
    </row>
    <row r="7">
      <c r="A7" s="22">
        <f>ROW()-ROW(Table_Phrases[N])</f>
        <v>5</v>
      </c>
      <c r="B7" s="22" t="s">
        <v>388</v>
      </c>
      <c r="C7" s="22">
        <v>0.0</v>
      </c>
      <c r="D7" s="22">
        <v>0.0</v>
      </c>
      <c r="E7" s="27" t="s">
        <v>376</v>
      </c>
      <c r="F7" s="22" t="s">
        <v>389</v>
      </c>
      <c r="G7" s="22" t="s">
        <v>390</v>
      </c>
    </row>
    <row r="8">
      <c r="A8" s="22">
        <f>ROW()-ROW(Table_Phrases[N])</f>
        <v>6</v>
      </c>
      <c r="B8" s="22" t="s">
        <v>330</v>
      </c>
      <c r="C8" s="22">
        <v>0.0</v>
      </c>
      <c r="D8" s="22">
        <v>0.0</v>
      </c>
      <c r="E8" s="27" t="s">
        <v>376</v>
      </c>
      <c r="F8" s="22" t="s">
        <v>391</v>
      </c>
      <c r="G8" s="22" t="s">
        <v>392</v>
      </c>
    </row>
    <row r="9">
      <c r="A9" s="22">
        <f>ROW()-ROW(Table_Phrases[N])</f>
        <v>7</v>
      </c>
      <c r="B9" s="22" t="s">
        <v>332</v>
      </c>
      <c r="C9" s="22">
        <v>0.0</v>
      </c>
      <c r="D9" s="22">
        <v>0.0</v>
      </c>
      <c r="E9" s="27" t="s">
        <v>376</v>
      </c>
      <c r="F9" s="22" t="s">
        <v>393</v>
      </c>
      <c r="G9" s="22" t="s">
        <v>394</v>
      </c>
    </row>
    <row r="10">
      <c r="A10" s="22">
        <f>ROW()-ROW(Table_Phrases[N])</f>
        <v>8</v>
      </c>
      <c r="B10" s="22" t="s">
        <v>335</v>
      </c>
      <c r="C10" s="22">
        <v>0.0</v>
      </c>
      <c r="D10" s="22">
        <v>0.0</v>
      </c>
      <c r="E10" s="27" t="s">
        <v>376</v>
      </c>
      <c r="F10" s="22" t="s">
        <v>395</v>
      </c>
      <c r="G10" s="22" t="s">
        <v>396</v>
      </c>
    </row>
    <row r="11">
      <c r="A11" s="22">
        <f>ROW()-ROW(Table_Phrases[N])</f>
        <v>9</v>
      </c>
      <c r="B11" s="22" t="s">
        <v>212</v>
      </c>
      <c r="C11" s="22">
        <v>0.0</v>
      </c>
      <c r="D11" s="22">
        <v>0.0</v>
      </c>
      <c r="E11" s="27" t="s">
        <v>376</v>
      </c>
      <c r="F11" s="22" t="s">
        <v>397</v>
      </c>
      <c r="G11" s="22" t="s">
        <v>398</v>
      </c>
    </row>
    <row r="12">
      <c r="A12" s="22">
        <f>ROW()-ROW(Table_Phrases[N])</f>
        <v>10</v>
      </c>
      <c r="B12" s="22" t="s">
        <v>337</v>
      </c>
      <c r="C12" s="22">
        <v>0.0</v>
      </c>
      <c r="D12" s="22">
        <v>0.0</v>
      </c>
      <c r="E12" s="27" t="s">
        <v>376</v>
      </c>
      <c r="F12" s="22" t="s">
        <v>399</v>
      </c>
      <c r="G12" s="22" t="s">
        <v>400</v>
      </c>
    </row>
    <row r="13">
      <c r="A13" s="22">
        <f>ROW()-ROW(Table_Phrases[N])</f>
        <v>11</v>
      </c>
      <c r="B13" s="22" t="s">
        <v>339</v>
      </c>
      <c r="C13" s="22">
        <v>0.0</v>
      </c>
      <c r="D13" s="22">
        <v>0.0</v>
      </c>
      <c r="E13" s="27" t="s">
        <v>376</v>
      </c>
      <c r="F13" s="22" t="s">
        <v>401</v>
      </c>
      <c r="G13" s="22" t="s">
        <v>402</v>
      </c>
    </row>
    <row r="14">
      <c r="A14" s="22">
        <f>ROW()-ROW(Table_Phrases[N])</f>
        <v>12</v>
      </c>
      <c r="B14" s="22" t="s">
        <v>403</v>
      </c>
      <c r="C14" s="22">
        <v>0.0</v>
      </c>
      <c r="D14" s="22">
        <v>0.0</v>
      </c>
      <c r="E14" s="27" t="s">
        <v>374</v>
      </c>
      <c r="F14" s="22" t="s">
        <v>404</v>
      </c>
      <c r="G14" s="22" t="s">
        <v>405</v>
      </c>
    </row>
    <row r="15">
      <c r="A15" s="22">
        <f>ROW()-ROW(Table_Phrases[N])</f>
        <v>13</v>
      </c>
      <c r="B15" s="22" t="s">
        <v>406</v>
      </c>
      <c r="C15" s="22">
        <v>0.0</v>
      </c>
      <c r="D15" s="22">
        <v>0.0</v>
      </c>
      <c r="E15" s="27" t="s">
        <v>374</v>
      </c>
      <c r="F15" s="22" t="s">
        <v>407</v>
      </c>
      <c r="G15" s="22" t="s">
        <v>408</v>
      </c>
    </row>
  </sheetData>
  <dataValidations>
    <dataValidation type="list" allowBlank="1" sqref="E2:E15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409</v>
      </c>
      <c r="C1" s="21" t="s">
        <v>410</v>
      </c>
      <c r="D1" s="21" t="s">
        <v>411</v>
      </c>
      <c r="E1" s="21" t="s">
        <v>412</v>
      </c>
      <c r="F1" s="21" t="s">
        <v>413</v>
      </c>
      <c r="G1" s="21" t="s">
        <v>414</v>
      </c>
      <c r="H1" s="21" t="s">
        <v>415</v>
      </c>
    </row>
    <row r="2" ht="186.0" customHeight="1">
      <c r="A2" s="30">
        <f t="shared" ref="A2:A4" si="1">ROW()-ROW($A$2)-1</f>
        <v>-1</v>
      </c>
      <c r="B2" s="30" t="s">
        <v>416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35" t="s">
        <v>239</v>
      </c>
      <c r="G2" s="35" t="s">
        <v>199</v>
      </c>
      <c r="H2" s="35" t="s">
        <v>375</v>
      </c>
    </row>
    <row r="3" ht="98.25" customHeight="1">
      <c r="A3" s="30">
        <f t="shared" si="1"/>
        <v>0</v>
      </c>
      <c r="B3" s="30" t="s">
        <v>417</v>
      </c>
      <c r="C3" s="40" t="str">
        <f>IFERROR(__xludf.DUMMYFUNCTION("ARRAYFORMULA(
TEXTJOIN(""|"",TRUE,
UNIQUE(TRANSPOSE(
SPLIT(TEXTJOIN("", "",TRUE,
F3
),"", "")
))
)
)"),"BACKGROUND_ROOM_FIRST")</f>
        <v>BACKGROUND_ROOM_FIRST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35" t="s">
        <v>313</v>
      </c>
      <c r="G3" s="35" t="s">
        <v>418</v>
      </c>
      <c r="H3" s="35" t="s">
        <v>375</v>
      </c>
    </row>
    <row r="4">
      <c r="A4" s="30">
        <f t="shared" si="1"/>
        <v>1</v>
      </c>
      <c r="B4" s="30" t="s">
        <v>419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35" t="s">
        <v>289</v>
      </c>
      <c r="G4" s="35" t="s">
        <v>287</v>
      </c>
      <c r="H4" s="35" t="s">
        <v>375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420</v>
      </c>
    </row>
    <row r="2">
      <c r="A2" s="22">
        <f>ROW()-ROW(Table_Characters[N])</f>
        <v>0</v>
      </c>
      <c r="B2" s="22" t="s">
        <v>198</v>
      </c>
    </row>
    <row r="3">
      <c r="A3" s="22">
        <f>ROW()-ROW(Table_Characters[N])</f>
        <v>1</v>
      </c>
      <c r="B3" s="22" t="s">
        <v>205</v>
      </c>
    </row>
    <row r="4">
      <c r="A4" s="22">
        <f>ROW()-ROW(Table_Characters[N])</f>
        <v>2</v>
      </c>
      <c r="B4" s="22" t="s">
        <v>214</v>
      </c>
    </row>
    <row r="5">
      <c r="A5" s="22">
        <f>ROW()-ROW(Table_Characters[N])</f>
        <v>3</v>
      </c>
      <c r="B5" s="22" t="s">
        <v>421</v>
      </c>
    </row>
    <row r="6">
      <c r="A6" s="10"/>
      <c r="B6" s="10"/>
    </row>
    <row r="7">
      <c r="A7" s="19" t="s">
        <v>0</v>
      </c>
      <c r="B7" s="19" t="s">
        <v>422</v>
      </c>
    </row>
    <row r="8">
      <c r="A8" s="22">
        <v>0.0</v>
      </c>
      <c r="B8" s="22" t="s">
        <v>210</v>
      </c>
    </row>
    <row r="9">
      <c r="A9" s="22">
        <v>1.0</v>
      </c>
      <c r="B9" s="22" t="s">
        <v>423</v>
      </c>
    </row>
    <row r="10">
      <c r="A10" s="22">
        <v>2.0</v>
      </c>
      <c r="B10" s="22" t="s">
        <v>201</v>
      </c>
    </row>
    <row r="11">
      <c r="A11" s="22">
        <v>3.0</v>
      </c>
      <c r="B11" s="22" t="s">
        <v>424</v>
      </c>
    </row>
    <row r="12">
      <c r="A12" s="22">
        <v>4.0</v>
      </c>
      <c r="B12" s="22" t="s">
        <v>223</v>
      </c>
    </row>
    <row r="13">
      <c r="A13" s="22">
        <v>5.0</v>
      </c>
      <c r="B13" s="22" t="s">
        <v>220</v>
      </c>
    </row>
    <row r="15">
      <c r="A15" s="19" t="s">
        <v>0</v>
      </c>
      <c r="B15" s="19" t="s">
        <v>425</v>
      </c>
    </row>
    <row r="16">
      <c r="A16" s="22">
        <f>ROW()-ROW(Table_Interaction[N])</f>
        <v>0</v>
      </c>
      <c r="B16" s="22" t="s">
        <v>200</v>
      </c>
    </row>
    <row r="17">
      <c r="A17" s="22">
        <f>ROW()-ROW(Table_Interaction[N])</f>
        <v>1</v>
      </c>
      <c r="B17" s="22" t="s">
        <v>426</v>
      </c>
    </row>
    <row r="18">
      <c r="A18" s="22">
        <f>ROW()-ROW(Table_Interaction[N])</f>
        <v>2</v>
      </c>
      <c r="B18" s="22" t="s">
        <v>219</v>
      </c>
    </row>
    <row r="19">
      <c r="A19" s="22">
        <f>ROW()-ROW(Table_Interaction[N])</f>
        <v>3</v>
      </c>
      <c r="B19" s="22" t="s">
        <v>206</v>
      </c>
    </row>
    <row r="20">
      <c r="A20" s="22">
        <f>ROW()-ROW(Table_Interaction[N])</f>
        <v>4</v>
      </c>
      <c r="B20" s="22" t="s">
        <v>209</v>
      </c>
    </row>
    <row r="21">
      <c r="A21" s="22">
        <f>ROW()-ROW(Table_Interaction[N])</f>
        <v>5</v>
      </c>
      <c r="B21" s="22" t="s">
        <v>226</v>
      </c>
    </row>
    <row r="23">
      <c r="A23" s="19" t="s">
        <v>0</v>
      </c>
      <c r="B23" s="19" t="s">
        <v>427</v>
      </c>
    </row>
    <row r="24">
      <c r="A24" s="22">
        <f>ROW()-ROW(Table_Unchain_Type[N])</f>
        <v>0</v>
      </c>
      <c r="B24" s="22" t="s">
        <v>428</v>
      </c>
    </row>
    <row r="25">
      <c r="A25" s="22">
        <f>ROW()-ROW(Table_Unchain_Type[N])</f>
        <v>1</v>
      </c>
      <c r="B25" s="22" t="s">
        <v>238</v>
      </c>
    </row>
    <row r="26">
      <c r="A26" s="22">
        <f>ROW()-ROW(Table_Unchain_Type[N])</f>
        <v>2</v>
      </c>
      <c r="B26" s="22" t="s">
        <v>249</v>
      </c>
    </row>
    <row r="27">
      <c r="A27" s="22">
        <f>ROW()-ROW(Table_Unchain_Type[N])</f>
        <v>3</v>
      </c>
      <c r="B27" s="22" t="s">
        <v>242</v>
      </c>
    </row>
    <row r="28">
      <c r="A28" s="22">
        <f>ROW()-ROW(Table_Unchain_Type[N])</f>
        <v>4</v>
      </c>
      <c r="B28" s="22" t="s">
        <v>253</v>
      </c>
    </row>
    <row r="29">
      <c r="A29" s="22">
        <f>ROW()-ROW(Table_Unchain_Type[N])</f>
        <v>5</v>
      </c>
      <c r="B29" s="22" t="s">
        <v>429</v>
      </c>
    </row>
    <row r="30">
      <c r="A30" s="22">
        <f>ROW()-ROW(Table_Unchain_Type[N])</f>
        <v>6</v>
      </c>
      <c r="B30" s="22" t="s">
        <v>430</v>
      </c>
    </row>
    <row r="31">
      <c r="A31" s="22">
        <f>ROW()-ROW(Table_Unchain_Type[N])</f>
        <v>7</v>
      </c>
      <c r="B31" s="22" t="s">
        <v>244</v>
      </c>
    </row>
    <row r="33">
      <c r="A33" s="19" t="s">
        <v>0</v>
      </c>
      <c r="B33" s="19" t="s">
        <v>431</v>
      </c>
    </row>
    <row r="34">
      <c r="A34" s="22">
        <v>0.0</v>
      </c>
      <c r="B34" s="22" t="s">
        <v>374</v>
      </c>
    </row>
    <row r="35">
      <c r="A35" s="22">
        <v>1.0</v>
      </c>
      <c r="B35" s="22" t="s">
        <v>376</v>
      </c>
    </row>
    <row r="37">
      <c r="A37" s="19" t="s">
        <v>0</v>
      </c>
      <c r="B37" s="19" t="s">
        <v>432</v>
      </c>
    </row>
    <row r="38">
      <c r="A38" s="22">
        <f>ROW()-ROW(Table_Item_Family_Type[N])</f>
        <v>0</v>
      </c>
      <c r="B38" s="22" t="s">
        <v>265</v>
      </c>
    </row>
    <row r="39">
      <c r="A39" s="22">
        <f>ROW()-ROW(Table_Item_Family_Type[N])</f>
        <v>1</v>
      </c>
      <c r="B39" s="19" t="s">
        <v>433</v>
      </c>
    </row>
    <row r="40">
      <c r="A40" s="22">
        <f>ROW()-ROW(Table_Item_Family_Type[N])</f>
        <v>2</v>
      </c>
      <c r="B40" s="19" t="s">
        <v>275</v>
      </c>
    </row>
    <row r="41">
      <c r="A41" s="22">
        <f>ROW()-ROW(Table_Item_Family_Type[N])</f>
        <v>3</v>
      </c>
      <c r="B41" s="19" t="s">
        <v>285</v>
      </c>
    </row>
    <row r="42">
      <c r="A42" s="22">
        <f>ROW()-ROW(Table_Item_Family_Type[N])</f>
        <v>4</v>
      </c>
      <c r="B42" s="19" t="s">
        <v>268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3" max="3" width="52.71"/>
    <col customWidth="1" min="4" max="4" width="36.43"/>
    <col customWidth="1" min="5" max="5" width="52.71"/>
    <col customWidth="1" min="6" max="6" width="10.0"/>
    <col customWidth="1" min="7" max="7" width="21.71"/>
  </cols>
  <sheetData>
    <row r="1">
      <c r="A1" s="19" t="s">
        <v>0</v>
      </c>
      <c r="B1" s="19" t="s">
        <v>434</v>
      </c>
    </row>
    <row r="2">
      <c r="A2" s="22">
        <f t="shared" ref="A2:A6" si="1">ROW()-ROW($A$2)</f>
        <v>0</v>
      </c>
      <c r="B2" s="22" t="s">
        <v>197</v>
      </c>
    </row>
    <row r="3">
      <c r="A3" s="22">
        <f t="shared" si="1"/>
        <v>1</v>
      </c>
      <c r="B3" s="22" t="s">
        <v>207</v>
      </c>
    </row>
    <row r="4">
      <c r="A4" s="22">
        <f t="shared" si="1"/>
        <v>2</v>
      </c>
      <c r="B4" s="22" t="s">
        <v>216</v>
      </c>
    </row>
    <row r="5">
      <c r="A5" s="22">
        <f t="shared" si="1"/>
        <v>3</v>
      </c>
      <c r="B5" s="22" t="s">
        <v>221</v>
      </c>
    </row>
    <row r="6">
      <c r="A6" s="22">
        <f t="shared" si="1"/>
        <v>4</v>
      </c>
      <c r="B6" s="22" t="s">
        <v>435</v>
      </c>
    </row>
    <row r="8">
      <c r="A8" s="19" t="s">
        <v>0</v>
      </c>
      <c r="B8" s="19" t="s">
        <v>436</v>
      </c>
      <c r="C8" s="41" t="s">
        <v>257</v>
      </c>
      <c r="D8" s="41" t="s">
        <v>437</v>
      </c>
      <c r="E8" s="41" t="s">
        <v>438</v>
      </c>
    </row>
    <row r="9">
      <c r="A9" s="22">
        <f>ROW()-ROW(Table_Memento_Parent[N])</f>
        <v>0</v>
      </c>
      <c r="B9" s="22" t="s">
        <v>439</v>
      </c>
      <c r="C9" s="24" t="s">
        <v>264</v>
      </c>
      <c r="D9" s="24" t="s">
        <v>239</v>
      </c>
      <c r="E9" s="42" t="str">
        <f>IFERROR(__xludf.DUMMYFUNCTION("ArrayFormula(SUBSTITUTE(SUBSTITUTE(JOIN(""|"",UNIQUE(IF(Table_Memento[Parent]=B9,Table_Memento[MEMENTO_ID],""Ñ""))),""Ñ|"",""""),""|Ñ"",""""))"),"MEMENTO_NONE")</f>
        <v>MEMENTO_NONE</v>
      </c>
    </row>
    <row r="10">
      <c r="A10" s="22">
        <f>ROW()-ROW(Table_Memento_Parent[N])</f>
        <v>1</v>
      </c>
      <c r="B10" s="22" t="s">
        <v>440</v>
      </c>
      <c r="C10" s="24" t="s">
        <v>274</v>
      </c>
      <c r="D10" s="24" t="s">
        <v>269</v>
      </c>
      <c r="E10" s="42" t="str">
        <f>IFERROR(__xludf.DUMMYFUNCTION("ArrayFormula(SUBSTITUTE(SUBSTITUTE(JOIN(""|"",UNIQUE(IF(Table_Memento[Parent]=B10,Table_Memento[MEMENTO_ID],""Ñ""))),""Ñ|"",""""),""|Ñ"",""""))"),"MEMENTO_RED_POTION_1|MEMENTO_RED_POTION_2")</f>
        <v>MEMENTO_RED_POTION_1|MEMENTO_RED_POTION_2</v>
      </c>
    </row>
    <row r="11">
      <c r="A11" s="22">
        <f>ROW()-ROW(Table_Memento_Parent[N])</f>
        <v>2</v>
      </c>
      <c r="B11" s="22" t="s">
        <v>441</v>
      </c>
      <c r="C11" s="24" t="s">
        <v>288</v>
      </c>
      <c r="D11" s="24" t="s">
        <v>239</v>
      </c>
      <c r="E11" s="42" t="str">
        <f>IFERROR(__xludf.DUMMYFUNCTION("ArrayFormula(SUBSTITUTE(SUBSTITUTE(JOIN(""|"",UNIQUE(IF(Table_Memento[Parent]=B11,Table_Memento[MEMENTO_ID],""Ñ""))),""Ñ|"",""""),""|Ñ"",""""))"),"MEMENTO_LAST")</f>
        <v>MEMENTO_LAST</v>
      </c>
    </row>
    <row r="13">
      <c r="A13" s="19" t="s">
        <v>0</v>
      </c>
      <c r="B13" s="19" t="s">
        <v>442</v>
      </c>
      <c r="C13" s="43" t="s">
        <v>443</v>
      </c>
      <c r="D13" s="43" t="s">
        <v>444</v>
      </c>
      <c r="E13" s="43" t="s">
        <v>445</v>
      </c>
      <c r="F13" s="43" t="s">
        <v>446</v>
      </c>
    </row>
    <row r="14">
      <c r="A14" s="22">
        <f>ROW()-ROW(Table_Memento[N])</f>
        <v>0</v>
      </c>
      <c r="B14" s="22" t="s">
        <v>240</v>
      </c>
      <c r="C14" s="27" t="s">
        <v>439</v>
      </c>
      <c r="D14" s="27" t="s">
        <v>203</v>
      </c>
      <c r="E14" s="44" t="b">
        <v>0</v>
      </c>
      <c r="F14" s="44" t="b">
        <v>0</v>
      </c>
    </row>
    <row r="15">
      <c r="A15" s="22">
        <f>ROW()-ROW(Table_Memento[N])</f>
        <v>1</v>
      </c>
      <c r="B15" s="22" t="s">
        <v>245</v>
      </c>
      <c r="C15" s="27" t="s">
        <v>440</v>
      </c>
      <c r="D15" s="27" t="s">
        <v>403</v>
      </c>
      <c r="E15" s="44" t="b">
        <v>1</v>
      </c>
      <c r="F15" s="44" t="b">
        <v>0</v>
      </c>
    </row>
    <row r="16">
      <c r="A16" s="22">
        <f>ROW()-ROW(Table_Memento[N])</f>
        <v>2</v>
      </c>
      <c r="B16" s="22" t="s">
        <v>255</v>
      </c>
      <c r="C16" s="27" t="s">
        <v>440</v>
      </c>
      <c r="D16" s="27" t="s">
        <v>406</v>
      </c>
      <c r="E16" s="44" t="b">
        <v>0</v>
      </c>
      <c r="F16" s="44" t="b">
        <v>1</v>
      </c>
    </row>
    <row r="17">
      <c r="A17" s="22">
        <f>ROW()-ROW(Table_Memento[N])</f>
        <v>3</v>
      </c>
      <c r="B17" s="22" t="s">
        <v>447</v>
      </c>
      <c r="C17" s="27" t="s">
        <v>441</v>
      </c>
      <c r="D17" s="27" t="s">
        <v>203</v>
      </c>
      <c r="E17" s="44" t="b">
        <v>0</v>
      </c>
      <c r="F17" s="44" t="b">
        <v>0</v>
      </c>
    </row>
    <row r="19">
      <c r="A19" s="19" t="s">
        <v>0</v>
      </c>
      <c r="B19" s="19" t="s">
        <v>448</v>
      </c>
    </row>
    <row r="20">
      <c r="A20" s="45">
        <f>ROW()-ROW(Table_EventsCombi[N])</f>
        <v>0</v>
      </c>
      <c r="B20" s="46" t="str">
        <f>IFERROR(__xludf.DUMMYFUNCTION("ArrayFormula(FLATTEN(Table_Events[EVENT_ID],""(NOT)""&amp;Table_Events[EVENT_ID]))"),"EVENT_NONE")</f>
        <v>EVENT_NONE</v>
      </c>
    </row>
    <row r="21">
      <c r="A21" s="45">
        <f>ROW()-ROW(Table_EventsCombi[N])</f>
        <v>1</v>
      </c>
      <c r="B21" s="46" t="str">
        <f>IFERROR(__xludf.DUMMYFUNCTION("""COMPUTED_VALUE"""),"EVENT_RED_POTION_TOOK")</f>
        <v>EVENT_RED_POTION_TOOK</v>
      </c>
    </row>
    <row r="22">
      <c r="A22" s="45">
        <f>ROW()-ROW(Table_EventsCombi[N])</f>
        <v>2</v>
      </c>
      <c r="B22" s="46" t="str">
        <f>IFERROR(__xludf.DUMMYFUNCTION("""COMPUTED_VALUE"""),"EVENT_BLUE_POTION_TOOK")</f>
        <v>EVENT_BLUE_POTION_TOOK</v>
      </c>
    </row>
    <row r="23">
      <c r="A23" s="45">
        <f>ROW()-ROW(Table_EventsCombi[N])</f>
        <v>3</v>
      </c>
      <c r="B23" s="46" t="str">
        <f>IFERROR(__xludf.DUMMYFUNCTION("""COMPUTED_VALUE"""),"EVENT_FOUNTAIN_FULL")</f>
        <v>EVENT_FOUNTAIN_FULL</v>
      </c>
    </row>
    <row r="24">
      <c r="A24" s="45">
        <f>ROW()-ROW(Table_EventsCombi[N])</f>
        <v>4</v>
      </c>
      <c r="B24" s="46" t="str">
        <f>IFERROR(__xludf.DUMMYFUNCTION("""COMPUTED_VALUE"""),"EVENT_LAST")</f>
        <v>EVENT_LAST</v>
      </c>
    </row>
    <row r="25">
      <c r="A25" s="45">
        <f>ROW()-ROW(Table_EventsCombi[N])</f>
        <v>5</v>
      </c>
      <c r="B25" s="46" t="str">
        <f>IFERROR(__xludf.DUMMYFUNCTION("""COMPUTED_VALUE"""),"(NOT)EVENT_NONE")</f>
        <v>(NOT)EVENT_NONE</v>
      </c>
    </row>
    <row r="26">
      <c r="A26" s="45">
        <f>ROW()-ROW(Table_EventsCombi[N])</f>
        <v>6</v>
      </c>
      <c r="B26" s="46" t="str">
        <f>IFERROR(__xludf.DUMMYFUNCTION("""COMPUTED_VALUE"""),"(NOT)EVENT_RED_POTION_TOOK")</f>
        <v>(NOT)EVENT_RED_POTION_TOOK</v>
      </c>
    </row>
    <row r="27">
      <c r="A27" s="45">
        <f>ROW()-ROW(Table_EventsCombi[N])</f>
        <v>7</v>
      </c>
      <c r="B27" s="46" t="str">
        <f>IFERROR(__xludf.DUMMYFUNCTION("""COMPUTED_VALUE"""),"(NOT)EVENT_BLUE_POTION_TOOK")</f>
        <v>(NOT)EVENT_BLUE_POTION_TOOK</v>
      </c>
    </row>
    <row r="28">
      <c r="A28" s="45">
        <f>ROW()-ROW(Table_EventsCombi[N])</f>
        <v>8</v>
      </c>
      <c r="B28" s="46" t="str">
        <f>IFERROR(__xludf.DUMMYFUNCTION("""COMPUTED_VALUE"""),"(NOT)EVENT_FOUNTAIN_FULL")</f>
        <v>(NOT)EVENT_FOUNTAIN_FULL</v>
      </c>
    </row>
    <row r="29">
      <c r="A29" s="45">
        <f>ROW()-ROW(Table_EventsCombi[N])</f>
        <v>9</v>
      </c>
      <c r="B29" s="46" t="str">
        <f>IFERROR(__xludf.DUMMYFUNCTION("""COMPUTED_VALUE"""),"(NOT)EVENT_LAST")</f>
        <v>(NOT)EVENT_LAST</v>
      </c>
    </row>
    <row r="30">
      <c r="A30" s="45">
        <f>ROW()-ROW(Table_EventsCombi[N])</f>
        <v>10</v>
      </c>
      <c r="B30" s="46"/>
    </row>
    <row r="31">
      <c r="A31" s="45">
        <f>ROW()-ROW(Table_EventsCombi[N])</f>
        <v>11</v>
      </c>
      <c r="B31" s="46"/>
    </row>
    <row r="32">
      <c r="A32" s="45">
        <f>ROW()-ROW(Table_EventsCombi[N])</f>
        <v>12</v>
      </c>
      <c r="B32" s="46"/>
    </row>
    <row r="33">
      <c r="A33" s="45">
        <f>ROW()-ROW(Table_EventsCombi[N])</f>
        <v>13</v>
      </c>
      <c r="B33" s="46"/>
    </row>
    <row r="34">
      <c r="A34" s="45">
        <f>ROW()-ROW(Table_EventsCombi[N])</f>
        <v>14</v>
      </c>
      <c r="B34" s="46"/>
    </row>
    <row r="35">
      <c r="A35" s="45">
        <f>ROW()-ROW(Table_EventsCombi[N])</f>
        <v>15</v>
      </c>
      <c r="B35" s="46"/>
    </row>
    <row r="36">
      <c r="A36" s="45">
        <f>ROW()-ROW(Table_EventsCombi[N])</f>
        <v>16</v>
      </c>
      <c r="B36" s="46"/>
    </row>
    <row r="37">
      <c r="A37" s="45">
        <f>ROW()-ROW(Table_EventsCombi[N])</f>
        <v>17</v>
      </c>
      <c r="B37" s="46"/>
    </row>
    <row r="38">
      <c r="A38" s="45">
        <f>ROW()-ROW(Table_EventsCombi[N])</f>
        <v>18</v>
      </c>
      <c r="B38" s="46"/>
    </row>
    <row r="39">
      <c r="A39" s="45">
        <f>ROW()-ROW(Table_EventsCombi[N])</f>
        <v>19</v>
      </c>
      <c r="B39" s="46"/>
    </row>
    <row r="40">
      <c r="A40" s="45">
        <f>ROW()-ROW(Table_EventsCombi[N])</f>
        <v>20</v>
      </c>
      <c r="B40" s="46"/>
    </row>
    <row r="41">
      <c r="A41" s="45">
        <f>ROW()-ROW(Table_EventsCombi[N])</f>
        <v>21</v>
      </c>
      <c r="B41" s="46"/>
    </row>
    <row r="42">
      <c r="A42" s="45">
        <f>ROW()-ROW(Table_EventsCombi[N])</f>
        <v>22</v>
      </c>
      <c r="B42" s="46"/>
    </row>
  </sheetData>
  <dataValidations>
    <dataValidation type="list" allowBlank="1" sqref="C9:D11 C14:D17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449</v>
      </c>
      <c r="C1" s="10" t="s">
        <v>450</v>
      </c>
    </row>
    <row r="2">
      <c r="A2" s="10">
        <f t="shared" ref="A2:A32" si="1">ROW()-ROW($G$2)</f>
        <v>0</v>
      </c>
      <c r="B2" s="47" t="str">
        <f>OFFSET(ITEMS!$B$6,A2,0)</f>
        <v>ITEM_POTION</v>
      </c>
      <c r="C2" s="10" t="s">
        <v>451</v>
      </c>
    </row>
    <row r="3">
      <c r="A3" s="10">
        <f t="shared" si="1"/>
        <v>1</v>
      </c>
      <c r="B3" s="47" t="str">
        <f>OFFSET(ITEMS!$B$6,A3,0)</f>
        <v>ITEM_POTION_BLUE</v>
      </c>
      <c r="C3" s="10" t="s">
        <v>451</v>
      </c>
    </row>
    <row r="4">
      <c r="A4" s="10">
        <f t="shared" si="1"/>
        <v>2</v>
      </c>
      <c r="B4" s="47" t="str">
        <f>OFFSET(ITEMS!$B$6,A4,0)</f>
        <v>ITEM_FOUNTAIN</v>
      </c>
      <c r="C4" s="10" t="s">
        <v>451</v>
      </c>
    </row>
    <row r="5">
      <c r="A5" s="10">
        <f t="shared" si="1"/>
        <v>3</v>
      </c>
      <c r="B5" s="47" t="str">
        <f>OFFSET(ITEMS!$B$6,A5,0)</f>
        <v>ITEM_NPC_MILITO</v>
      </c>
      <c r="C5" s="10" t="s">
        <v>451</v>
      </c>
    </row>
    <row r="6">
      <c r="A6" s="10">
        <f t="shared" si="1"/>
        <v>4</v>
      </c>
      <c r="B6" s="47" t="str">
        <f>OFFSET(ITEMS!$B$6,A6,0)</f>
        <v>ITEM_LAST</v>
      </c>
      <c r="C6" s="47"/>
    </row>
    <row r="7">
      <c r="A7" s="10">
        <f t="shared" si="1"/>
        <v>5</v>
      </c>
      <c r="B7" s="47" t="str">
        <f>OFFSET(ITEMS!$B$6,A7,0)</f>
        <v/>
      </c>
      <c r="C7" s="47"/>
    </row>
    <row r="8">
      <c r="A8" s="10">
        <f t="shared" si="1"/>
        <v>6</v>
      </c>
      <c r="B8" s="47" t="str">
        <f>OFFSET(ITEMS!$B$6,A8,0)</f>
        <v/>
      </c>
      <c r="C8" s="47"/>
    </row>
    <row r="9">
      <c r="A9" s="10">
        <f t="shared" si="1"/>
        <v>7</v>
      </c>
      <c r="B9" s="47" t="str">
        <f>OFFSET(ITEMS!$B$6,A9,0)</f>
        <v/>
      </c>
      <c r="C9" s="47"/>
    </row>
    <row r="10">
      <c r="A10" s="10">
        <f t="shared" si="1"/>
        <v>8</v>
      </c>
      <c r="B10" s="47" t="str">
        <f>OFFSET(ITEMS!$B$6,A10,0)</f>
        <v/>
      </c>
      <c r="C10" s="47"/>
    </row>
    <row r="11">
      <c r="A11" s="10">
        <f t="shared" si="1"/>
        <v>9</v>
      </c>
      <c r="B11" s="47" t="str">
        <f>OFFSET(ITEMS!$B$6,A11,0)</f>
        <v/>
      </c>
      <c r="C11" s="47"/>
    </row>
    <row r="12">
      <c r="A12" s="10">
        <f t="shared" si="1"/>
        <v>10</v>
      </c>
      <c r="B12" s="47" t="str">
        <f>OFFSET(ITEMS!$B$6,A12,0)</f>
        <v/>
      </c>
      <c r="C12" s="47"/>
    </row>
    <row r="13">
      <c r="A13" s="10">
        <f t="shared" si="1"/>
        <v>11</v>
      </c>
      <c r="B13" s="47" t="str">
        <f>OFFSET(ITEMS!$B$6,A13,0)</f>
        <v/>
      </c>
      <c r="C13" s="47"/>
    </row>
    <row r="14">
      <c r="A14" s="10">
        <f t="shared" si="1"/>
        <v>12</v>
      </c>
      <c r="B14" s="47" t="str">
        <f>OFFSET(ITEMS!$B$6,A14,0)</f>
        <v/>
      </c>
      <c r="C14" s="47"/>
    </row>
    <row r="15">
      <c r="A15" s="10">
        <f t="shared" si="1"/>
        <v>13</v>
      </c>
      <c r="B15" s="47" t="str">
        <f>OFFSET(ITEMS!$B$6,A15,0)</f>
        <v/>
      </c>
      <c r="C15" s="47"/>
    </row>
    <row r="16">
      <c r="A16" s="10">
        <f t="shared" si="1"/>
        <v>14</v>
      </c>
      <c r="B16" s="47" t="str">
        <f>OFFSET(ITEMS!$B$6,A16,0)</f>
        <v/>
      </c>
      <c r="C16" s="47"/>
    </row>
    <row r="17">
      <c r="A17" s="10">
        <f t="shared" si="1"/>
        <v>15</v>
      </c>
      <c r="B17" s="47" t="str">
        <f>OFFSET(ITEMS!$B$6,A17,0)</f>
        <v/>
      </c>
      <c r="C17" s="47"/>
    </row>
    <row r="18">
      <c r="A18" s="10">
        <f t="shared" si="1"/>
        <v>16</v>
      </c>
      <c r="B18" s="47" t="str">
        <f>OFFSET(ITEMS!$B$6,A18,0)</f>
        <v/>
      </c>
      <c r="C18" s="47"/>
    </row>
    <row r="19">
      <c r="A19" s="10">
        <f t="shared" si="1"/>
        <v>17</v>
      </c>
      <c r="B19" s="47" t="str">
        <f>OFFSET(ITEMS!$B$6,A19,0)</f>
        <v/>
      </c>
      <c r="C19" s="47"/>
    </row>
    <row r="20">
      <c r="A20" s="10">
        <f t="shared" si="1"/>
        <v>18</v>
      </c>
      <c r="B20" s="47" t="str">
        <f>OFFSET(ITEMS!$B$6,A20,0)</f>
        <v/>
      </c>
      <c r="C20" s="47"/>
    </row>
    <row r="21">
      <c r="A21" s="10">
        <f t="shared" si="1"/>
        <v>19</v>
      </c>
      <c r="B21" s="47" t="str">
        <f>OFFSET(ITEMS!$B$6,A21,0)</f>
        <v/>
      </c>
      <c r="C21" s="47"/>
    </row>
    <row r="22">
      <c r="A22" s="10">
        <f t="shared" si="1"/>
        <v>20</v>
      </c>
      <c r="B22" s="47" t="str">
        <f>OFFSET(ITEMS!$B$6,A22,0)</f>
        <v/>
      </c>
      <c r="C22" s="47"/>
    </row>
    <row r="23">
      <c r="A23" s="10">
        <f t="shared" si="1"/>
        <v>21</v>
      </c>
      <c r="B23" s="47" t="str">
        <f>OFFSET(ITEMS!$B$6,A23,0)</f>
        <v/>
      </c>
      <c r="C23" s="47"/>
    </row>
    <row r="24">
      <c r="A24" s="10">
        <f t="shared" si="1"/>
        <v>22</v>
      </c>
      <c r="B24" s="47" t="str">
        <f>OFFSET(ITEMS!$B$6,A24,0)</f>
        <v/>
      </c>
      <c r="C24" s="47"/>
    </row>
    <row r="25">
      <c r="A25" s="10">
        <f t="shared" si="1"/>
        <v>23</v>
      </c>
      <c r="B25" s="47" t="str">
        <f>OFFSET(ITEMS!$B$6,A25,0)</f>
        <v/>
      </c>
      <c r="C25" s="47"/>
    </row>
    <row r="26">
      <c r="A26" s="10">
        <f t="shared" si="1"/>
        <v>24</v>
      </c>
      <c r="B26" s="47" t="str">
        <f>OFFSET(ITEMS!$B$6,A26,0)</f>
        <v/>
      </c>
      <c r="C26" s="47"/>
    </row>
    <row r="27">
      <c r="A27" s="10">
        <f t="shared" si="1"/>
        <v>25</v>
      </c>
      <c r="B27" s="47" t="str">
        <f>OFFSET(ITEMS!$B$6,A27,0)</f>
        <v/>
      </c>
      <c r="C27" s="47"/>
    </row>
    <row r="28">
      <c r="A28" s="10">
        <f t="shared" si="1"/>
        <v>26</v>
      </c>
      <c r="B28" s="47" t="str">
        <f>OFFSET(ITEMS!$B$6,A28,0)</f>
        <v/>
      </c>
      <c r="C28" s="47"/>
    </row>
    <row r="29">
      <c r="A29" s="10">
        <f t="shared" si="1"/>
        <v>27</v>
      </c>
      <c r="B29" s="47" t="str">
        <f>OFFSET(ITEMS!$B$6,A29,0)</f>
        <v/>
      </c>
      <c r="C29" s="47"/>
    </row>
    <row r="30">
      <c r="A30" s="10">
        <f t="shared" si="1"/>
        <v>28</v>
      </c>
      <c r="B30" s="47" t="str">
        <f>OFFSET(ITEMS!$B$6,A30,0)</f>
        <v/>
      </c>
      <c r="C30" s="47"/>
    </row>
    <row r="31">
      <c r="A31" s="10">
        <f t="shared" si="1"/>
        <v>29</v>
      </c>
      <c r="B31" s="47" t="str">
        <f>OFFSET(ITEMS!$B$6,A31,0)</f>
        <v/>
      </c>
      <c r="C31" s="47"/>
    </row>
    <row r="32">
      <c r="A32" s="10">
        <f t="shared" si="1"/>
        <v>30</v>
      </c>
      <c r="B32" s="47" t="str">
        <f>OFFSET(ITEMS!$B$6,A32,0)</f>
        <v/>
      </c>
      <c r="C32" s="47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452</v>
      </c>
      <c r="B1" s="19" t="s">
        <v>453</v>
      </c>
      <c r="C1" s="19" t="s">
        <v>454</v>
      </c>
      <c r="D1" s="19" t="s">
        <v>455</v>
      </c>
    </row>
    <row r="2">
      <c r="A2" s="22" t="s">
        <v>456</v>
      </c>
      <c r="B2" s="48">
        <v>1.0</v>
      </c>
      <c r="C2" s="22" t="b">
        <v>1</v>
      </c>
      <c r="D2" s="22" t="b">
        <v>1</v>
      </c>
    </row>
    <row r="3">
      <c r="A3" s="22" t="s">
        <v>457</v>
      </c>
      <c r="B3" s="48">
        <v>1.0</v>
      </c>
      <c r="C3" s="22" t="b">
        <v>0</v>
      </c>
      <c r="D3" s="22" t="b">
        <v>1</v>
      </c>
    </row>
    <row r="4">
      <c r="A4" s="22" t="s">
        <v>458</v>
      </c>
      <c r="B4" s="48">
        <v>3.0</v>
      </c>
      <c r="C4" s="22" t="b">
        <v>1</v>
      </c>
      <c r="D4" s="22" t="b">
        <v>1</v>
      </c>
    </row>
    <row r="5">
      <c r="A5" s="22" t="s">
        <v>459</v>
      </c>
      <c r="B5" s="48">
        <v>1.0</v>
      </c>
      <c r="C5" s="22" t="b">
        <v>1</v>
      </c>
      <c r="D5" s="22" t="b">
        <v>1</v>
      </c>
    </row>
    <row r="6">
      <c r="A6" s="22" t="s">
        <v>460</v>
      </c>
      <c r="B6" s="48">
        <v>3.0</v>
      </c>
      <c r="C6" s="22" t="b">
        <v>1</v>
      </c>
      <c r="D6" s="22" t="b">
        <v>1</v>
      </c>
    </row>
    <row r="7">
      <c r="A7" s="22" t="s">
        <v>461</v>
      </c>
      <c r="B7" s="48">
        <v>3.0</v>
      </c>
      <c r="C7" s="22" t="b">
        <v>1</v>
      </c>
      <c r="D7" s="22" t="b">
        <v>1</v>
      </c>
    </row>
    <row r="8">
      <c r="A8" s="22" t="s">
        <v>462</v>
      </c>
      <c r="B8" s="48">
        <v>5.0</v>
      </c>
      <c r="C8" s="22" t="b">
        <v>1</v>
      </c>
      <c r="D8" s="22" t="b">
        <v>1</v>
      </c>
    </row>
    <row r="9">
      <c r="A9" s="22" t="s">
        <v>463</v>
      </c>
      <c r="B9" s="48">
        <v>4.0</v>
      </c>
      <c r="C9" s="22" t="b">
        <v>0</v>
      </c>
      <c r="D9" s="22" t="b">
        <v>1</v>
      </c>
    </row>
    <row r="10">
      <c r="A10" s="22" t="s">
        <v>464</v>
      </c>
      <c r="B10" s="48"/>
      <c r="C10" s="22" t="b">
        <v>0</v>
      </c>
      <c r="D10" s="22" t="b">
        <v>0</v>
      </c>
    </row>
    <row r="11">
      <c r="A11" s="22" t="s">
        <v>465</v>
      </c>
      <c r="B11" s="48">
        <v>4.0</v>
      </c>
      <c r="C11" s="22" t="b">
        <v>0</v>
      </c>
      <c r="D11" s="22" t="b">
        <v>0</v>
      </c>
    </row>
    <row r="12">
      <c r="A12" s="22" t="s">
        <v>466</v>
      </c>
      <c r="B12" s="48">
        <v>1.0</v>
      </c>
      <c r="C12" s="22" t="b">
        <v>1</v>
      </c>
      <c r="D12" s="22" t="b">
        <v>1</v>
      </c>
    </row>
    <row r="13">
      <c r="A13" s="22" t="s">
        <v>467</v>
      </c>
      <c r="B13" s="48">
        <v>4.0</v>
      </c>
      <c r="C13" s="22" t="b">
        <v>1</v>
      </c>
      <c r="D13" s="22" t="b">
        <v>1</v>
      </c>
    </row>
    <row r="14">
      <c r="A14" s="22" t="s">
        <v>468</v>
      </c>
      <c r="B14" s="48">
        <v>1.0</v>
      </c>
      <c r="C14" s="22" t="b">
        <v>1</v>
      </c>
      <c r="D14" s="22" t="b">
        <v>1</v>
      </c>
    </row>
    <row r="15">
      <c r="A15" s="22" t="s">
        <v>469</v>
      </c>
      <c r="B15" s="48">
        <v>2.0</v>
      </c>
      <c r="C15" s="22" t="b">
        <v>1</v>
      </c>
      <c r="D15" s="22" t="b">
        <v>1</v>
      </c>
    </row>
    <row r="16">
      <c r="A16" s="22" t="s">
        <v>470</v>
      </c>
      <c r="B16" s="48">
        <v>3.0</v>
      </c>
      <c r="C16" s="22" t="b">
        <v>1</v>
      </c>
      <c r="D16" s="22" t="b">
        <v>1</v>
      </c>
    </row>
    <row r="17">
      <c r="A17" s="22" t="s">
        <v>471</v>
      </c>
      <c r="B17" s="48">
        <v>2.0</v>
      </c>
      <c r="C17" s="22" t="b">
        <v>1</v>
      </c>
      <c r="D17" s="22" t="b">
        <v>1</v>
      </c>
    </row>
    <row r="18">
      <c r="A18" s="22" t="s">
        <v>472</v>
      </c>
      <c r="B18" s="48">
        <v>2.0</v>
      </c>
      <c r="C18" s="22" t="b">
        <v>1</v>
      </c>
      <c r="D18" s="22" t="b">
        <v>1</v>
      </c>
    </row>
    <row r="19">
      <c r="A19" s="22" t="s">
        <v>473</v>
      </c>
      <c r="B19" s="48">
        <v>2.0</v>
      </c>
      <c r="C19" s="22" t="b">
        <v>1</v>
      </c>
      <c r="D19" s="22" t="b">
        <v>1</v>
      </c>
    </row>
    <row r="20">
      <c r="A20" s="22" t="s">
        <v>474</v>
      </c>
      <c r="B20" s="48">
        <v>2.0</v>
      </c>
      <c r="C20" s="22" t="b">
        <v>1</v>
      </c>
      <c r="D20" s="22" t="b">
        <v>1</v>
      </c>
    </row>
    <row r="21">
      <c r="A21" s="22" t="s">
        <v>475</v>
      </c>
      <c r="B21" s="48">
        <v>3.0</v>
      </c>
      <c r="C21" s="22" t="b">
        <v>1</v>
      </c>
      <c r="D21" s="22" t="b">
        <v>1</v>
      </c>
    </row>
    <row r="22">
      <c r="A22" s="22" t="s">
        <v>476</v>
      </c>
      <c r="B22" s="48">
        <v>2.0</v>
      </c>
      <c r="C22" s="22" t="b">
        <v>1</v>
      </c>
      <c r="D22" s="22" t="b">
        <v>1</v>
      </c>
    </row>
    <row r="23">
      <c r="A23" s="22" t="s">
        <v>477</v>
      </c>
      <c r="B23" s="48">
        <v>2.0</v>
      </c>
      <c r="C23" s="22" t="b">
        <v>1</v>
      </c>
      <c r="D23" s="22" t="b">
        <v>1</v>
      </c>
    </row>
    <row r="24">
      <c r="A24" s="22" t="s">
        <v>478</v>
      </c>
      <c r="B24" s="48">
        <v>2.0</v>
      </c>
      <c r="C24" s="22" t="b">
        <v>1</v>
      </c>
      <c r="D24" s="22" t="b">
        <v>1</v>
      </c>
    </row>
    <row r="25">
      <c r="A25" s="22" t="s">
        <v>479</v>
      </c>
      <c r="B25" s="48">
        <v>2.0</v>
      </c>
      <c r="C25" s="22" t="b">
        <v>1</v>
      </c>
      <c r="D25" s="22" t="b">
        <v>1</v>
      </c>
    </row>
    <row r="26">
      <c r="A26" s="22" t="s">
        <v>480</v>
      </c>
      <c r="B26" s="48">
        <v>2.0</v>
      </c>
      <c r="C26" s="22" t="b">
        <v>1</v>
      </c>
      <c r="D26" s="22" t="b">
        <v>1</v>
      </c>
    </row>
    <row r="27">
      <c r="A27" s="22" t="s">
        <v>481</v>
      </c>
      <c r="B27" s="48">
        <v>2.0</v>
      </c>
      <c r="C27" s="22" t="b">
        <v>1</v>
      </c>
      <c r="D27" s="22" t="b">
        <v>1</v>
      </c>
    </row>
    <row r="28">
      <c r="A28" s="22" t="s">
        <v>366</v>
      </c>
      <c r="B28" s="48">
        <v>5.0</v>
      </c>
      <c r="C28" s="22" t="b">
        <v>0</v>
      </c>
      <c r="D28" s="22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49" t="s">
        <v>482</v>
      </c>
      <c r="B1" s="49" t="s">
        <v>483</v>
      </c>
      <c r="D1" s="49" t="s">
        <v>484</v>
      </c>
      <c r="E1" s="49" t="s">
        <v>483</v>
      </c>
    </row>
    <row r="2" ht="22.5" customHeight="1">
      <c r="A2" s="50" t="str">
        <f>IFERROR(__xludf.DUMMYFUNCTION("FILTER(Table_PickableSprites[WORK],Table_PickableSprites[WORK]&lt;&gt;"""")"),"SPRITE_POTION_RED")</f>
        <v>SPRITE_POTION_RED</v>
      </c>
      <c r="B2" s="50" t="str">
        <f t="array" ref="B2:B10">IF(Table_Items[SpritePickable]&lt;&gt;"SPRITE_NONE",Table_Items[SpritePickable],"")</f>
        <v/>
      </c>
      <c r="D2" s="50" t="str">
        <f>IFERROR(__xludf.DUMMYFUNCTION("FILTER(Table_PickableNames[WORK],Table_PickableNames[WORK]&lt;&gt;"""")"),"NAME_ITEM_POTION")</f>
        <v>NAME_ITEM_POTION</v>
      </c>
      <c r="E2" s="50" t="str">
        <f t="array" ref="E2:E10">IF(Table_Items[SpritePickable]&lt;&gt;"SPRITE_NONE",Table_Items[Name],"")</f>
        <v/>
      </c>
    </row>
    <row r="3" ht="22.5" customHeight="1">
      <c r="A3" s="50" t="str">
        <f>IFERROR(__xludf.DUMMYFUNCTION("""COMPUTED_VALUE"""),"SPRITE_POTION_BLUE")</f>
        <v>SPRITE_POTION_BLUE</v>
      </c>
      <c r="B3" s="50" t="s">
        <v>20</v>
      </c>
      <c r="D3" s="50" t="str">
        <f>IFERROR(__xludf.DUMMYFUNCTION("""COMPUTED_VALUE"""),"NAME_ITEM_BLUE_POTION")</f>
        <v>NAME_ITEM_BLUE_POTION</v>
      </c>
      <c r="E3" s="50" t="s">
        <v>20</v>
      </c>
    </row>
    <row r="4" ht="22.5" customHeight="1">
      <c r="B4" s="50" t="s">
        <v>20</v>
      </c>
      <c r="E4" s="50" t="s">
        <v>20</v>
      </c>
    </row>
    <row r="5" ht="22.5" customHeight="1">
      <c r="B5" s="50" t="s">
        <v>20</v>
      </c>
      <c r="E5" s="50" t="s">
        <v>20</v>
      </c>
    </row>
    <row r="6" ht="22.5" customHeight="1">
      <c r="B6" s="50" t="s">
        <v>269</v>
      </c>
      <c r="E6" s="50" t="s">
        <v>274</v>
      </c>
    </row>
    <row r="7" ht="22.5" customHeight="1">
      <c r="B7" s="50" t="s">
        <v>278</v>
      </c>
      <c r="E7" s="50" t="s">
        <v>277</v>
      </c>
    </row>
    <row r="8" ht="22.5" customHeight="1">
      <c r="B8" s="50" t="s">
        <v>20</v>
      </c>
      <c r="E8" s="50" t="s">
        <v>20</v>
      </c>
    </row>
    <row r="9" ht="22.5" customHeight="1">
      <c r="B9" s="50" t="s">
        <v>20</v>
      </c>
      <c r="E9" s="50" t="s">
        <v>20</v>
      </c>
    </row>
    <row r="10" ht="22.5" customHeight="1">
      <c r="B10" s="50" t="s">
        <v>20</v>
      </c>
      <c r="E10" s="50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