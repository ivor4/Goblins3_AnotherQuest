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RMAP" sheetId="1" r:id="rId4"/>
    <sheet state="visible" name="SERVICES" sheetId="2" r:id="rId5"/>
    <sheet state="visible" name="ITEMS" sheetId="3" r:id="rId6"/>
    <sheet state="visible" name="ACTION_CONDS" sheetId="4" r:id="rId7"/>
    <sheet state="visible" name="SPRITES" sheetId="5" r:id="rId8"/>
    <sheet state="visible" name="DIALOGS" sheetId="6" r:id="rId9"/>
    <sheet state="visible" name="NAMES" sheetId="7" r:id="rId10"/>
    <sheet state="visible" name="PHRASES" sheetId="8" r:id="rId11"/>
    <sheet state="visible" name="ROOMS" sheetId="9" r:id="rId12"/>
    <sheet state="visible" name="TYPES" sheetId="10" r:id="rId13"/>
    <sheet state="visible" name="EVENTS" sheetId="11" r:id="rId14"/>
    <sheet state="visible" name="_ITEM_AVAIL" sheetId="12" r:id="rId15"/>
    <sheet state="visible" name="_TODO" sheetId="13" r:id="rId16"/>
    <sheet state="visible" name="_CONSTANTS" sheetId="14" r:id="rId17"/>
  </sheets>
  <definedNames/>
  <calcPr/>
  <extLst>
    <ext uri="GoogleSheetsCustomDataVersion2">
      <go:sheetsCustomData xmlns:go="http://customooxmlschemas.google.com/" r:id="rId18" roundtripDataChecksum="BV928myRQABwIIjFZ4C6vv98wRpbtoIxaqutUi5Ok+4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
======</t>
      </text>
    </comment>
    <comment authorId="0" ref="E6">
      <text>
        <t xml:space="preserve">Calculated
======</t>
      </text>
    </comment>
    <comment authorId="0" ref="E7">
      <text>
        <t xml:space="preserve">Calculated
======</t>
      </text>
    </comment>
    <comment authorId="0" ref="E8">
      <text>
        <t xml:space="preserve">Calculated
======</t>
      </text>
    </comment>
    <comment authorId="0" ref="E9">
      <text>
        <t xml:space="preserve">Calculated
======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2">
      <text>
        <t xml:space="preserve">Event triggered after all phrases
======</t>
      </text>
    </comment>
    <comment authorId="0" ref="E12">
      <text>
        <t xml:space="preserve">New dialog shown after all phrases have been said
======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======</t>
      </text>
    </comment>
  </commentList>
</comments>
</file>

<file path=xl/sharedStrings.xml><?xml version="1.0" encoding="utf-8"?>
<sst xmlns="http://schemas.openxmlformats.org/spreadsheetml/2006/main" count="2284" uniqueCount="892">
  <si>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</si>
  <si>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</si>
  <si>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</si>
  <si>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</si>
  <si>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</si>
  <si>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</si>
  <si>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</si>
  <si>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</si>
  <si>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</si>
  <si>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</si>
  <si>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</si>
  <si>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</si>
  <si>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GameMenu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</si>
  <si>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</si>
  <si>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</si>
  <si>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</si>
  <si>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</si>
  <si>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</si>
  <si>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</si>
  <si>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</si>
  <si>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</si>
  <si>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</si>
  <si>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</si>
  <si>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</si>
  <si>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</si>
  <si>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</si>
  <si>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</si>
  <si>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</si>
  <si>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</si>
  <si>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</si>
  <si>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</si>
  <si>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</si>
  <si>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</si>
  <si>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</si>
  <si>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</si>
  <si>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</si>
  <si>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</si>
  <si>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</si>
  <si>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</si>
  <si>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</si>
  <si>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</si>
  <si>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</si>
  <si>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</si>
  <si>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</si>
  <si>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</si>
  <si>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</si>
  <si>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</si>
  <si>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</si>
  <si>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</si>
  <si>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</si>
  <si>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</si>
  <si>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</si>
  <si>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</si>
  <si>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</si>
  <si>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</si>
  <si>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GameItem</t>
  </si>
  <si>
    <t>GameItem.ITEM_NONE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</si>
  <si>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</si>
  <si>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</si>
  <si>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</si>
  <si>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</si>
  <si>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</si>
  <si>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</si>
  <si>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</si>
  <si>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</si>
  <si>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</si>
  <si>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</si>
  <si>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</si>
  <si>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</si>
  <si>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</si>
  <si>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</si>
  <si>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</si>
  <si>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</si>
  <si>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</si>
  <si>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</si>
  <si>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</si>
  <si>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</si>
  <si>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</si>
  <si>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</si>
  <si>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</si>
  <si>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</si>
  <si>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</si>
  <si>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</si>
  <si>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</si>
  <si>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</si>
  <si>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</si>
  <si>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</si>
  <si>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</si>
  <si>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</si>
  <si>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</si>
  <si>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</si>
  <si>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</si>
  <si>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</si>
  <si>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</si>
  <si>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</si>
  <si>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</si>
  <si>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</si>
  <si>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</si>
  <si>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</si>
  <si>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</si>
  <si>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</si>
  <si>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</si>
  <si>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</si>
  <si>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</si>
  <si>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</si>
  <si>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</si>
  <si>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</si>
  <si>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</si>
  <si>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</si>
  <si>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</si>
  <si>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</si>
  <si>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</si>
  <si>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</si>
  <si>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</si>
  <si>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</si>
  <si>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</si>
  <si>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</si>
  <si>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</si>
  <si>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</si>
  <si>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</si>
  <si>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</si>
  <si>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</si>
  <si>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GAME_ELEMENT_HOVER</t>
  </si>
  <si>
    <t>GAME_ELEMENT_HOVER_DELEGATE</t>
  </si>
  <si>
    <t>LevelMasterClass.GameElementOverService</t>
  </si>
  <si>
    <t>Any of Game Elements (Player or Item or Door) will call with essential info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</si>
  <si>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</si>
  <si>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</si>
  <si>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</si>
  <si>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</si>
  <si>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</si>
  <si>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</si>
  <si>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</si>
  <si>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</si>
  <si>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</si>
  <si>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</si>
  <si>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</si>
  <si>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</si>
  <si>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</si>
  <si>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</si>
  <si>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</si>
  <si>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</si>
  <si>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</si>
  <si>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</si>
  <si>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</si>
  <si>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</si>
  <si>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</si>
  <si>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</si>
  <si>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</si>
  <si>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</si>
  <si>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</si>
  <si>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</si>
  <si>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</si>
  <si>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</si>
  <si>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</si>
  <si>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</si>
  <si>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</si>
  <si>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</si>
  <si>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UNCHAIN_TO_ITEM</t>
  </si>
  <si>
    <t>UNCHAIN_TO_ITEM_DELEGATE</t>
  </si>
  <si>
    <t>ItemMasterClass.UnchainToItemService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</si>
  <si>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</si>
  <si>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</si>
  <si>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</si>
  <si>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</si>
  <si>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</si>
  <si>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</si>
  <si>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</si>
  <si>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</si>
  <si>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</si>
  <si>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</si>
  <si>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</si>
  <si>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</si>
  <si>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</si>
  <si>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</si>
  <si>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</si>
  <si>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</si>
  <si>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</si>
  <si>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</si>
  <si>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</si>
  <si>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</si>
  <si>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</si>
  <si>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</si>
  <si>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</si>
  <si>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</si>
  <si>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</si>
  <si>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</si>
  <si>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</si>
  <si>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GameMenuClass.ShowDialogueService</t>
  </si>
  <si>
    <t>Second part of start dialogue. Tells Game Menu to prepare menu elements</t>
  </si>
  <si>
    <t>ZOOM_SUBSCRIPTION</t>
  </si>
  <si>
    <t>ZOOM_SUBSCRIPTION_DELEGATE</t>
  </si>
  <si>
    <t>GraphicsMasterClass.ZoomSubscriptionService</t>
  </si>
  <si>
    <t>Subscribe to zoom changes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</si>
  <si>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</si>
  <si>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</si>
  <si>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</si>
  <si>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</si>
  <si>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</si>
  <si>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</si>
  <si>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</si>
  <si>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</si>
  <si>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</si>
  <si>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ActionConditions</t>
  </si>
  <si>
    <t>ITEM_NONE</t>
  </si>
  <si>
    <t>NAME_NONE</t>
  </si>
  <si>
    <t>ITEM_FAMILY_TYPE_NONE</t>
  </si>
  <si>
    <t>SPRITE_NONE</t>
  </si>
  <si>
    <t>COND_OK</t>
  </si>
  <si>
    <t>ITEM_PLAYER_MAIN</t>
  </si>
  <si>
    <t>NAME_CHAR_MAIN</t>
  </si>
  <si>
    <t>ITEM_FAMILY_TYPE_PLAYER</t>
  </si>
  <si>
    <t>ITEM_PLAYER_PARROT</t>
  </si>
  <si>
    <t>NAME_CHAR_PARROT</t>
  </si>
  <si>
    <t>ITEM_PLAYER_SNAKE</t>
  </si>
  <si>
    <t>NAME_CHAR_SNAKE</t>
  </si>
  <si>
    <t>ITEM_VICTIM</t>
  </si>
  <si>
    <t>NAME_VICTIM</t>
  </si>
  <si>
    <t>ITEM_FAMILY_TYPE_NPC</t>
  </si>
  <si>
    <t>SPRITE_ROOM1_VICTIM</t>
  </si>
  <si>
    <t>COND_ROOM1_OBSERVE_VICTIM</t>
  </si>
  <si>
    <t>ITEM_WITNESS1</t>
  </si>
  <si>
    <t>NAME_WITNESS</t>
  </si>
  <si>
    <t>SPRITE_ROOM1_WITNESS1</t>
  </si>
  <si>
    <t>COND_ROOM1_TALK_WITNESS1</t>
  </si>
  <si>
    <t>ITEM_WITNESS2</t>
  </si>
  <si>
    <t>SPRITE_ROOM1_WITNESS2</t>
  </si>
  <si>
    <t>COND_ROOM1_TALK_WITNESS2</t>
  </si>
  <si>
    <t>ITEM_WITNESS3</t>
  </si>
  <si>
    <t>SPRITE_ROOM1_WITNESS3</t>
  </si>
  <si>
    <t>COND_ROOM1_USE_SPOON_POIS_WITN, COND_ROOM1_TALK_WITNESS3, COND_ROOM1_USE_CONTRACT_WITTN3</t>
  </si>
  <si>
    <t>ITEM_ROOM1_DOOR_KITCHEN</t>
  </si>
  <si>
    <t>NAME_DOOR</t>
  </si>
  <si>
    <t>ITEM_FAMILY_TYPE_DOOR</t>
  </si>
  <si>
    <t>COND_ROOM1_NOT_CROSS_DOOR</t>
  </si>
  <si>
    <t>ITEM_ROOM1_DOOR_MAIN</t>
  </si>
  <si>
    <t>COND_ROOM1_NOT_CROSS_DOOR, COND_ROOM1_NOT_CROSS_MAIN_DOOR</t>
  </si>
  <si>
    <t>ITEM_DOOR_UNCONDITIONAL</t>
  </si>
  <si>
    <t>ITEM_ROOM1_SPOON</t>
  </si>
  <si>
    <t>NAME_SPOON</t>
  </si>
  <si>
    <t>ITEM_FAMILY_TYPE_OBJECT</t>
  </si>
  <si>
    <t>SPRITE_ROOM1_SPOON</t>
  </si>
  <si>
    <t>SPRITE_PICKABLE_SPOON</t>
  </si>
  <si>
    <t>COND_ROOM1_TAKE_SPOON</t>
  </si>
  <si>
    <t>ITEM_ROOM1_DRAWER</t>
  </si>
  <si>
    <t>NAME_DRAWER</t>
  </si>
  <si>
    <t>SPRITE_ROOM1_DRAWER, SPRITE_ROOM1_DRAWER_OPENED</t>
  </si>
  <si>
    <t>SPRITE_ROOM1_DRAWER</t>
  </si>
  <si>
    <t>COND_ROOM1_TRY_OPEN_DRAWER, COND_ROOM1_USE_LOCKPICK_DRAWER, COND_ROOM1_TAKE_CONTRACT, COND_ROOM1_TAKE_JAR</t>
  </si>
  <si>
    <t>ITEM_ROOM1_WINDOW</t>
  </si>
  <si>
    <t>NAME_WINDOW</t>
  </si>
  <si>
    <t>SPRITE_ROOM1_WINDOW_CLOSED</t>
  </si>
  <si>
    <t>COND_ROOM1_USE_KEY_WINDOW</t>
  </si>
  <si>
    <t>ITEM_ROOM1_POISON_REMAIN</t>
  </si>
  <si>
    <t>NAME_POISON_REMAIN</t>
  </si>
  <si>
    <t>SPRITE_ROOM1_POISON_REMAIN</t>
  </si>
  <si>
    <t>COND_ROOM1_USE_SPOON_W_JAM</t>
  </si>
  <si>
    <t>ITEM_ROOM1_SPOON_W_POIS</t>
  </si>
  <si>
    <t>NAME_SPOON_POISON</t>
  </si>
  <si>
    <t>SPRITE_PICKABLE_SPOON_POISON</t>
  </si>
  <si>
    <t>ITEM_ROOM1_OLD_KEY</t>
  </si>
  <si>
    <t>NAME_OLD_HOUSE_KEY</t>
  </si>
  <si>
    <t>SPRITE_PICKABLE_OLD_HOUSE_KEY</t>
  </si>
  <si>
    <t>ITEM_ROOM1_TROWEL</t>
  </si>
  <si>
    <t>NAME_TROWEL</t>
  </si>
  <si>
    <t>SPRITE_ROOM1_TROWEL</t>
  </si>
  <si>
    <t>SPRITE_PICKABLE_TROWEL</t>
  </si>
  <si>
    <t>COND_ROOM1_TAKE_TROWEL</t>
  </si>
  <si>
    <t>ITEM_ROOM1_WINDOW_OP_1</t>
  </si>
  <si>
    <t>SPRITE_ROOM1_WINDOW_OPENED_1</t>
  </si>
  <si>
    <t>ITEM_ROOM1_WINDOW_OP_2</t>
  </si>
  <si>
    <t>SPRITE_ROOM1_WINDOW_OPENED_2</t>
  </si>
  <si>
    <t>ITEM_DOOR_UNCONDITIONAL_2</t>
  </si>
  <si>
    <t>ITEM_ROOM1_VALVE</t>
  </si>
  <si>
    <t>NAME_VALVE</t>
  </si>
  <si>
    <t>SPRITE_ROOM1_VALVE</t>
  </si>
  <si>
    <t>ITEM_ROOM1_FOUNTAIN</t>
  </si>
  <si>
    <t>NAME_FOUNTAIN</t>
  </si>
  <si>
    <t>SPRITE_ROOM1_FOUNTAIN, SPRITE_ROOM1_FOUNTAIN_FULL</t>
  </si>
  <si>
    <t>SPRITE_ROOM1_FOUNTAIN</t>
  </si>
  <si>
    <t>ITEM_ROOM1_DOG</t>
  </si>
  <si>
    <t>NAME_DOG</t>
  </si>
  <si>
    <t>SPRITE_ROOM1_DOG</t>
  </si>
  <si>
    <t>ITEM_ROOM1_CAR</t>
  </si>
  <si>
    <t>NAME_CAR_DOOR</t>
  </si>
  <si>
    <t>SPRITE_ROOM1_CAR</t>
  </si>
  <si>
    <t>ITEM_ROOM1_CAR_DOOR_CLOSED</t>
  </si>
  <si>
    <t>SPRITE_ROOM1_CAR_DOOR</t>
  </si>
  <si>
    <t>COND_ROOM1_TAKE_CAR_DOOR</t>
  </si>
  <si>
    <t>ITEM_ROOM1_CAR_KEYHOLE</t>
  </si>
  <si>
    <t>NAME_KEYHOLE</t>
  </si>
  <si>
    <t>SPRITE_ROOM1_CAR_KEYHOLE</t>
  </si>
  <si>
    <t>COND_ROOM1_USE_KEY_CAR</t>
  </si>
  <si>
    <t>ITEM_DOOR_UNCONDITIONAL_3</t>
  </si>
  <si>
    <t>ITEM_ROOM1_MATCHES</t>
  </si>
  <si>
    <t>NAME_MATCHES</t>
  </si>
  <si>
    <t>SPRITE_ROOM1_MATCHES</t>
  </si>
  <si>
    <t>SPRITE_PICKABLE_MATCHES</t>
  </si>
  <si>
    <t>COND_ROOM1_TAKE_MATCHES</t>
  </si>
  <si>
    <t>ITEM_ROOM1_WINDOW_AS_DOOR</t>
  </si>
  <si>
    <t>ITEM_ROOM1_CAR_DOOR_AS_DOOR</t>
  </si>
  <si>
    <t>ITEM_ROOM1_DARKNESS</t>
  </si>
  <si>
    <t>NAME_DARKNESS</t>
  </si>
  <si>
    <t>SPRITE_ROOM1_DARKNESS</t>
  </si>
  <si>
    <t>COND_ROOM1_TAKE_DARKNESS</t>
  </si>
  <si>
    <t>ITEM_ROOM1_CANDLE</t>
  </si>
  <si>
    <t>NAME_CANDLE</t>
  </si>
  <si>
    <t>SPRITE_ROOM1_CANDLE, SPRITE_ROOM1_CANDLE_LIGHT</t>
  </si>
  <si>
    <t>SPRITE_ROOM1_CANDLE</t>
  </si>
  <si>
    <t>COND_ROOM1_USE_MATCHES</t>
  </si>
  <si>
    <t>ITEM_ROOM1_LOCKPICK</t>
  </si>
  <si>
    <t>NAME_LOCKPICK</t>
  </si>
  <si>
    <t>SPRITE_ROOM1_LOCKPICK</t>
  </si>
  <si>
    <t>SPRITE_PICKABLE_LOCKPICK</t>
  </si>
  <si>
    <t>COND_ROOM1_TAKE_LOCKPICK</t>
  </si>
  <si>
    <t>ITEM_ROOM1_OIL_BOTTLES</t>
  </si>
  <si>
    <t>NAME_OIL_BOTTLES</t>
  </si>
  <si>
    <t>SPRITE_ROOM1_OIL_BOTTLES</t>
  </si>
  <si>
    <t>ITEM_ROOM1_CONTRACT</t>
  </si>
  <si>
    <t>NAME_CONTRACT</t>
  </si>
  <si>
    <t>SPRITE_PICKABLE_CONTRACT</t>
  </si>
  <si>
    <t>ITEM_ROOM1_JAR</t>
  </si>
  <si>
    <t>NAME_JAR</t>
  </si>
  <si>
    <t>SPRITE_PICKABLE_JAR</t>
  </si>
  <si>
    <t>ITEM_ROOM1_COIN</t>
  </si>
  <si>
    <t>NAME_COIN</t>
  </si>
  <si>
    <t>SPRITE_ROOM1_COIN_STUCK</t>
  </si>
  <si>
    <t>SPRITE_PICKABLE_COIN</t>
  </si>
  <si>
    <t>COND_ROOM1_TAKE_COIN_STUCK</t>
  </si>
  <si>
    <t>ITEM_LAST</t>
  </si>
  <si>
    <t>NAME_NPC_LAST</t>
  </si>
  <si>
    <t>SPRITE_LAST</t>
  </si>
  <si>
    <t>ACTION_COND_ID</t>
  </si>
  <si>
    <t>NeededEvents</t>
  </si>
  <si>
    <t>srcChar</t>
  </si>
  <si>
    <t>srcItem</t>
  </si>
  <si>
    <t>Action_OK</t>
  </si>
  <si>
    <t>Animation_OK</t>
  </si>
  <si>
    <t>Dialog_OK</t>
  </si>
  <si>
    <t>Phrase_OK</t>
  </si>
  <si>
    <t>UnchainCombiEvent</t>
  </si>
  <si>
    <t>EVENT_NONE</t>
  </si>
  <si>
    <t>CHARACTER_NONE</t>
  </si>
  <si>
    <t>INTERACTION_NONE</t>
  </si>
  <si>
    <t>ITEM_USE_ANIMATION_NONE</t>
  </si>
  <si>
    <t>DIALOG_NONE</t>
  </si>
  <si>
    <t>PHRASE_NONE</t>
  </si>
  <si>
    <t>CHARACTER_MAIN</t>
  </si>
  <si>
    <t>INTERACTION_OBSERVE</t>
  </si>
  <si>
    <t>DIALOG_SIMPLE</t>
  </si>
  <si>
    <t>PHRASE_ROOM1_OBSERVE_VICTIM</t>
  </si>
  <si>
    <t>EVENT_ROOM1_OBSERVE_VICTIM</t>
  </si>
  <si>
    <t>INTERACTION_TALK</t>
  </si>
  <si>
    <t>DIALOG_WITNESS1</t>
  </si>
  <si>
    <t>DIALOG_WITNESS2</t>
  </si>
  <si>
    <t>(NOT)EVENT_ROOM1_NEED_FLEE</t>
  </si>
  <si>
    <t>INTERACTION_CROSS_DOOR</t>
  </si>
  <si>
    <t>PHRASE_ROOM1_NOT_CROSS_DOOR</t>
  </si>
  <si>
    <t>COND_ROOM1_NOT_CROSS_MAIN_DOOR</t>
  </si>
  <si>
    <t>EVENT_ROOM1_NEED_FLEE</t>
  </si>
  <si>
    <t>PHRASE_ROOM1_NOT_CROSS_MAIN_DOOR</t>
  </si>
  <si>
    <t>INTERACTION_TAKE</t>
  </si>
  <si>
    <t>ITEM_USE_ANIMATION_TAKE</t>
  </si>
  <si>
    <t>PHRASE_ROOM1_TAKE_SPOON</t>
  </si>
  <si>
    <t>EVENT_ROOM1_SPOON_TAKEN</t>
  </si>
  <si>
    <t>COND_ROOM1_USE_SPOON_POIS_WITN</t>
  </si>
  <si>
    <t>INTERACTION_USE</t>
  </si>
  <si>
    <t>DIALOG_WITNESS3_SPOON</t>
  </si>
  <si>
    <t>COND_ROOM1_TALK_WITNESS3</t>
  </si>
  <si>
    <t>DIALOG_WITNESS3_PROLOGUE</t>
  </si>
  <si>
    <t>EVENT_ROOM1_SPOON_TAKEN, (NOT)EVENT_ROOM1_SPOON_WITH_POISON_TAKEN</t>
  </si>
  <si>
    <t>PHRASE_ROOM1_TAKE_SPOON_POISON</t>
  </si>
  <si>
    <t>EVENT_ROOM1_SPOON_WITH_POISON_TAKEN</t>
  </si>
  <si>
    <t>PHRASE_ROOM1_USE_KEY_WINDOW</t>
  </si>
  <si>
    <t>EVENT_ROOM1_WINDOW_OPENED</t>
  </si>
  <si>
    <t>PHRASE_ROOM1_TAKE_TROWEL</t>
  </si>
  <si>
    <t>EVENT_ROOM1_TROWEL_TAKEN</t>
  </si>
  <si>
    <t>(NOT)EVENT_ROOM1_CAR_OPENED</t>
  </si>
  <si>
    <t>ITEM_USE_ANIMATION_NORMAL</t>
  </si>
  <si>
    <t>PHRASE_ROOM1_DOOR_LOCKED</t>
  </si>
  <si>
    <t>PHRASE_ROOM1_CAR_DOOR_OPENED</t>
  </si>
  <si>
    <t>EVENT_ROOM1_CAR_OPENED</t>
  </si>
  <si>
    <t>(NOT)EVENT_ROOM1_MATCHES_TAKEN</t>
  </si>
  <si>
    <t>PHRASE_ROOM1_TAKE_MATCHES</t>
  </si>
  <si>
    <t>EVENT_ROOM1_MATCHES_TAKEN</t>
  </si>
  <si>
    <t>ITEM_USE_ANIMATION_CONFUSE</t>
  </si>
  <si>
    <t>PHRASE_ROOM1_TAKE_DARKNESS</t>
  </si>
  <si>
    <t>(NOT)EVENT_ROOM1_CANDLE_FIRE</t>
  </si>
  <si>
    <t>ITEM_USE_ANIMATION_POUR</t>
  </si>
  <si>
    <t>PHRASE_ROOM1_FIRE_CANDLE</t>
  </si>
  <si>
    <t>EVENT_ROOM1_CANDLE_FIRE</t>
  </si>
  <si>
    <t>EVENT_ROOM1_CANDLE_FIRE, (NOT)EVENT_ROOM1_TAKE_LOCKPICK</t>
  </si>
  <si>
    <t>PHRASE_ROOM1_TAKE_LOCKPICK</t>
  </si>
  <si>
    <t>EVENT_ROOM1_TAKE_LOCKPICK</t>
  </si>
  <si>
    <t>COND_ROOM1_TRY_OPEN_DRAWER</t>
  </si>
  <si>
    <t>(NOT)EVENT_ROOM1_DRAWER_OPENED</t>
  </si>
  <si>
    <t>PHRASE_ROOM1_TRY_OPEN_DRAWER</t>
  </si>
  <si>
    <t>COND_ROOM1_USE_LOCKPICK_DRAWER</t>
  </si>
  <si>
    <t>PHRASE_ROOM1_USE_LOCKPICK</t>
  </si>
  <si>
    <t>EVENT_ROOM1_DRAWER_OPENED</t>
  </si>
  <si>
    <t>COND_ROOM1_TAKE_CONTRACT</t>
  </si>
  <si>
    <t>EVENT_ROOM1_DRAWER_OPENED, (NOT)EVENT_ROOM1_TAKE_CONTRACT</t>
  </si>
  <si>
    <t>PHRASE_TAKE_CONTRACT</t>
  </si>
  <si>
    <t>EVENT_ROOM1_TAKE_CONTRACT</t>
  </si>
  <si>
    <t>COND_ROOM1_TAKE_JAR</t>
  </si>
  <si>
    <t>EVENT_ROOM1_DRAWER_OPENED, EVENT_ROOM1_TAKE_CONTRACT, (NOT)EVENT_ROOM1_TAKE_JAR</t>
  </si>
  <si>
    <t>PHRASE_TAKE_JAR</t>
  </si>
  <si>
    <t>EVENT_ROOM1_TAKE_JAR</t>
  </si>
  <si>
    <t>COND_ROOM1_USE_CONTRACT_WITTN3</t>
  </si>
  <si>
    <t>DIALOG_WITNESS3_CONTRACT</t>
  </si>
  <si>
    <t>(NOT)EVENT_ROOM1_FOUNTAIN_FULL</t>
  </si>
  <si>
    <t>PHRASE_ROOM1_TAKE_COIN_STUCK</t>
  </si>
  <si>
    <t>COND_LAST</t>
  </si>
  <si>
    <t>UNCHAIN_ID</t>
  </si>
  <si>
    <t>Type</t>
  </si>
  <si>
    <t>IgnoreIfEvent</t>
  </si>
  <si>
    <t>TargetItem</t>
  </si>
  <si>
    <t>TargetSprite</t>
  </si>
  <si>
    <t>TargetCharacter</t>
  </si>
  <si>
    <t>TargetMemento</t>
  </si>
  <si>
    <t>TargetEvents</t>
  </si>
  <si>
    <t>UNCHAIN_ROOM1_INITIAL_MEMENTO</t>
  </si>
  <si>
    <t>UNCHAIN_TYPE_MEMENTO</t>
  </si>
  <si>
    <t>EVENT_FIRST</t>
  </si>
  <si>
    <t>MEMENTO_VICTIM_CASE_0</t>
  </si>
  <si>
    <t>UNCHAIN_ROOM1_INITIAL_EVENT</t>
  </si>
  <si>
    <t>UNCHAIN_TYPE_EVENT</t>
  </si>
  <si>
    <t>MEMENTO_NONE</t>
  </si>
  <si>
    <t>UNCHAIN_ROOM1_OBSERVE_VICTIM</t>
  </si>
  <si>
    <t>MEMENTO_VICTIM_CASE_1</t>
  </si>
  <si>
    <t>UNCHAIN_ROOM1_MEMENTO_CHASE_0</t>
  </si>
  <si>
    <t>EVENT_ROOM1_AWARE_CHASE_1</t>
  </si>
  <si>
    <t>MEMENTO_CHASE_0</t>
  </si>
  <si>
    <t>UNCHAIN_ROOM1_MEMENTO_CHASE_0_bis</t>
  </si>
  <si>
    <t>EVENT_ROOM1_AWARE_CHASE_2</t>
  </si>
  <si>
    <t>UNCHAIN_ROOM1_NEED_FLEE</t>
  </si>
  <si>
    <t>EVENT_ROOM1_AWARE_CHASE_1, EVENT_ROOM1_AWARE_CHASE_2, EVENT_ROOM1_OBSERVE_VICTIM</t>
  </si>
  <si>
    <t>UNCHAIN_ROOM1_MEMENTO_CHASE_1</t>
  </si>
  <si>
    <t>MEMENTO_CHASE_1</t>
  </si>
  <si>
    <t>UNCHAIN_ROOM1_TAKE_SPOON_1</t>
  </si>
  <si>
    <t>UNCHAIN_TYPE_DESPAWN</t>
  </si>
  <si>
    <t>UNCHAIN_ROOM1_TAKE_SPOON_2</t>
  </si>
  <si>
    <t>UNCHAIN_TYPE_EARN_ITEM</t>
  </si>
  <si>
    <t>UNCHAIN_ROOM1_TAKE_SPOON_POIS_1</t>
  </si>
  <si>
    <t>UNCHAIN_TYPE_LOSE_ITEM</t>
  </si>
  <si>
    <t>UNCHAIN_ROOM1_TAKE_SPOON_POIS_2</t>
  </si>
  <si>
    <t>UNCHAIN_ROOM1_TAKE_SPOON_POIS_3</t>
  </si>
  <si>
    <t>UNCHAIN_ROOM1_TAKE_OLD_KEY</t>
  </si>
  <si>
    <t>EVENT_ROOM1_OLD_KEY_TAKEN</t>
  </si>
  <si>
    <t>UNCHAIN_ROOM1_WINDOW_OPENED_1</t>
  </si>
  <si>
    <t>UNCHAIN_ROOM1_WINDOW_OPENED_2</t>
  </si>
  <si>
    <t>UNCHAIN_TYPE_SPAWN</t>
  </si>
  <si>
    <t>UNCHAIN_ROOM1_WINDOW_OPENED_3</t>
  </si>
  <si>
    <t>UNCHAIN_ROOM1_WINDOW_OPENED_4</t>
  </si>
  <si>
    <t>UNCHAIN_ROOM1_WINDOW_OPENED_5</t>
  </si>
  <si>
    <t>UNCHAIN_ROOM1_TAKE_TROWEL_1</t>
  </si>
  <si>
    <t>UNCHAIN_ROOM1_TAKE_TROWEL_2</t>
  </si>
  <si>
    <t>UNCHAIN_ROOM1_OPEN_CAR_DOOR_1</t>
  </si>
  <si>
    <t>UNCHAIN_ROOM1_OPEN_CAR_DOOR_2</t>
  </si>
  <si>
    <t>UNCHAIN_ROOM1_OPEN_CAR_DOOR_3</t>
  </si>
  <si>
    <t>UNCHAIN_ROOM1_TAKE_MATCHES_1</t>
  </si>
  <si>
    <t>UNCHAIN_ROOM1_TAKE_MATCHES_2</t>
  </si>
  <si>
    <t>UNCHAIN_ROOM1_FIRE_CANDLE</t>
  </si>
  <si>
    <t>UNCHAIN_ROOM1_FIRE_CANDLE_2</t>
  </si>
  <si>
    <t>UNCHAIN_TYPE_SET_SPRITE</t>
  </si>
  <si>
    <t>SPRITE_ROOM1_CANDLE_LIGHT</t>
  </si>
  <si>
    <t>UNCHAIN_ROOM1_TAKE_LOCKPICK_1</t>
  </si>
  <si>
    <t>UNCHAIN_ROOM1_TAKE_LOCKPICK_2</t>
  </si>
  <si>
    <t>UNCHAIN_ROOM1_USE_LOCKPICK_1</t>
  </si>
  <si>
    <t>UNCHAIN_ROOM1_USE_LOCKPICK_2</t>
  </si>
  <si>
    <t>SPRITE_ROOM1_DRAWER_OPENED</t>
  </si>
  <si>
    <t>UNCHAIN_ROOM1_TAKE_CONTRACT_1</t>
  </si>
  <si>
    <t>UNCHAIN_ROOM1_TAKE_CONTRACT_2</t>
  </si>
  <si>
    <t>MEMENTO_VICTIM_CASE_2</t>
  </si>
  <si>
    <t>UNCHAIN_ROOM1_TAKE_JAR</t>
  </si>
  <si>
    <t>SPRITE_ID</t>
  </si>
  <si>
    <t>PATH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</si>
  <si>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</si>
  <si>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</si>
  <si>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</si>
  <si>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</si>
  <si>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</si>
  <si>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</si>
  <si>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</si>
  <si>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</si>
  <si>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</si>
  <si>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</si>
  <si>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</si>
  <si>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</si>
  <si>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</si>
  <si>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</si>
  <si>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</si>
  <si>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</si>
  <si>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BACKGROUND_ROOM1</t>
  </si>
  <si>
    <t>SPRITE_ATLAS_ROOM1_0[ROOM1_BACKGROUND]</t>
  </si>
  <si>
    <t>SPRITE_ATLAS_ROOM1_1[SPRITE_ROOM1_VICTIM]</t>
  </si>
  <si>
    <t>SPRITE_ATLAS_ROOM1_1[SPRITE_ROOM1_WITNESS1]</t>
  </si>
  <si>
    <t>SPRITE_ATLAS_ROOM1_1[SPRITE_ROOM1_WITNESS2]</t>
  </si>
  <si>
    <t>SPRITE_ATLAS_ROOM1_1[SPRITE_ROOM1_WITNESS3]</t>
  </si>
  <si>
    <t>SPRITE_ROOM1_DECO_TABLE</t>
  </si>
  <si>
    <t>SPRITE_ATLAS_ROOM1_1[SPRITE_ROOM1_TABLE]</t>
  </si>
  <si>
    <t>SPRITE_MEMENTO_CHASE</t>
  </si>
  <si>
    <t>SPRITE_ATLAS_PICKABLES_0[SPRITE_MEMENTO_CHASE]</t>
  </si>
  <si>
    <t>SPRITE_UI_CURSOR_DOOR</t>
  </si>
  <si>
    <t>SPRITE_ATLAS_UI_0[SPRITE_CURSOR_DOOR]</t>
  </si>
  <si>
    <t>BACKGROUND_ROOM1_KITCHEN</t>
  </si>
  <si>
    <t>SPRITE_ATLAS_ROOM1_2[BACKGROUND_ROOM1_KITCHEN]</t>
  </si>
  <si>
    <t>SPRITE_ROOM1_KITCHEN_BASIN</t>
  </si>
  <si>
    <t>SPRITE_ATLAS_ROOM1_2[SPRITE_ROOM1_KITCHEN_BASIN]</t>
  </si>
  <si>
    <t>SPRITE_ATLAS_ROOM1_2[SPRITE_ROOM1_SPOON]</t>
  </si>
  <si>
    <t>SPRITE_ATLAS_ROOM1_2[SPRITE_ROOM1_DRAWER]</t>
  </si>
  <si>
    <t>SPRITE_ATLAS_ROOM1_2[SPRITE_ROOM1_WINDOW_CLOSED]</t>
  </si>
  <si>
    <t>SPRITE_ROOM1_JAM</t>
  </si>
  <si>
    <t>SPRITE_ATLAS_ROOM1_2[SPRITE_ROOM1_JAM]</t>
  </si>
  <si>
    <t>SPRITE_ATLAS_PICKABLES_0[SPRITE_PICKABLE_SPOON]</t>
  </si>
  <si>
    <t>SPRITE_ATLAS_ROOM1_2[SPRITE_ROOM1_POISON_REMAIN]</t>
  </si>
  <si>
    <t>SPRITE_ATLAS_PICKABLES_0[SPRITE_PICKABLE_SPOON_POISON]</t>
  </si>
  <si>
    <t>SPRITE_ATLAS_PICKABLES_0[SPRITE_PICKABLE_OLD_HOUSE_KEY]</t>
  </si>
  <si>
    <t>SPRITE_ATLAS_ROOM1_2[SPRITE_ROOM1_TROWEL]</t>
  </si>
  <si>
    <t>SPRITE_ATLAS_PICKABLES_0[SPRITE_PICKABLE_TROWEL]</t>
  </si>
  <si>
    <t>SPRITE_ATLAS_ROOM1_2[SPRITE_ROOM1_WINDOW_OPENED_1]</t>
  </si>
  <si>
    <t>SPRITE_ATLAS_ROOM1_2[SPRITE_ROOM1_WINDOW_OPENED_2]</t>
  </si>
  <si>
    <t>BACKGROUND_ROOM1_GARDEN</t>
  </si>
  <si>
    <t>SPRITE_ATLAS_ROOM1_3[BACKGROUND_ROOM1_GARDEN]</t>
  </si>
  <si>
    <t>SPRITE_ATLAS_ROOM1_3[SPRITE_ROOM1_VALVE]</t>
  </si>
  <si>
    <t>SPRITE_ATLAS_ROOM1_3[SPRITE_ROOM1_FOUNTAIN]</t>
  </si>
  <si>
    <t>SPRITE_ATLAS_ROOM1_3[SPRITE_ROOM1_DOG]</t>
  </si>
  <si>
    <t>SPRITE_ATLAS_ROOM1_3[SPRITE_ROOM1_CAR]</t>
  </si>
  <si>
    <t>SPRITE_ATLAS_ROOM1_3[SPRITE_ROOM1_CAR_DOOR]</t>
  </si>
  <si>
    <t>SPRITE_ATLAS_ROOM1_3[SPRITE_ROOM1_CAR_KEYHOLE]</t>
  </si>
  <si>
    <t>SPRITE_ROOM1_DECO_BUSH_LAYER</t>
  </si>
  <si>
    <t>SPRITE_ATLAS_ROOM1_3[SPRITE_ROOM1_DECO_BUSH_LAYER]</t>
  </si>
  <si>
    <t>BACKGROUND_ROOM1_CAR</t>
  </si>
  <si>
    <t>SPRITE_ATLAS_ROOM1_4[BACKGROUND_ROOM1_CAR]</t>
  </si>
  <si>
    <t>SPRITE_ATLAS_ROOM1_4[SPRITE_ROOM1_MATCHES]</t>
  </si>
  <si>
    <t>SPRITE_ATLAS_PICKABLES_0[SPRITE_PICKABLE_MATCHES]</t>
  </si>
  <si>
    <t>SPRITE_ROOM1_CLOAK</t>
  </si>
  <si>
    <t>SPRITE_ATLAS_ROOM1_4[SPRITE_ROOM1_CLOAK]</t>
  </si>
  <si>
    <t>BACKGROUND_ROOM1_CELLAR</t>
  </si>
  <si>
    <t>SPRITE_ATLAS_ROOM1_5[BACKGROUND_ROOM1_CELLAR]</t>
  </si>
  <si>
    <t>FOREGROUND_ROOM1_CELLAR</t>
  </si>
  <si>
    <t>SPRITE_ATLAS_ROOM1_5[FOREGROUND_ROOM1_CELLAR]</t>
  </si>
  <si>
    <t>SPRITE_ATLAS_ROOM1_6[SPRITE_ROOM1_CANDLE]</t>
  </si>
  <si>
    <t>SPRITE_ATLAS_ROOM1_6[SPRITE_ROOM1_CANDLE_LIGHT]</t>
  </si>
  <si>
    <t>SPRITE_ATLAS_ROOM1_6[SPRITE_ROOM1_LOCKPICK]</t>
  </si>
  <si>
    <t>SPRITE_ATLAS_ROOM1_6[SPRITE_ROOM1_OIL_BOTTLES]</t>
  </si>
  <si>
    <t>SPRITE_ATLAS_ROOM1_6[spr_square]</t>
  </si>
  <si>
    <t>SPRITE_ROOM1_FOUNTAIN_FULL</t>
  </si>
  <si>
    <t>SPRITE_ATLAS_ROOM1_3[SPRITE_ROOM1_FOUNTAIN_FULL]</t>
  </si>
  <si>
    <t>SPRITE_ATLAS_PICKABLES_0[SPRITE_PICKABLE_LOCKPICK]</t>
  </si>
  <si>
    <t>SPRITE_ROOM1_COLUMN</t>
  </si>
  <si>
    <t>SPRITE_ATLAS_ROOM1_6[SPRITE_ROOM1_COLUMN]</t>
  </si>
  <si>
    <t>SPRITE_ATLAS_ROOM1_2[SPRITE_ROOM1_DRAWER_OPENED]</t>
  </si>
  <si>
    <t>SPRITE_ATLAS_PICKABLES_0[SPRITE_PICKABLE_CONTRACT]</t>
  </si>
  <si>
    <t>SPRITE_ATLAS_PICKABLES_0[SPRITE_PICKABLE_JAR]</t>
  </si>
  <si>
    <t>SPRITE_ATLAS_ROOM1_3[SPRITE_ROOM1_COIN_STUCK]</t>
  </si>
  <si>
    <t>SPRITE_ATLAS_PICKABLES_0[SPRITE_PICKABLE_COIN]</t>
  </si>
  <si>
    <t>DIALOG_ID</t>
  </si>
  <si>
    <t>Talkers</t>
  </si>
  <si>
    <t>Options</t>
  </si>
  <si>
    <t>DIALOG_OPTION_NONE</t>
  </si>
  <si>
    <t>DIALOG_OPTION_SIMPLE</t>
  </si>
  <si>
    <t>DIALOG_OPTION_WITNESS1_INNOCENT</t>
  </si>
  <si>
    <t>DIALOG_OPTION_WITNESS2_GUARDS</t>
  </si>
  <si>
    <t>DIALOG_OPTION_WITNESS3_PROLO</t>
  </si>
  <si>
    <t>DIALOG_WITNESS3_MAIN</t>
  </si>
  <si>
    <t>DIALOG_OPTION_WITNESS3_MAIN_1, DIALOG_OPTION_WITNESS3_MAIN_2</t>
  </si>
  <si>
    <t>DIALOG_OPTION_WITNESS3_SPOON, DIALOG_OPTION_WITNESS3_SPOON_2</t>
  </si>
  <si>
    <t>DIALOG_OPTION_WITNESS_CONTRACT</t>
  </si>
  <si>
    <t>DIALOG_LAST</t>
  </si>
  <si>
    <t>DIALOG_OPTION_ID</t>
  </si>
  <si>
    <t>EventTriggered</t>
  </si>
  <si>
    <t>DialogTriggered</t>
  </si>
  <si>
    <t>Phrases</t>
  </si>
  <si>
    <t>PHRASE_ROOM1_WITNESS1_INNOCENT0, PHRASE_ROOM1_WITNESS1_INNOCENT1, PHRASE_ROOM1_WITNESS1_INNOCENT2, PHRASE_ROOM1_WITNESS1_INNOCENT3</t>
  </si>
  <si>
    <t>PHRASE_ROOM1_WITNESS2_GUARDS0, PHRASE_ROOM1_WITNESS2_GUARDS1</t>
  </si>
  <si>
    <t>PHRASE_ROOM1_WITNESS3_PROLO</t>
  </si>
  <si>
    <t>DIALOG_OPTION_WITNESS3_MAIN_1</t>
  </si>
  <si>
    <t>PHRASE_ROOM1_WITNESS3_MAIN_1_1, PHRASE_ROOM1_WITNESS3_MAIN_1_2</t>
  </si>
  <si>
    <t>DIALOG_OPTION_WITNESS3_MAIN_2</t>
  </si>
  <si>
    <t>PHRASE_ROOM1_WITNESS3_MAIN_2_1, PHRASE_ROOM1_WITNESS3_MAIN_2_2</t>
  </si>
  <si>
    <t>DIALOG_OPTION_WITNESS3_SPOON</t>
  </si>
  <si>
    <t>EVENT_ROOM1_SPOON_WITH_POISON_TAKEN, (NOT)EVENT_ROOM1_OLD_KEY_TAKEN</t>
  </si>
  <si>
    <t>PHRASE_ROOM1_WITNESS3_SPOON_1, PHRASE_ROOM1_WITNESS3_SPOON_2, PHRASE_ROOM1_WITNESS3_SPOON_3, PHRASE_ROOM1_WITNESS3_SPOON_4, PHRASE_ROOM1_WITNESS3_SPOON_5</t>
  </si>
  <si>
    <t>DIALOG_OPTION_WITNESS3_SPOON_2</t>
  </si>
  <si>
    <t>PHRASE_ROOM1_WITNESS3_SPOON_2_1</t>
  </si>
  <si>
    <t>PHRASE_ROOM1_WITN3_CONTRACT_1, PHRASE_ROOM1_WITN3_CONTRACT_2, PHRASE_ROOM1_WITN3_CONTRACT_3</t>
  </si>
  <si>
    <t>DIALOG_OPTION_LAST</t>
  </si>
  <si>
    <t>NAME_ID</t>
  </si>
  <si>
    <t>Name_English</t>
  </si>
  <si>
    <t>Name_Spanish</t>
  </si>
  <si>
    <t>Blount</t>
  </si>
  <si>
    <t>Parrot</t>
  </si>
  <si>
    <t>Loro</t>
  </si>
  <si>
    <t>Snake</t>
  </si>
  <si>
    <t>Serpiente</t>
  </si>
  <si>
    <t>NAME_INTERACTION_TAKE</t>
  </si>
  <si>
    <t>Take</t>
  </si>
  <si>
    <t>Agarrar</t>
  </si>
  <si>
    <t>NAME_INTERACTION_TALK</t>
  </si>
  <si>
    <t>Talk</t>
  </si>
  <si>
    <t>Hablar</t>
  </si>
  <si>
    <t>NAME_INTERACTION_OBSERVE</t>
  </si>
  <si>
    <t>Observe</t>
  </si>
  <si>
    <t>Observar</t>
  </si>
  <si>
    <t>NAME_MEMENTO_CASE</t>
  </si>
  <si>
    <t>Poisoned Victim</t>
  </si>
  <si>
    <t>Víctima envenenada</t>
  </si>
  <si>
    <t>Victim</t>
  </si>
  <si>
    <t>Víctima</t>
  </si>
  <si>
    <t>Witness</t>
  </si>
  <si>
    <t>Testigo</t>
  </si>
  <si>
    <t>NAME_MEMENTO_CHASE</t>
  </si>
  <si>
    <t>Court</t>
  </si>
  <si>
    <t>Juicio</t>
  </si>
  <si>
    <t>Cross door</t>
  </si>
  <si>
    <t>Cruzar puerta</t>
  </si>
  <si>
    <t>Spoon</t>
  </si>
  <si>
    <t>Cuchara</t>
  </si>
  <si>
    <t>Drawer</t>
  </si>
  <si>
    <t>Cajonera</t>
  </si>
  <si>
    <t>Window</t>
  </si>
  <si>
    <t>Ventana</t>
  </si>
  <si>
    <t>Viscous remains</t>
  </si>
  <si>
    <t>Restos viscosos</t>
  </si>
  <si>
    <t>Spoon with poison remains</t>
  </si>
  <si>
    <t>Cuchara con restos de veneno</t>
  </si>
  <si>
    <t>Old house key</t>
  </si>
  <si>
    <t>Llave vieja de la casa</t>
  </si>
  <si>
    <t>Trowel</t>
  </si>
  <si>
    <t>Paleta</t>
  </si>
  <si>
    <t>Valve</t>
  </si>
  <si>
    <t>Válvula</t>
  </si>
  <si>
    <t>Dog</t>
  </si>
  <si>
    <t>Perro</t>
  </si>
  <si>
    <t>Fountain</t>
  </si>
  <si>
    <t>Fuente</t>
  </si>
  <si>
    <t>NAME_DOOR_DESCR</t>
  </si>
  <si>
    <t>Door</t>
  </si>
  <si>
    <t>Puerta</t>
  </si>
  <si>
    <t>Car door</t>
  </si>
  <si>
    <t>Puerta del coche</t>
  </si>
  <si>
    <t>Keyhole</t>
  </si>
  <si>
    <t>Cerradura</t>
  </si>
  <si>
    <t>Matches</t>
  </si>
  <si>
    <t>Cerillas</t>
  </si>
  <si>
    <t>Oil bottles</t>
  </si>
  <si>
    <t>Botellas de aceite</t>
  </si>
  <si>
    <t>Disposable lockpick</t>
  </si>
  <si>
    <t>Ganzúa deshechable</t>
  </si>
  <si>
    <t>Candle lamp</t>
  </si>
  <si>
    <t>Candil</t>
  </si>
  <si>
    <t>Darkness</t>
  </si>
  <si>
    <t>Oscuridad</t>
  </si>
  <si>
    <t>Contract</t>
  </si>
  <si>
    <t>Contrato</t>
  </si>
  <si>
    <t>Jar</t>
  </si>
  <si>
    <t>Tarro</t>
  </si>
  <si>
    <t>Coin</t>
  </si>
  <si>
    <t>Moneda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</si>
  <si>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</si>
  <si>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</si>
  <si>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</si>
  <si>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</si>
  <si>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</si>
  <si>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</si>
  <si>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</si>
  <si>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</si>
  <si>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</si>
  <si>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</si>
  <si>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</si>
  <si>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</si>
  <si>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</si>
  <si>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</si>
  <si>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</si>
  <si>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</si>
  <si>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</si>
  <si>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</si>
  <si>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</si>
  <si>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</si>
  <si>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</si>
  <si>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</si>
  <si>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</si>
  <si>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</si>
  <si>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</si>
  <si>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PHRASE_ALREADY_COMBI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</si>
  <si>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</si>
  <si>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</si>
  <si>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</si>
  <si>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</si>
  <si>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</si>
  <si>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PHRASE_MEMENTO_VICTIM_CASE_0</t>
  </si>
  <si>
    <t>This mistery is a hard puzzle to solve</t>
  </si>
  <si>
    <t>Este misterio es un gran rompecabezas que resolver</t>
  </si>
  <si>
    <t>PHRASE_MEMENTO_VICTIM_CASE_1</t>
  </si>
  <si>
    <t>Victim seems to be poisoned. Could be poison is still in kitchen or fest room?</t>
  </si>
  <si>
    <t>La víctima parece haber sido envenenada. Puede ser que el veneno esté aún en la cocina o el gran salón?</t>
  </si>
  <si>
    <t>Victim is definitely gone! They all claim he was poisoned</t>
  </si>
  <si>
    <t>La víctima definitivamente ha sucumbido! Todos dicen que ha sido envenenado</t>
  </si>
  <si>
    <t>PHRASE_ROOM1_WITNESS1_INNOCENT0</t>
  </si>
  <si>
    <t>I'm innocent! I just brought all food this morning! no one more complained</t>
  </si>
  <si>
    <t>Soy inocente! Solo traje la comida esta mañana! Nadie más se ha quejado</t>
  </si>
  <si>
    <t>PHRASE_ROOM1_WITNESS1_INNOCENT1</t>
  </si>
  <si>
    <t>That! Is what you'll need to prove in court when they come after you</t>
  </si>
  <si>
    <t>Eso! Es lo que tendrás que demostrar en un juicio! En cuanto entren a por ti</t>
  </si>
  <si>
    <t>PHRASE_ROOM1_WITNESS1_INNOCENT2</t>
  </si>
  <si>
    <t>I have enough time to demonstrate my innocence</t>
  </si>
  <si>
    <t>Tengo tiempo suficiente para demostrar mi inocencia</t>
  </si>
  <si>
    <t>PHRASE_ROOM1_WITNESS1_INNOCENT3</t>
  </si>
  <si>
    <t>I wish you in jail</t>
  </si>
  <si>
    <t>Ojalá te vea en prisión</t>
  </si>
  <si>
    <t>PHRASE_ROOM1_WITNESS2_GUARDS0</t>
  </si>
  <si>
    <t>Don't go too far. They are comming after you</t>
  </si>
  <si>
    <t>No te vayas muy lejos. Ya vienen a por ti</t>
  </si>
  <si>
    <t>PHRASE_ROOM1_WITNESS2_GUARDS1</t>
  </si>
  <si>
    <t>I won't move! for sure</t>
  </si>
  <si>
    <t>No me moveré! Seguro!</t>
  </si>
  <si>
    <t>PHRASE_MEMENTO_CHASE_0</t>
  </si>
  <si>
    <t>There will be a court process and I am the only suspicious</t>
  </si>
  <si>
    <t>Habrá un juicio y soy el único sospechoso</t>
  </si>
  <si>
    <t>PHRASE_MEMENTO_CHASE_1</t>
  </si>
  <si>
    <t>By the moment I see the only solution is to flee</t>
  </si>
  <si>
    <t>Por el momento solo veo la opción de huir</t>
  </si>
  <si>
    <t>I need to ensure what's the situation before leaving</t>
  </si>
  <si>
    <t>Necesito asegurarme de cuál es la situación antes de irme</t>
  </si>
  <si>
    <t>It's not the best idea to flee from main door as guards are already comming for me</t>
  </si>
  <si>
    <t>No es la mejor idea huir por la puerta principal ya que seguramente estén buscándome los guardias ahora mismo</t>
  </si>
  <si>
    <t>I always wanted one of these</t>
  </si>
  <si>
    <t>Siempre quise una de estas</t>
  </si>
  <si>
    <t>I don't wish any bad for you but you are in problems. I hope I can help you</t>
  </si>
  <si>
    <t>No te deseo ningún mal chico. Pero estás bien metido en problemas. Espero poder ayudarte</t>
  </si>
  <si>
    <t>PHRASE_ROOM1_WITNESS3_MAIN_1_1</t>
  </si>
  <si>
    <t>How am I supposed to demonstrate I didn't do it?</t>
  </si>
  <si>
    <t>Como se supone que voy a demostrar que no fui yo?</t>
  </si>
  <si>
    <t>PHRASE_ROOM1_WITNESS3_MAIN_1_2</t>
  </si>
  <si>
    <t>Well... I guess you need to find out what did cause this and who</t>
  </si>
  <si>
    <t>Bueno... supongo que tendrás que averiguar qué causó esto y quién fue</t>
  </si>
  <si>
    <t>PHRASE_ROOM1_WITNESS3_MAIN_2_1</t>
  </si>
  <si>
    <t>How could I run out from here?</t>
  </si>
  <si>
    <t>Como podría escapar de aquí?</t>
  </si>
  <si>
    <t>PHRASE_ROOM1_WITNESS3_MAIN_2_2</t>
  </si>
  <si>
    <t>Well... I guess the kitchen is faced to a garden which is not commonly transited</t>
  </si>
  <si>
    <t>Bueno... supongo que la cocina da con un jardín que es poco transitado</t>
  </si>
  <si>
    <t>PHRASE_ROOM1_WITNESS3_SPOON_1</t>
  </si>
  <si>
    <t>I'm sure THIS substance has something to do</t>
  </si>
  <si>
    <t>Estoy seguro de que esta sustancia tuvo algo que ver</t>
  </si>
  <si>
    <t>PHRASE_ROOM1_WITNESS3_SPOON_2</t>
  </si>
  <si>
    <t>Hmm... Interesting. Where did you take it?</t>
  </si>
  <si>
    <t>Hmm.. Interesante. Donde la encontraste?</t>
  </si>
  <si>
    <t>PHRASE_ROOM1_WITNESS3_SPOON_3</t>
  </si>
  <si>
    <t>It was spread on the hams served this night</t>
  </si>
  <si>
    <t>Estaba esparcido en los jamones que se sirvieron esta noche</t>
  </si>
  <si>
    <t>PHRASE_ROOM1_WITNESS3_SPOON_4</t>
  </si>
  <si>
    <t>I'm happy for you. You are one step closer to get that one</t>
  </si>
  <si>
    <t>Me alegro por ti. Estás un paso más cerca de cazarlo</t>
  </si>
  <si>
    <t>PHRASE_ROOM1_WITNESS3_SPOON_5</t>
  </si>
  <si>
    <t>If you want to go. Take this key. It's an old one from this house. It can open the window... and I suppose nothing else. As they changed almost all keyholes last year</t>
  </si>
  <si>
    <t>Si quieres marchar. Toma esta llave. Es una de las antiguas de esta casa. Esta abre la ventana y no sé si alguna cosa más. Ya que cambiaron las cerraduras de casi toda la casa el año pasado</t>
  </si>
  <si>
    <t>I hope it lasts enough time on spoon</t>
  </si>
  <si>
    <t>Espero que aguante suficiente tiempo en la cuchara</t>
  </si>
  <si>
    <t>You already shown it. I think it's time to go</t>
  </si>
  <si>
    <t>Ya me la enseñaste. Creo que es hora de que te marches</t>
  </si>
  <si>
    <t>Tadaaa!</t>
  </si>
  <si>
    <t>Tan fácil como eso!</t>
  </si>
  <si>
    <t>I always had a builder within</t>
  </si>
  <si>
    <t>Siempre llevé un albañil dentro</t>
  </si>
  <si>
    <t>Door is locked</t>
  </si>
  <si>
    <t>La puerta está cerrada</t>
  </si>
  <si>
    <t>This key worked here too!</t>
  </si>
  <si>
    <t>La llave funciona aquí también!</t>
  </si>
  <si>
    <t>This will bring some light to the mystery</t>
  </si>
  <si>
    <t>Esto arrojará algo de luz a los misterios!</t>
  </si>
  <si>
    <t>I can't see anything!</t>
  </si>
  <si>
    <t>No veo un pimiento!</t>
  </si>
  <si>
    <t>A small bit of happiness for this dungeon</t>
  </si>
  <si>
    <t>Un poco de alegría para esta mazmorra</t>
  </si>
  <si>
    <t>Caution! Disposable once used</t>
  </si>
  <si>
    <t>Ojito! Deshechable tras primer uso</t>
  </si>
  <si>
    <t>It won't open. Its closed</t>
  </si>
  <si>
    <t>No se abre. Está cerrado</t>
  </si>
  <si>
    <t>It worked! But lockpick has broken</t>
  </si>
  <si>
    <t>Funcionó! Pero la ganzúa se ha roto</t>
  </si>
  <si>
    <t>PHRASE_MEMENTO_VICTIM_CASE_2</t>
  </si>
  <si>
    <t>There was a well kept contract in house. Is it maybe related to what happened? I need someone trusty to read it</t>
  </si>
  <si>
    <t>Había un contrato bien guardado en la casa. Quizá este relacionado con lo que pasó? Necesito alguien de confianza para que me lo lea</t>
  </si>
  <si>
    <t>It's full of letters. But I cannot read</t>
  </si>
  <si>
    <t>Lleno de letras. Pero no sé leer</t>
  </si>
  <si>
    <t>A nice jar! I will take it</t>
  </si>
  <si>
    <t>Una bonita jarra! Me la llevo</t>
  </si>
  <si>
    <t>PHRASE_ROOM1_WITN3_CONTRACT_1</t>
  </si>
  <si>
    <t>I found this contract well kept in a drawer</t>
  </si>
  <si>
    <t>Encontré este contrato bien guardado en un cajón</t>
  </si>
  <si>
    <t>PHRASE_ROOM1_WITN3_CONTRACT_2</t>
  </si>
  <si>
    <t>Aren't you gone yet?? You should be miles from here</t>
  </si>
  <si>
    <t>Aún no te has ido?? Deberías estar a kilómetros de aquí</t>
  </si>
  <si>
    <t>PHRASE_ROOM1_WITN3_CONTRACT_3</t>
  </si>
  <si>
    <t>My friend. I cannot read too. I'm affraid I cannot help you</t>
  </si>
  <si>
    <t>Amigo. Yo tampoco sé leer. Me temo que no puedo ayudarte</t>
  </si>
  <si>
    <t>It's stuck. I cannot take it. Maybe some water could make get loose</t>
  </si>
  <si>
    <t>Está atascada. No puedo cogerla. Quizá un poco de agua la suelte</t>
  </si>
  <si>
    <t>ROOM_ID</t>
  </si>
  <si>
    <t>BackgroundSprite</t>
  </si>
  <si>
    <t>CompoundSpritesText</t>
  </si>
  <si>
    <t>CompoundPhrasesText</t>
  </si>
  <si>
    <t>CompoundItemsText</t>
  </si>
  <si>
    <t>NeededBackgrounds_Sprites</t>
  </si>
  <si>
    <t>NeededItems</t>
  </si>
  <si>
    <t>NeededPhrases</t>
  </si>
  <si>
    <t>ROOM_NONE</t>
  </si>
  <si>
    <t>ROOM_1</t>
  </si>
  <si>
    <t>BACKGROUND_ROOM1, SPRITE_ROOM1_DECO_TABLE</t>
  </si>
  <si>
    <t>ITEM_VICTIM, ITEM_WITNESS1, ITEM_WITNESS2, ITEM_WITNESS3, ITEM_ROOM1_DOOR_KITCHEN, ITEM_ROOM1_DOOR_MAIN</t>
  </si>
  <si>
    <t>ROOM1_KITCHEN</t>
  </si>
  <si>
    <t>BACKGROUND_ROOM1_KITCHEN, SPRITE_ROOM1_JAM, SPRITE_ROOM1_KITCHEN_BASIN</t>
  </si>
  <si>
    <t>ITEM_ROOM1_SPOON, ITEM_ROOM1_DRAWER, ITEM_ROOM1_WINDOW, ITEM_DOOR_UNCONDITIONAL, ITEM_ROOM1_POISON_REMAIN, ITEM_ROOM1_SPOON_W_POIS, ITEM_ROOM1_TROWEL, ITEM_ROOM1_WINDOW_OP_1, ITEM_ROOM1_WINDOW_OP_2, ITEM_ROOM1_WINDOW_AS_DOOR</t>
  </si>
  <si>
    <t>ROOM1_GARDEN</t>
  </si>
  <si>
    <t>BACKGROUND_ROOM1_GARDEN, SPRITE_ROOM1_DECO_BUSH_LAYER</t>
  </si>
  <si>
    <t>ITEM_ROOM1_VALVE, ITEM_ROOM1_DOG, ITEM_ROOM1_CAR_DOOR_CLOSED, ITEM_ROOM1_CAR_KEYHOLE, ITEM_ROOM1_FOUNTAIN, ITEM_DOOR_UNCONDITIONAL, ITEM_ROOM1_CAR, ITEM_ROOM1_CAR_DOOR_AS_DOOR, ITEM_ROOM1_COIN</t>
  </si>
  <si>
    <t>ROOM1_CAR</t>
  </si>
  <si>
    <t>BACKGROUND_ROOM1_CAR, SPRITE_ROOM1_CLOAK</t>
  </si>
  <si>
    <t>ITEM_ROOM1_MATCHES, ITEM_DOOR_UNCONDITIONAL</t>
  </si>
  <si>
    <t>ROOM1_CELLAR</t>
  </si>
  <si>
    <t>BACKGROUND_ROOM1_CELLAR, FOREGROUND_ROOM1_CELLAR, SPRITE_ROOM1_COLUMN</t>
  </si>
  <si>
    <t>ITEM_ROOM1_DARKNESS, ITEM_ROOM1_CANDLE, ITEM_ROOM1_LOCKPICK, ITEM_ROOM1_OIL_BOTTLES, ITEM_DOOR_UNCONDITIONAL</t>
  </si>
  <si>
    <t>ROOM_LAST</t>
  </si>
  <si>
    <t>CHARACTER_TYPE_ID</t>
  </si>
  <si>
    <t>CHARACTER_PARROT</t>
  </si>
  <si>
    <t>CHARACTER_SNAKE</t>
  </si>
  <si>
    <t>ANIMATION_ID</t>
  </si>
  <si>
    <t>ITEM_USE_ANIMATION_STARE_SCREEN</t>
  </si>
  <si>
    <t>INTERACTION_ID</t>
  </si>
  <si>
    <t>INTERACTION_MOVE</t>
  </si>
  <si>
    <t>UNCHAIN_TYPE_ID</t>
  </si>
  <si>
    <t>UNCHAIN_TYPE_NOTIF</t>
  </si>
  <si>
    <t>DIALOG_ANIMATION_ID</t>
  </si>
  <si>
    <t>ITEM_FAMILY_TYPE_ID</t>
  </si>
  <si>
    <t>EVENT_ID</t>
  </si>
  <si>
    <t>EVENT_ROOM1_FOUNTAIN_FULL</t>
  </si>
  <si>
    <t>EVENT_LAST</t>
  </si>
  <si>
    <t>MEMENTO_PARENT_ID</t>
  </si>
  <si>
    <t>Sprite</t>
  </si>
  <si>
    <t>Children</t>
  </si>
  <si>
    <t>MEMENTO_PARENT_NONE</t>
  </si>
  <si>
    <t>MEMENTO_PARENT_VICTIM_CASE</t>
  </si>
  <si>
    <t>MEMENTO_PARENT_CHASE</t>
  </si>
  <si>
    <t>MEMENTO_PARENT_LAST</t>
  </si>
  <si>
    <t>MEMENTO_ID</t>
  </si>
  <si>
    <t>Parent</t>
  </si>
  <si>
    <t>Phrase</t>
  </si>
  <si>
    <t>Combinations</t>
  </si>
  <si>
    <t>Final</t>
  </si>
  <si>
    <t>MEMENTO_COMBI_NONE</t>
  </si>
  <si>
    <t>MEMENTO_LAST</t>
  </si>
  <si>
    <t>MEMENTO_COMBI_ID</t>
  </si>
  <si>
    <t>TriggeredEvent</t>
  </si>
  <si>
    <t>EVENT_COMBI_ID</t>
  </si>
  <si>
    <t>ITEM_ID (Ref)</t>
  </si>
  <si>
    <t>USABLE_AFTER_ACTION</t>
  </si>
  <si>
    <t>ALWAYS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</si>
  <si>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</si>
  <si>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</si>
  <si>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</si>
  <si>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</si>
  <si>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</si>
  <si>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</si>
  <si>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</si>
  <si>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</si>
  <si>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</si>
  <si>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</si>
  <si>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</si>
  <si>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</si>
  <si>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</si>
  <si>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</si>
  <si>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</si>
  <si>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</si>
  <si>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</si>
  <si>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</si>
  <si>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</si>
  <si>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</si>
  <si>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</si>
  <si>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</si>
  <si>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</si>
  <si>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</si>
  <si>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</si>
  <si>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</si>
  <si>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</si>
  <si>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</si>
  <si>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</si>
  <si>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</si>
  <si>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SPRITES</t>
  </si>
  <si>
    <t>WORK</t>
  </si>
  <si>
    <t>NAMES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</si>
</sst>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color theme="1"/>
      <name val="Calibri"/>
      <scheme val="minor"/>
    </font>
    <font>
      <sz val="11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2" numFmtId="0" xfId="0" applyAlignment="1" applyFill="1" applyFont="1">
      <alignment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quotePrefix="1"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Font="1"/>
    <xf borderId="1" fillId="0" fontId="3" numFmtId="0" xfId="0" applyAlignment="1" applyBorder="1" applyFont="1">
      <alignment horizontal="left" readingOrder="0" shrinkToFit="0" vertical="center" wrapText="0"/>
    </xf>
    <xf borderId="1" fillId="0" fontId="3" numFmtId="49" xfId="0" applyAlignment="1" applyBorder="1" applyFont="1" applyNumberFormat="1">
      <alignment horizontal="left" readingOrder="0" shrinkToFit="0" vertical="center" wrapText="0"/>
    </xf>
    <xf borderId="1" fillId="0" fontId="3" numFmtId="0" xfId="0" applyAlignment="1" applyBorder="1" applyFont="1">
      <alignment shrinkToFit="0" vertical="center" wrapText="0"/>
    </xf>
    <xf borderId="0" fillId="0" fontId="3" numFmtId="49" xfId="0" applyAlignment="1" applyFont="1" applyNumberForma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1" fillId="2" fontId="3" numFmtId="0" xfId="0" applyAlignment="1" applyBorder="1" applyFont="1">
      <alignment shrinkToFit="0" vertical="center" wrapText="1"/>
    </xf>
    <xf borderId="0" fillId="0" fontId="3" numFmtId="49" xfId="0" applyAlignment="1" applyFont="1" applyNumberFormat="1">
      <alignment horizontal="left" readingOrder="0" shrinkToFit="0" vertical="center" wrapText="0"/>
    </xf>
    <xf borderId="0" fillId="2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25"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 2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customschemas.google.com/relationships/workbookmetadata" Target="metadata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P19" displayName="Table_Varmap" name="Table_Varmap" id="1">
  <tableColumns count="16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GameMenu" id="13"/>
    <tableColumn name="PlayerMaster" id="14"/>
    <tableColumn name="ItemMaster" id="15"/>
    <tableColumn name="GameEventMaster" id="16"/>
  </tableColumns>
  <tableStyleInfo name="VARMAP-style" showColumnStripes="0" showFirstColumn="1" showLastColumn="1" showRowStripes="1"/>
</table>
</file>

<file path=xl/tables/table2.xml><?xml version="1.0" encoding="utf-8"?>
<table xmlns="http://schemas.openxmlformats.org/spreadsheetml/2006/main" ref="A1:N33" displayName="Table_Services" name="Table_Services" id="2">
  <tableColumns count="14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GameMenu" id="11"/>
    <tableColumn name="PlayerMaster" id="12"/>
    <tableColumn name="ItemMaster" id="13"/>
    <tableColumn name="GameEventMaster" id="14"/>
  </tableColumns>
  <tableStyleInfo name="SERVICES-style" showColumnStripes="0" showFirstColumn="1" showLastColumn="1" showRowStripes="1"/>
</table>
</file>

<file path=xl/tables/table3.xml><?xml version="1.0" encoding="utf-8"?>
<table xmlns="http://schemas.openxmlformats.org/spreadsheetml/2006/main" ref="A1:I40" displayName="Table_Items" name="Table_Items" id="3">
  <tableColumns count="9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ActionConditions" id="9"/>
  </tableColumns>
  <tableStyleInfo name="ITEMS-style" showColumnStripes="0" showFirstColumn="1" showLastColumn="1" showRowStripes="1"/>
</table>
</file>

<file path=xl/tables/table4.xml><?xml version="1.0" encoding="utf-8"?>
<table xmlns="http://schemas.openxmlformats.org/spreadsheetml/2006/main" ref="A1:J26" displayName="Table_Action_Conditions" name="Table_Action_Conditions" id="4">
  <tableColumns count="10">
    <tableColumn name="N" id="1"/>
    <tableColumn name="ACTION_COND_ID" id="2"/>
    <tableColumn name="NeededEvents" id="3"/>
    <tableColumn name="srcChar" id="4"/>
    <tableColumn name="srcItem" id="5"/>
    <tableColumn name="Action_OK" id="6"/>
    <tableColumn name="Animation_OK" id="7"/>
    <tableColumn name="Dialog_OK" id="8"/>
    <tableColumn name="Phrase_OK" id="9"/>
    <tableColumn name="UnchainCombiEvent" id="10"/>
  </tableColumns>
  <tableStyleInfo name="ACTION_CONDS-style" showColumnStripes="0" showFirstColumn="1" showLastColumn="1" showRowStripes="1"/>
</table>
</file>

<file path=xl/tables/table5.xml><?xml version="1.0" encoding="utf-8"?>
<table xmlns="http://schemas.openxmlformats.org/spreadsheetml/2006/main" ref="A28:J62" displayName="Table_Unchain_Conditions" name="Table_Unchain_Conditions" id="5">
  <tableColumns count="10">
    <tableColumn name="N" id="1"/>
    <tableColumn name="UNCHAIN_ID" id="2"/>
    <tableColumn name="Type" id="3"/>
    <tableColumn name="IgnoreIfEvent" id="4"/>
    <tableColumn name="NeededEvents" id="5"/>
    <tableColumn name="TargetItem" id="6"/>
    <tableColumn name="TargetSprite" id="7"/>
    <tableColumn name="TargetCharacter" id="8"/>
    <tableColumn name="TargetMemento" id="9"/>
    <tableColumn name="TargetEvents" id="10"/>
  </tableColumns>
  <tableStyleInfo name="ACTION_CONDS-style 2" showColumnStripes="0" showFirstColumn="1" showLastColumn="1" showRowStripes="1"/>
</table>
</file>

<file path=xl/tables/table6.xml><?xml version="1.0" encoding="utf-8"?>
<table xmlns="http://schemas.openxmlformats.org/spreadsheetml/2006/main" ref="A1:C60" displayName="Table_sprites" name="Table_sprites" id="6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7.xml><?xml version="1.0" encoding="utf-8"?>
<table xmlns="http://schemas.openxmlformats.org/spreadsheetml/2006/main" ref="A1:D10" displayName="Table_Dialogs" name="Table_Dialogs" id="7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8.xml><?xml version="1.0" encoding="utf-8"?>
<table xmlns="http://schemas.openxmlformats.org/spreadsheetml/2006/main" ref="A12:F23" displayName="Table_Dialog_Options" name="Table_Dialog_Options" id="8">
  <tableColumns count="6">
    <tableColumn name="N" id="1"/>
    <tableColumn name="DIALOG_OPTION_ID" id="2"/>
    <tableColumn name="NeededEvents" id="3"/>
    <tableColumn name="EventTriggered" id="4"/>
    <tableColumn name="DialogTriggered" id="5"/>
    <tableColumn name="Phrases" id="6"/>
  </tableColumns>
  <tableStyleInfo name="DIALOGS-style 2" showColumnStripes="0" showFirstColumn="1" showLastColumn="1" showRowStripes="1"/>
</table>
</file>

<file path=xl/tables/table9.xml><?xml version="1.0" encoding="utf-8"?>
<table xmlns="http://schemas.openxmlformats.org/spreadsheetml/2006/main" ref="A1:D35" displayName="Table_Name" name="Table_Name" id="9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0.xml><?xml version="1.0" encoding="utf-8"?>
<table xmlns="http://schemas.openxmlformats.org/spreadsheetml/2006/main" ref="A1:G52" displayName="Table_Phrases" name="Table_Phrases" id="10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1.xml><?xml version="1.0" encoding="utf-8"?>
<table xmlns="http://schemas.openxmlformats.org/spreadsheetml/2006/main" ref="A1:I8" displayName="Table_Rooms" name="Table_Rooms" id="11">
  <tableColumns count="9">
    <tableColumn name="N" id="1"/>
    <tableColumn name="ROOM_ID" id="2"/>
    <tableColumn name="BackgroundSprite" id="3"/>
    <tableColumn name="CompoundSpritesText" id="4"/>
    <tableColumn name="CompoundPhrasesText" id="5"/>
    <tableColumn name="CompoundItemsText" id="6"/>
    <tableColumn name="NeededBackgrounds_Sprites" id="7"/>
    <tableColumn name="NeededItems" id="8"/>
    <tableColumn name="NeededPhrases" id="9"/>
  </tableColumns>
  <tableStyleInfo name="ROOMS-style" showColumnStripes="0" showFirstColumn="1" showLastColumn="1" showRowStripes="1"/>
</table>
</file>

<file path=xl/tables/table12.xml><?xml version="1.0" encoding="utf-8"?>
<table xmlns="http://schemas.openxmlformats.org/spreadsheetml/2006/main" ref="A1:B5" displayName="Table_Characters" name="Table_Characters" id="12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13.xml><?xml version="1.0" encoding="utf-8"?>
<table xmlns="http://schemas.openxmlformats.org/spreadsheetml/2006/main" ref="A7:B13" displayName="Table_ItemUse_Animation" name="Table_ItemUse_Animation" id="13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14.xml><?xml version="1.0" encoding="utf-8"?>
<table xmlns="http://schemas.openxmlformats.org/spreadsheetml/2006/main" ref="A15:B22" displayName="Table_Interaction" name="Table_Interaction" id="14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15.xml><?xml version="1.0" encoding="utf-8"?>
<table xmlns="http://schemas.openxmlformats.org/spreadsheetml/2006/main" ref="A24:B32" displayName="Table_Unchain_Type" name="Table_Unchain_Type" id="15">
  <tableColumns count="2">
    <tableColumn name="N" id="1"/>
    <tableColumn name="UNCHAIN_TYPE_ID" id="2"/>
  </tableColumns>
  <tableStyleInfo name="TYPES-style 4" showColumnStripes="0" showFirstColumn="1" showLastColumn="1" showRowStripes="1"/>
</table>
</file>

<file path=xl/tables/table16.xml><?xml version="1.0" encoding="utf-8"?>
<table xmlns="http://schemas.openxmlformats.org/spreadsheetml/2006/main" ref="A34:B36" displayName="Table_Dialog_Animation" name="Table_Dialog_Animation" id="16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17.xml><?xml version="1.0" encoding="utf-8"?>
<table xmlns="http://schemas.openxmlformats.org/spreadsheetml/2006/main" ref="A38:B43" displayName="Table_Item_Family_Type" name="Table_Item_Family_Type" id="17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18.xml><?xml version="1.0" encoding="utf-8"?>
<table xmlns="http://schemas.openxmlformats.org/spreadsheetml/2006/main" ref="A1:B21" displayName="Table_Events" name="Table_Events" id="18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19.xml><?xml version="1.0" encoding="utf-8"?>
<table xmlns="http://schemas.openxmlformats.org/spreadsheetml/2006/main" ref="A23:E27" displayName="Table_Memento_Parent" name="Table_Memento_Parent" id="19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0.xml><?xml version="1.0" encoding="utf-8"?>
<table xmlns="http://schemas.openxmlformats.org/spreadsheetml/2006/main" ref="A29:F36" displayName="Table_Memento" name="Table_Memento" id="20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21.xml><?xml version="1.0" encoding="utf-8"?>
<table xmlns="http://schemas.openxmlformats.org/spreadsheetml/2006/main" ref="A38:C39" displayName="Table_Memento_Combi" name="Table_Memento_Combi" id="21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22.xml><?xml version="1.0" encoding="utf-8"?>
<table xmlns="http://schemas.openxmlformats.org/spreadsheetml/2006/main" ref="A41:B83" displayName="Table_EventsCombi" name="Table_EventsCombi" id="22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23.xml><?xml version="1.0" encoding="utf-8"?>
<table xmlns="http://schemas.openxmlformats.org/spreadsheetml/2006/main" ref="A1:D28" displayName="Table_TODO" name="Table_TODO" id="23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ables/table24.xml><?xml version="1.0" encoding="utf-8"?>
<table xmlns="http://schemas.openxmlformats.org/spreadsheetml/2006/main" ref="A1:B128" displayName="Table_PickableSprites" name="Table_PickableSprites" id="24">
  <tableColumns count="2">
    <tableColumn name="SPRITES" id="1"/>
    <tableColumn name="WORK" id="2"/>
  </tableColumns>
  <tableStyleInfo name="_CONSTANTS-style" showColumnStripes="0" showFirstColumn="1" showLastColumn="1" showRowStripes="1"/>
</table>
</file>

<file path=xl/tables/table25.xml><?xml version="1.0" encoding="utf-8"?>
<table xmlns="http://schemas.openxmlformats.org/spreadsheetml/2006/main" ref="D1:E128" displayName="Table_PickableNames" name="Table_PickableNames" id="25">
  <tableColumns count="2">
    <tableColumn name="NAMES" id="1"/>
    <tableColumn name="WORK" id="2"/>
  </tableColumns>
  <tableStyleInfo name="_CONSTANT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4" Type="http://schemas.openxmlformats.org/officeDocument/2006/relationships/table" Target="../tables/table4.xml"/><Relationship Id="rId5" Type="http://schemas.openxmlformats.org/officeDocument/2006/relationships/table" Target="../tables/table5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6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7.xml"/><Relationship Id="rId7" Type="http://schemas.openxmlformats.org/officeDocument/2006/relationships/table" Target="../tables/table8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9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10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1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11" Type="http://schemas.openxmlformats.org/officeDocument/2006/relationships/table" Target="../tables/table15.xml"/><Relationship Id="rId10" Type="http://schemas.openxmlformats.org/officeDocument/2006/relationships/table" Target="../tables/table14.xml"/><Relationship Id="rId13" Type="http://schemas.openxmlformats.org/officeDocument/2006/relationships/table" Target="../tables/table17.xml"/><Relationship Id="rId12" Type="http://schemas.openxmlformats.org/officeDocument/2006/relationships/table" Target="../tables/table16.xml"/><Relationship Id="rId9" Type="http://schemas.openxmlformats.org/officeDocument/2006/relationships/table" Target="../tables/table13.xml"/><Relationship Id="rId8" Type="http://schemas.openxmlformats.org/officeDocument/2006/relationships/table" Target="../tables/table12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11" Type="http://schemas.openxmlformats.org/officeDocument/2006/relationships/table" Target="../tables/table22.xml"/><Relationship Id="rId10" Type="http://schemas.openxmlformats.org/officeDocument/2006/relationships/table" Target="../tables/table21.xml"/><Relationship Id="rId9" Type="http://schemas.openxmlformats.org/officeDocument/2006/relationships/table" Target="../tables/table20.xml"/><Relationship Id="rId7" Type="http://schemas.openxmlformats.org/officeDocument/2006/relationships/table" Target="../tables/table18.xml"/><Relationship Id="rId8" Type="http://schemas.openxmlformats.org/officeDocument/2006/relationships/table" Target="../tables/table19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2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4" Type="http://schemas.openxmlformats.org/officeDocument/2006/relationships/table" Target="../tables/table24.xml"/><Relationship Id="rId5" Type="http://schemas.openxmlformats.org/officeDocument/2006/relationships/table" Target="../tables/table2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>
      <c r="A2" s="2">
        <f t="shared" ref="A2:A19" si="1">ROW()-ROW($A$2)</f>
        <v>0</v>
      </c>
      <c r="B2" s="3" t="s">
        <v>16</v>
      </c>
      <c r="C2" s="3" t="s">
        <v>17</v>
      </c>
      <c r="D2" s="4">
        <v>2.0</v>
      </c>
      <c r="E2" s="3">
        <v>0.0</v>
      </c>
      <c r="F2" s="3" t="s">
        <v>18</v>
      </c>
      <c r="G2" s="4" t="s">
        <v>19</v>
      </c>
      <c r="H2" s="3" t="s">
        <v>20</v>
      </c>
      <c r="I2" s="5" t="s">
        <v>21</v>
      </c>
      <c r="J2" s="5" t="s">
        <v>22</v>
      </c>
      <c r="K2" s="4" t="s">
        <v>22</v>
      </c>
      <c r="L2" s="4" t="s">
        <v>22</v>
      </c>
      <c r="M2" s="4" t="s">
        <v>23</v>
      </c>
      <c r="N2" s="5" t="s">
        <v>21</v>
      </c>
      <c r="O2" s="5" t="s">
        <v>21</v>
      </c>
      <c r="P2" s="5" t="s">
        <v>21</v>
      </c>
    </row>
    <row r="3">
      <c r="A3" s="2">
        <f t="shared" si="1"/>
        <v>1</v>
      </c>
      <c r="B3" s="3" t="s">
        <v>24</v>
      </c>
      <c r="C3" s="3" t="s">
        <v>25</v>
      </c>
      <c r="D3" s="4">
        <v>2.0</v>
      </c>
      <c r="E3" s="3">
        <v>0.0</v>
      </c>
      <c r="F3" s="3" t="s">
        <v>26</v>
      </c>
      <c r="G3" s="4" t="s">
        <v>19</v>
      </c>
      <c r="H3" s="3" t="s">
        <v>20</v>
      </c>
      <c r="I3" s="4" t="s">
        <v>23</v>
      </c>
      <c r="J3" s="4" t="s">
        <v>22</v>
      </c>
      <c r="K3" s="4" t="s">
        <v>22</v>
      </c>
      <c r="L3" s="4" t="s">
        <v>22</v>
      </c>
      <c r="M3" s="4" t="s">
        <v>22</v>
      </c>
      <c r="N3" s="5" t="s">
        <v>21</v>
      </c>
      <c r="O3" s="5" t="s">
        <v>21</v>
      </c>
      <c r="P3" s="5" t="s">
        <v>21</v>
      </c>
    </row>
    <row r="4">
      <c r="A4" s="2">
        <f t="shared" si="1"/>
        <v>2</v>
      </c>
      <c r="B4" s="3" t="s">
        <v>27</v>
      </c>
      <c r="C4" s="3" t="s">
        <v>28</v>
      </c>
      <c r="D4" s="4">
        <v>2.0</v>
      </c>
      <c r="E4" s="3">
        <v>0.0</v>
      </c>
      <c r="F4" s="2" t="s">
        <v>29</v>
      </c>
      <c r="G4" s="4" t="s">
        <v>19</v>
      </c>
      <c r="H4" s="3" t="s">
        <v>20</v>
      </c>
      <c r="I4" s="4" t="s">
        <v>23</v>
      </c>
      <c r="J4" s="5" t="s">
        <v>21</v>
      </c>
      <c r="K4" s="4" t="s">
        <v>22</v>
      </c>
      <c r="L4" s="5" t="s">
        <v>22</v>
      </c>
      <c r="M4" s="5" t="s">
        <v>30</v>
      </c>
      <c r="N4" s="5" t="s">
        <v>21</v>
      </c>
      <c r="O4" s="5" t="s">
        <v>21</v>
      </c>
      <c r="P4" s="5" t="s">
        <v>22</v>
      </c>
    </row>
    <row r="5">
      <c r="A5" s="2">
        <f t="shared" si="1"/>
        <v>3</v>
      </c>
      <c r="B5" s="3" t="s">
        <v>31</v>
      </c>
      <c r="C5" s="2" t="s">
        <v>32</v>
      </c>
      <c r="D5" s="4">
        <v>2.0</v>
      </c>
      <c r="E5" s="6">
        <f>CEILING((COUNT(Table_Events[N])-1)/64,1)</f>
        <v>1</v>
      </c>
      <c r="F5" s="2" t="s">
        <v>33</v>
      </c>
      <c r="G5" s="4" t="s">
        <v>19</v>
      </c>
      <c r="H5" s="3" t="s">
        <v>20</v>
      </c>
      <c r="I5" s="5" t="s">
        <v>21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  <c r="O5" s="5" t="s">
        <v>21</v>
      </c>
      <c r="P5" s="5" t="s">
        <v>23</v>
      </c>
    </row>
    <row r="6">
      <c r="A6" s="2">
        <f t="shared" si="1"/>
        <v>4</v>
      </c>
      <c r="B6" s="2" t="s">
        <v>34</v>
      </c>
      <c r="C6" s="2" t="s">
        <v>32</v>
      </c>
      <c r="D6" s="5">
        <v>2.0</v>
      </c>
      <c r="E6" s="7">
        <f>CEILING((COUNT(Table_Memento[N])-1)/64,1)</f>
        <v>1</v>
      </c>
      <c r="F6" s="2" t="s">
        <v>33</v>
      </c>
      <c r="G6" s="5" t="s">
        <v>19</v>
      </c>
      <c r="H6" s="3"/>
      <c r="I6" s="5" t="s">
        <v>21</v>
      </c>
      <c r="J6" s="5" t="s">
        <v>21</v>
      </c>
      <c r="K6" s="5" t="s">
        <v>21</v>
      </c>
      <c r="L6" s="5" t="s">
        <v>21</v>
      </c>
      <c r="M6" s="5" t="s">
        <v>21</v>
      </c>
      <c r="N6" s="5" t="s">
        <v>21</v>
      </c>
      <c r="O6" s="5" t="s">
        <v>21</v>
      </c>
      <c r="P6" s="5" t="s">
        <v>23</v>
      </c>
    </row>
    <row r="7">
      <c r="A7" s="2">
        <f t="shared" si="1"/>
        <v>5</v>
      </c>
      <c r="B7" s="2" t="s">
        <v>35</v>
      </c>
      <c r="C7" s="2" t="s">
        <v>32</v>
      </c>
      <c r="D7" s="5">
        <v>0.0</v>
      </c>
      <c r="E7" s="7">
        <f>CEILING((COUNT(Table_Memento_Parent[N])-1)/64,1)</f>
        <v>1</v>
      </c>
      <c r="F7" s="2" t="s">
        <v>33</v>
      </c>
      <c r="G7" s="5" t="s">
        <v>19</v>
      </c>
      <c r="H7" s="3"/>
      <c r="I7" s="5" t="s">
        <v>21</v>
      </c>
      <c r="J7" s="5" t="s">
        <v>21</v>
      </c>
      <c r="K7" s="5" t="s">
        <v>22</v>
      </c>
      <c r="L7" s="5" t="s">
        <v>21</v>
      </c>
      <c r="M7" s="5" t="s">
        <v>21</v>
      </c>
      <c r="N7" s="5" t="s">
        <v>21</v>
      </c>
      <c r="O7" s="5" t="s">
        <v>21</v>
      </c>
      <c r="P7" s="5" t="s">
        <v>23</v>
      </c>
    </row>
    <row r="8">
      <c r="A8" s="2">
        <f t="shared" si="1"/>
        <v>6</v>
      </c>
      <c r="B8" s="2" t="s">
        <v>36</v>
      </c>
      <c r="C8" s="2" t="s">
        <v>37</v>
      </c>
      <c r="D8" s="5">
        <v>2.0</v>
      </c>
      <c r="E8" s="7">
        <f>COUNTIF(Table_Items[PICKABLE],"=TRUE")</f>
        <v>9</v>
      </c>
      <c r="F8" s="2" t="s">
        <v>38</v>
      </c>
      <c r="G8" s="5" t="s">
        <v>19</v>
      </c>
      <c r="H8" s="3"/>
      <c r="I8" s="5" t="s">
        <v>21</v>
      </c>
      <c r="J8" s="5" t="s">
        <v>21</v>
      </c>
      <c r="K8" s="5" t="s">
        <v>22</v>
      </c>
      <c r="L8" s="5" t="s">
        <v>21</v>
      </c>
      <c r="M8" s="5" t="s">
        <v>30</v>
      </c>
      <c r="N8" s="5" t="s">
        <v>21</v>
      </c>
      <c r="O8" s="5" t="s">
        <v>23</v>
      </c>
      <c r="P8" s="5" t="s">
        <v>21</v>
      </c>
    </row>
    <row r="9">
      <c r="A9" s="2">
        <f t="shared" si="1"/>
        <v>7</v>
      </c>
      <c r="B9" s="2" t="s">
        <v>39</v>
      </c>
      <c r="C9" s="2" t="s">
        <v>40</v>
      </c>
      <c r="D9" s="5">
        <v>2.0</v>
      </c>
      <c r="E9" s="7">
        <f>COUNT(Table_Characters[N])-1</f>
        <v>3</v>
      </c>
      <c r="F9" s="2">
        <v>-1.0</v>
      </c>
      <c r="G9" s="5" t="s">
        <v>19</v>
      </c>
      <c r="H9" s="3"/>
      <c r="I9" s="5" t="s">
        <v>21</v>
      </c>
      <c r="J9" s="5" t="s">
        <v>21</v>
      </c>
      <c r="K9" s="5" t="s">
        <v>23</v>
      </c>
      <c r="L9" s="5" t="s">
        <v>21</v>
      </c>
      <c r="M9" s="5" t="s">
        <v>21</v>
      </c>
      <c r="N9" s="5" t="s">
        <v>22</v>
      </c>
      <c r="O9" s="5" t="s">
        <v>21</v>
      </c>
      <c r="P9" s="5" t="s">
        <v>21</v>
      </c>
    </row>
    <row r="10">
      <c r="A10" s="2">
        <f t="shared" si="1"/>
        <v>8</v>
      </c>
      <c r="B10" s="2" t="s">
        <v>41</v>
      </c>
      <c r="C10" s="2" t="s">
        <v>42</v>
      </c>
      <c r="D10" s="5">
        <v>0.0</v>
      </c>
      <c r="E10" s="2">
        <v>0.0</v>
      </c>
      <c r="F10" s="2" t="s">
        <v>43</v>
      </c>
      <c r="G10" s="5" t="s">
        <v>19</v>
      </c>
      <c r="H10" s="3"/>
      <c r="I10" s="5" t="s">
        <v>21</v>
      </c>
      <c r="J10" s="5" t="s">
        <v>21</v>
      </c>
      <c r="K10" s="5" t="s">
        <v>21</v>
      </c>
      <c r="L10" s="5" t="s">
        <v>23</v>
      </c>
      <c r="M10" s="5" t="s">
        <v>21</v>
      </c>
      <c r="N10" s="5" t="s">
        <v>21</v>
      </c>
      <c r="O10" s="5" t="s">
        <v>21</v>
      </c>
      <c r="P10" s="5" t="s">
        <v>21</v>
      </c>
    </row>
    <row r="11">
      <c r="A11" s="2">
        <f t="shared" si="1"/>
        <v>9</v>
      </c>
      <c r="B11" s="3" t="s">
        <v>44</v>
      </c>
      <c r="C11" s="3" t="s">
        <v>45</v>
      </c>
      <c r="D11" s="4">
        <v>0.0</v>
      </c>
      <c r="E11" s="3">
        <v>0.0</v>
      </c>
      <c r="F11" s="3" t="s">
        <v>46</v>
      </c>
      <c r="G11" s="4" t="s">
        <v>0</v>
      </c>
      <c r="H11" s="3" t="s">
        <v>20</v>
      </c>
      <c r="I11" s="4" t="s">
        <v>23</v>
      </c>
      <c r="J11" s="5" t="s">
        <v>30</v>
      </c>
      <c r="K11" s="4" t="s">
        <v>30</v>
      </c>
      <c r="L11" s="4" t="s">
        <v>30</v>
      </c>
      <c r="M11" s="4" t="s">
        <v>30</v>
      </c>
      <c r="N11" s="4" t="s">
        <v>30</v>
      </c>
      <c r="O11" s="5" t="s">
        <v>30</v>
      </c>
      <c r="P11" s="5" t="s">
        <v>30</v>
      </c>
    </row>
    <row r="12">
      <c r="A12" s="2">
        <f t="shared" si="1"/>
        <v>10</v>
      </c>
      <c r="B12" s="3" t="s">
        <v>47</v>
      </c>
      <c r="C12" s="3" t="s">
        <v>48</v>
      </c>
      <c r="D12" s="4">
        <v>0.0</v>
      </c>
      <c r="E12" s="3">
        <v>0.0</v>
      </c>
      <c r="F12" s="3" t="s">
        <v>49</v>
      </c>
      <c r="G12" s="4" t="s">
        <v>0</v>
      </c>
      <c r="H12" s="3" t="s">
        <v>20</v>
      </c>
      <c r="I12" s="4" t="s">
        <v>22</v>
      </c>
      <c r="J12" s="5" t="s">
        <v>23</v>
      </c>
      <c r="K12" s="5" t="s">
        <v>22</v>
      </c>
      <c r="L12" s="5" t="s">
        <v>22</v>
      </c>
      <c r="M12" s="4" t="s">
        <v>22</v>
      </c>
      <c r="N12" s="5" t="s">
        <v>21</v>
      </c>
      <c r="O12" s="5" t="s">
        <v>21</v>
      </c>
      <c r="P12" s="5" t="s">
        <v>21</v>
      </c>
    </row>
    <row r="13">
      <c r="A13" s="2">
        <f t="shared" si="1"/>
        <v>11</v>
      </c>
      <c r="B13" s="3" t="s">
        <v>50</v>
      </c>
      <c r="C13" s="3" t="s">
        <v>51</v>
      </c>
      <c r="D13" s="4">
        <v>0.0</v>
      </c>
      <c r="E13" s="3">
        <v>0.0</v>
      </c>
      <c r="F13" s="3" t="s">
        <v>52</v>
      </c>
      <c r="G13" s="4" t="s">
        <v>0</v>
      </c>
      <c r="H13" s="3" t="s">
        <v>20</v>
      </c>
      <c r="I13" s="5" t="s">
        <v>21</v>
      </c>
      <c r="J13" s="4" t="s">
        <v>23</v>
      </c>
      <c r="K13" s="5" t="s">
        <v>22</v>
      </c>
      <c r="L13" s="4" t="s">
        <v>22</v>
      </c>
      <c r="M13" s="4" t="s">
        <v>22</v>
      </c>
      <c r="N13" s="5" t="s">
        <v>21</v>
      </c>
      <c r="O13" s="5" t="s">
        <v>21</v>
      </c>
      <c r="P13" s="5" t="s">
        <v>21</v>
      </c>
    </row>
    <row r="14">
      <c r="A14" s="2">
        <f t="shared" si="1"/>
        <v>12</v>
      </c>
      <c r="B14" s="2" t="s">
        <v>53</v>
      </c>
      <c r="C14" s="2" t="s">
        <v>37</v>
      </c>
      <c r="D14" s="5">
        <v>0.0</v>
      </c>
      <c r="E14" s="2">
        <v>0.0</v>
      </c>
      <c r="F14" s="2" t="s">
        <v>38</v>
      </c>
      <c r="G14" s="5" t="s">
        <v>0</v>
      </c>
      <c r="H14" s="8"/>
      <c r="I14" s="5" t="s">
        <v>21</v>
      </c>
      <c r="J14" s="5" t="s">
        <v>21</v>
      </c>
      <c r="K14" s="5" t="s">
        <v>23</v>
      </c>
      <c r="L14" s="5" t="s">
        <v>21</v>
      </c>
      <c r="M14" s="5" t="s">
        <v>22</v>
      </c>
      <c r="N14" s="5" t="s">
        <v>30</v>
      </c>
      <c r="O14" s="5" t="s">
        <v>22</v>
      </c>
      <c r="P14" s="5" t="s">
        <v>21</v>
      </c>
    </row>
    <row r="15" ht="15.75" customHeight="1">
      <c r="A15" s="2">
        <f t="shared" si="1"/>
        <v>13</v>
      </c>
      <c r="B15" s="2" t="s">
        <v>54</v>
      </c>
      <c r="C15" s="2" t="s">
        <v>55</v>
      </c>
      <c r="D15" s="5">
        <v>1.0</v>
      </c>
      <c r="E15" s="2">
        <v>0.0</v>
      </c>
      <c r="F15" s="2" t="s">
        <v>56</v>
      </c>
      <c r="G15" s="5" t="s">
        <v>0</v>
      </c>
      <c r="H15" s="8"/>
      <c r="I15" s="5" t="s">
        <v>21</v>
      </c>
      <c r="J15" s="5" t="s">
        <v>21</v>
      </c>
      <c r="K15" s="5" t="s">
        <v>22</v>
      </c>
      <c r="L15" s="5" t="s">
        <v>30</v>
      </c>
      <c r="M15" s="5" t="s">
        <v>23</v>
      </c>
      <c r="N15" s="5" t="s">
        <v>21</v>
      </c>
      <c r="O15" s="5" t="s">
        <v>22</v>
      </c>
      <c r="P15" s="5" t="s">
        <v>21</v>
      </c>
    </row>
    <row r="16" ht="15.75" customHeight="1">
      <c r="A16" s="2">
        <f t="shared" si="1"/>
        <v>14</v>
      </c>
      <c r="B16" s="2" t="s">
        <v>57</v>
      </c>
      <c r="C16" s="2" t="s">
        <v>55</v>
      </c>
      <c r="D16" s="5">
        <v>0.0</v>
      </c>
      <c r="E16" s="2">
        <v>0.0</v>
      </c>
      <c r="F16" s="2" t="s">
        <v>56</v>
      </c>
      <c r="G16" s="5" t="s">
        <v>0</v>
      </c>
      <c r="H16" s="8"/>
      <c r="I16" s="5" t="s">
        <v>21</v>
      </c>
      <c r="J16" s="5" t="s">
        <v>21</v>
      </c>
      <c r="K16" s="5" t="s">
        <v>23</v>
      </c>
      <c r="L16" s="5" t="s">
        <v>30</v>
      </c>
      <c r="M16" s="5" t="s">
        <v>21</v>
      </c>
      <c r="N16" s="5" t="s">
        <v>21</v>
      </c>
      <c r="O16" s="5" t="s">
        <v>21</v>
      </c>
      <c r="P16" s="5" t="s">
        <v>21</v>
      </c>
    </row>
    <row r="17" ht="15.75" customHeight="1">
      <c r="A17" s="2">
        <f t="shared" si="1"/>
        <v>15</v>
      </c>
      <c r="B17" s="2" t="s">
        <v>58</v>
      </c>
      <c r="C17" s="2" t="s">
        <v>59</v>
      </c>
      <c r="D17" s="5">
        <v>0.0</v>
      </c>
      <c r="E17" s="2">
        <v>0.0</v>
      </c>
      <c r="F17" s="2" t="s">
        <v>60</v>
      </c>
      <c r="G17" s="5" t="s">
        <v>0</v>
      </c>
      <c r="H17" s="8"/>
      <c r="I17" s="5" t="s">
        <v>21</v>
      </c>
      <c r="J17" s="5" t="s">
        <v>21</v>
      </c>
      <c r="K17" s="5" t="s">
        <v>22</v>
      </c>
      <c r="L17" s="5" t="s">
        <v>30</v>
      </c>
      <c r="M17" s="5" t="s">
        <v>23</v>
      </c>
      <c r="N17" s="5" t="s">
        <v>21</v>
      </c>
      <c r="O17" s="5" t="s">
        <v>21</v>
      </c>
      <c r="P17" s="5" t="s">
        <v>21</v>
      </c>
    </row>
    <row r="18" ht="15.75" customHeight="1">
      <c r="A18" s="2">
        <f t="shared" si="1"/>
        <v>16</v>
      </c>
      <c r="B18" s="2" t="s">
        <v>61</v>
      </c>
      <c r="C18" s="2" t="s">
        <v>62</v>
      </c>
      <c r="D18" s="5">
        <v>0.0</v>
      </c>
      <c r="E18" s="2">
        <v>0.0</v>
      </c>
      <c r="F18" s="9" t="s">
        <v>63</v>
      </c>
      <c r="G18" s="5" t="s">
        <v>0</v>
      </c>
      <c r="H18" s="8"/>
      <c r="I18" s="5" t="s">
        <v>22</v>
      </c>
      <c r="J18" s="5" t="s">
        <v>21</v>
      </c>
      <c r="K18" s="5" t="s">
        <v>22</v>
      </c>
      <c r="L18" s="5" t="s">
        <v>21</v>
      </c>
      <c r="M18" s="5" t="s">
        <v>21</v>
      </c>
      <c r="N18" s="5" t="s">
        <v>21</v>
      </c>
      <c r="O18" s="5" t="s">
        <v>21</v>
      </c>
      <c r="P18" s="5" t="s">
        <v>23</v>
      </c>
    </row>
    <row r="19" ht="15.75" customHeight="1">
      <c r="A19" s="2">
        <f t="shared" si="1"/>
        <v>17</v>
      </c>
      <c r="B19" s="2" t="s">
        <v>64</v>
      </c>
      <c r="C19" s="2" t="s">
        <v>62</v>
      </c>
      <c r="D19" s="5">
        <v>0.0</v>
      </c>
      <c r="E19" s="2">
        <v>0.0</v>
      </c>
      <c r="F19" s="9" t="s">
        <v>63</v>
      </c>
      <c r="G19" s="5" t="s">
        <v>0</v>
      </c>
      <c r="H19" s="8"/>
      <c r="I19" s="5" t="s">
        <v>23</v>
      </c>
      <c r="J19" s="5" t="s">
        <v>21</v>
      </c>
      <c r="K19" s="5" t="s">
        <v>21</v>
      </c>
      <c r="L19" s="5" t="s">
        <v>21</v>
      </c>
      <c r="M19" s="5" t="s">
        <v>21</v>
      </c>
      <c r="N19" s="5" t="s">
        <v>21</v>
      </c>
      <c r="O19" s="5" t="s">
        <v>21</v>
      </c>
      <c r="P19" s="5" t="s">
        <v>21</v>
      </c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>
      <c r="I26" s="10"/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dataValidations>
    <dataValidation type="list" allowBlank="1" showErrorMessage="1" sqref="G2:G19">
      <formula1>"N,Y"</formula1>
    </dataValidation>
    <dataValidation type="list" allowBlank="1" showErrorMessage="1" sqref="D2:D19">
      <formula1>"0,1,2"</formula1>
    </dataValidation>
    <dataValidation type="list" allowBlank="1" showErrorMessage="1" sqref="I2:P19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21.14"/>
    <col customWidth="1" min="8" max="8" width="20.57"/>
    <col customWidth="1" min="9" max="9" width="20.43"/>
    <col customWidth="1" min="10" max="10" width="23.43"/>
    <col customWidth="1" min="11" max="11" width="20.14"/>
    <col customWidth="1" min="12" max="12" width="21.29"/>
    <col customWidth="1" min="13" max="13" width="19.57"/>
    <col customWidth="1" min="14" max="14" width="20.0"/>
    <col customWidth="1" min="15" max="15" width="25.86"/>
  </cols>
  <sheetData>
    <row r="1">
      <c r="A1" s="11" t="s">
        <v>0</v>
      </c>
      <c r="B1" s="1" t="s">
        <v>65</v>
      </c>
      <c r="C1" s="1" t="s">
        <v>66</v>
      </c>
      <c r="D1" s="1" t="s">
        <v>67</v>
      </c>
      <c r="E1" s="11" t="s">
        <v>68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</row>
    <row r="2">
      <c r="A2" s="12">
        <f t="shared" ref="A2:A33" si="1">ROW()-ROW($A$2)</f>
        <v>0</v>
      </c>
      <c r="B2" s="3" t="s">
        <v>69</v>
      </c>
      <c r="C2" s="3" t="s">
        <v>70</v>
      </c>
      <c r="D2" s="3" t="s">
        <v>71</v>
      </c>
      <c r="E2" s="2" t="s">
        <v>72</v>
      </c>
      <c r="F2" s="3" t="s">
        <v>20</v>
      </c>
      <c r="G2" s="4" t="s">
        <v>23</v>
      </c>
      <c r="H2" s="5" t="s">
        <v>21</v>
      </c>
      <c r="I2" s="5" t="s">
        <v>21</v>
      </c>
      <c r="J2" s="5" t="s">
        <v>21</v>
      </c>
      <c r="K2" s="4" t="s">
        <v>73</v>
      </c>
      <c r="L2" s="5" t="s">
        <v>21</v>
      </c>
      <c r="M2" s="5" t="s">
        <v>21</v>
      </c>
      <c r="N2" s="5" t="s">
        <v>21</v>
      </c>
    </row>
    <row r="3">
      <c r="A3" s="12">
        <f t="shared" si="1"/>
        <v>1</v>
      </c>
      <c r="B3" s="2" t="s">
        <v>74</v>
      </c>
      <c r="C3" s="2" t="s">
        <v>75</v>
      </c>
      <c r="D3" s="2" t="s">
        <v>76</v>
      </c>
      <c r="E3" s="2" t="s">
        <v>77</v>
      </c>
      <c r="F3" s="3"/>
      <c r="G3" s="5" t="s">
        <v>23</v>
      </c>
      <c r="H3" s="5" t="s">
        <v>21</v>
      </c>
      <c r="I3" s="5" t="s">
        <v>73</v>
      </c>
      <c r="J3" s="5" t="s">
        <v>21</v>
      </c>
      <c r="K3" s="5" t="s">
        <v>73</v>
      </c>
      <c r="L3" s="5" t="s">
        <v>21</v>
      </c>
      <c r="M3" s="5" t="s">
        <v>21</v>
      </c>
      <c r="N3" s="5" t="s">
        <v>21</v>
      </c>
    </row>
    <row r="4">
      <c r="A4" s="12">
        <f t="shared" si="1"/>
        <v>2</v>
      </c>
      <c r="B4" s="2" t="s">
        <v>78</v>
      </c>
      <c r="C4" s="2" t="s">
        <v>79</v>
      </c>
      <c r="D4" s="2" t="s">
        <v>80</v>
      </c>
      <c r="E4" s="2" t="s">
        <v>81</v>
      </c>
      <c r="F4" s="3"/>
      <c r="G4" s="5" t="s">
        <v>23</v>
      </c>
      <c r="H4" s="5" t="s">
        <v>21</v>
      </c>
      <c r="I4" s="5" t="s">
        <v>21</v>
      </c>
      <c r="J4" s="5" t="s">
        <v>21</v>
      </c>
      <c r="K4" s="5" t="s">
        <v>73</v>
      </c>
      <c r="L4" s="5" t="s">
        <v>21</v>
      </c>
      <c r="M4" s="5" t="s">
        <v>21</v>
      </c>
      <c r="N4" s="5" t="s">
        <v>21</v>
      </c>
    </row>
    <row r="5">
      <c r="A5" s="12">
        <f t="shared" si="1"/>
        <v>3</v>
      </c>
      <c r="B5" s="3" t="s">
        <v>82</v>
      </c>
      <c r="C5" s="3" t="s">
        <v>83</v>
      </c>
      <c r="D5" s="3" t="s">
        <v>84</v>
      </c>
      <c r="E5" s="2" t="s">
        <v>85</v>
      </c>
      <c r="F5" s="3" t="s">
        <v>20</v>
      </c>
      <c r="G5" s="4" t="s">
        <v>23</v>
      </c>
      <c r="H5" s="5" t="s">
        <v>21</v>
      </c>
      <c r="I5" s="4" t="s">
        <v>73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>
      <c r="A6" s="12">
        <f t="shared" si="1"/>
        <v>4</v>
      </c>
      <c r="B6" s="3" t="s">
        <v>86</v>
      </c>
      <c r="C6" s="3" t="s">
        <v>87</v>
      </c>
      <c r="D6" s="3" t="s">
        <v>88</v>
      </c>
      <c r="E6" s="2" t="s">
        <v>89</v>
      </c>
      <c r="F6" s="3" t="s">
        <v>20</v>
      </c>
      <c r="G6" s="4" t="s">
        <v>23</v>
      </c>
      <c r="H6" s="5" t="s">
        <v>21</v>
      </c>
      <c r="I6" s="5" t="s">
        <v>21</v>
      </c>
      <c r="J6" s="5" t="s">
        <v>21</v>
      </c>
      <c r="K6" s="4" t="s">
        <v>73</v>
      </c>
      <c r="L6" s="5" t="s">
        <v>21</v>
      </c>
      <c r="M6" s="5" t="s">
        <v>21</v>
      </c>
      <c r="N6" s="5" t="s">
        <v>21</v>
      </c>
    </row>
    <row r="7">
      <c r="A7" s="12">
        <f t="shared" si="1"/>
        <v>5</v>
      </c>
      <c r="B7" s="2" t="s">
        <v>90</v>
      </c>
      <c r="C7" s="3" t="s">
        <v>91</v>
      </c>
      <c r="D7" s="3" t="s">
        <v>92</v>
      </c>
      <c r="E7" s="2" t="s">
        <v>93</v>
      </c>
      <c r="F7" s="3" t="s">
        <v>20</v>
      </c>
      <c r="G7" s="4" t="s">
        <v>23</v>
      </c>
      <c r="H7" s="5" t="s">
        <v>73</v>
      </c>
      <c r="I7" s="4" t="s">
        <v>73</v>
      </c>
      <c r="J7" s="5" t="s">
        <v>73</v>
      </c>
      <c r="K7" s="5" t="s">
        <v>73</v>
      </c>
      <c r="L7" s="5" t="s">
        <v>73</v>
      </c>
      <c r="M7" s="5" t="s">
        <v>73</v>
      </c>
      <c r="N7" s="5" t="s">
        <v>73</v>
      </c>
    </row>
    <row r="8">
      <c r="A8" s="12">
        <f t="shared" si="1"/>
        <v>6</v>
      </c>
      <c r="B8" s="2" t="s">
        <v>94</v>
      </c>
      <c r="C8" s="2" t="s">
        <v>95</v>
      </c>
      <c r="D8" s="2" t="s">
        <v>96</v>
      </c>
      <c r="E8" s="2" t="s">
        <v>97</v>
      </c>
      <c r="F8" s="3"/>
      <c r="G8" s="5" t="s">
        <v>23</v>
      </c>
      <c r="H8" s="5" t="s">
        <v>73</v>
      </c>
      <c r="I8" s="5" t="s">
        <v>73</v>
      </c>
      <c r="J8" s="5" t="s">
        <v>73</v>
      </c>
      <c r="K8" s="5" t="s">
        <v>73</v>
      </c>
      <c r="L8" s="5" t="s">
        <v>73</v>
      </c>
      <c r="M8" s="5" t="s">
        <v>73</v>
      </c>
      <c r="N8" s="5" t="s">
        <v>73</v>
      </c>
    </row>
    <row r="9">
      <c r="A9" s="12">
        <f t="shared" si="1"/>
        <v>7</v>
      </c>
      <c r="B9" s="2" t="s">
        <v>98</v>
      </c>
      <c r="C9" s="2" t="s">
        <v>99</v>
      </c>
      <c r="D9" s="2" t="s">
        <v>100</v>
      </c>
      <c r="E9" s="2" t="s">
        <v>101</v>
      </c>
      <c r="F9" s="8"/>
      <c r="G9" s="5" t="s">
        <v>21</v>
      </c>
      <c r="H9" s="5" t="s">
        <v>21</v>
      </c>
      <c r="I9" s="5" t="s">
        <v>23</v>
      </c>
      <c r="J9" s="5" t="s">
        <v>21</v>
      </c>
      <c r="K9" s="5" t="s">
        <v>21</v>
      </c>
      <c r="L9" s="5" t="s">
        <v>73</v>
      </c>
      <c r="M9" s="5" t="s">
        <v>73</v>
      </c>
      <c r="N9" s="5" t="s">
        <v>21</v>
      </c>
    </row>
    <row r="10">
      <c r="A10" s="12">
        <f t="shared" si="1"/>
        <v>8</v>
      </c>
      <c r="B10" s="3" t="s">
        <v>102</v>
      </c>
      <c r="C10" s="2" t="s">
        <v>103</v>
      </c>
      <c r="D10" s="3" t="s">
        <v>104</v>
      </c>
      <c r="E10" s="2" t="s">
        <v>105</v>
      </c>
      <c r="F10" s="8"/>
      <c r="G10" s="5" t="s">
        <v>21</v>
      </c>
      <c r="H10" s="5" t="s">
        <v>21</v>
      </c>
      <c r="I10" s="4" t="s">
        <v>23</v>
      </c>
      <c r="J10" s="5" t="s">
        <v>21</v>
      </c>
      <c r="K10" s="5" t="s">
        <v>21</v>
      </c>
      <c r="L10" s="4" t="s">
        <v>73</v>
      </c>
      <c r="M10" s="5" t="s">
        <v>21</v>
      </c>
      <c r="N10" s="5" t="s">
        <v>21</v>
      </c>
    </row>
    <row r="11">
      <c r="A11" s="12">
        <f t="shared" si="1"/>
        <v>9</v>
      </c>
      <c r="B11" s="2" t="s">
        <v>106</v>
      </c>
      <c r="C11" s="2" t="s">
        <v>107</v>
      </c>
      <c r="D11" s="2" t="s">
        <v>108</v>
      </c>
      <c r="E11" s="2" t="s">
        <v>109</v>
      </c>
      <c r="F11" s="8"/>
      <c r="G11" s="5" t="s">
        <v>21</v>
      </c>
      <c r="H11" s="5" t="s">
        <v>21</v>
      </c>
      <c r="I11" s="5" t="s">
        <v>23</v>
      </c>
      <c r="J11" s="5" t="s">
        <v>21</v>
      </c>
      <c r="K11" s="5" t="s">
        <v>21</v>
      </c>
      <c r="L11" s="5" t="s">
        <v>21</v>
      </c>
      <c r="M11" s="5" t="s">
        <v>73</v>
      </c>
      <c r="N11" s="5" t="s">
        <v>21</v>
      </c>
    </row>
    <row r="12">
      <c r="A12" s="12">
        <f t="shared" si="1"/>
        <v>10</v>
      </c>
      <c r="B12" s="2" t="s">
        <v>110</v>
      </c>
      <c r="C12" s="2" t="s">
        <v>111</v>
      </c>
      <c r="D12" s="2" t="s">
        <v>112</v>
      </c>
      <c r="E12" s="2" t="s">
        <v>113</v>
      </c>
      <c r="F12" s="8"/>
      <c r="G12" s="5" t="s">
        <v>21</v>
      </c>
      <c r="H12" s="5" t="s">
        <v>21</v>
      </c>
      <c r="I12" s="5" t="s">
        <v>23</v>
      </c>
      <c r="J12" s="5" t="s">
        <v>21</v>
      </c>
      <c r="K12" s="5" t="s">
        <v>21</v>
      </c>
      <c r="L12" s="5" t="s">
        <v>21</v>
      </c>
      <c r="M12" s="5" t="s">
        <v>73</v>
      </c>
      <c r="N12" s="5" t="s">
        <v>21</v>
      </c>
    </row>
    <row r="13">
      <c r="A13" s="12">
        <f t="shared" si="1"/>
        <v>11</v>
      </c>
      <c r="B13" s="2" t="s">
        <v>114</v>
      </c>
      <c r="C13" s="2" t="s">
        <v>115</v>
      </c>
      <c r="D13" s="2" t="s">
        <v>116</v>
      </c>
      <c r="E13" s="2" t="s">
        <v>117</v>
      </c>
      <c r="F13" s="8"/>
      <c r="G13" s="5" t="s">
        <v>21</v>
      </c>
      <c r="H13" s="5" t="s">
        <v>21</v>
      </c>
      <c r="I13" s="5" t="s">
        <v>23</v>
      </c>
      <c r="J13" s="5" t="s">
        <v>21</v>
      </c>
      <c r="K13" s="5" t="s">
        <v>21</v>
      </c>
      <c r="L13" s="5" t="s">
        <v>73</v>
      </c>
      <c r="M13" s="5" t="s">
        <v>21</v>
      </c>
      <c r="N13" s="5" t="s">
        <v>21</v>
      </c>
    </row>
    <row r="14">
      <c r="A14" s="12">
        <f t="shared" si="1"/>
        <v>12</v>
      </c>
      <c r="B14" s="2" t="s">
        <v>118</v>
      </c>
      <c r="C14" s="2" t="s">
        <v>119</v>
      </c>
      <c r="D14" s="2" t="s">
        <v>120</v>
      </c>
      <c r="E14" s="2" t="s">
        <v>121</v>
      </c>
      <c r="F14" s="8"/>
      <c r="G14" s="5" t="s">
        <v>21</v>
      </c>
      <c r="H14" s="5" t="s">
        <v>21</v>
      </c>
      <c r="I14" s="5" t="s">
        <v>23</v>
      </c>
      <c r="J14" s="5" t="s">
        <v>21</v>
      </c>
      <c r="K14" s="5" t="s">
        <v>21</v>
      </c>
      <c r="L14" s="5" t="s">
        <v>73</v>
      </c>
      <c r="M14" s="5" t="s">
        <v>21</v>
      </c>
      <c r="N14" s="5" t="s">
        <v>21</v>
      </c>
    </row>
    <row r="15">
      <c r="A15" s="12">
        <f t="shared" si="1"/>
        <v>13</v>
      </c>
      <c r="B15" s="2" t="s">
        <v>122</v>
      </c>
      <c r="C15" s="2" t="s">
        <v>123</v>
      </c>
      <c r="D15" s="2" t="s">
        <v>124</v>
      </c>
      <c r="E15" s="2" t="s">
        <v>125</v>
      </c>
      <c r="F15" s="8"/>
      <c r="G15" s="5" t="s">
        <v>21</v>
      </c>
      <c r="H15" s="5" t="s">
        <v>21</v>
      </c>
      <c r="I15" s="5" t="s">
        <v>23</v>
      </c>
      <c r="J15" s="5" t="s">
        <v>21</v>
      </c>
      <c r="K15" s="5" t="s">
        <v>73</v>
      </c>
      <c r="L15" s="5" t="s">
        <v>21</v>
      </c>
      <c r="M15" s="5" t="s">
        <v>73</v>
      </c>
      <c r="N15" s="5" t="s">
        <v>21</v>
      </c>
    </row>
    <row r="16">
      <c r="A16" s="12">
        <f t="shared" si="1"/>
        <v>14</v>
      </c>
      <c r="B16" s="2" t="s">
        <v>126</v>
      </c>
      <c r="C16" s="2" t="s">
        <v>127</v>
      </c>
      <c r="D16" s="2" t="s">
        <v>128</v>
      </c>
      <c r="E16" s="2" t="s">
        <v>129</v>
      </c>
      <c r="F16" s="8"/>
      <c r="G16" s="5" t="s">
        <v>21</v>
      </c>
      <c r="H16" s="5" t="s">
        <v>21</v>
      </c>
      <c r="I16" s="5" t="s">
        <v>23</v>
      </c>
      <c r="J16" s="5" t="s">
        <v>73</v>
      </c>
      <c r="K16" s="5" t="s">
        <v>21</v>
      </c>
      <c r="L16" s="5" t="s">
        <v>73</v>
      </c>
      <c r="M16" s="5" t="s">
        <v>21</v>
      </c>
      <c r="N16" s="5" t="s">
        <v>21</v>
      </c>
    </row>
    <row r="17">
      <c r="A17" s="12">
        <f t="shared" si="1"/>
        <v>15</v>
      </c>
      <c r="B17" s="2" t="s">
        <v>130</v>
      </c>
      <c r="C17" s="2" t="s">
        <v>131</v>
      </c>
      <c r="D17" s="2" t="s">
        <v>132</v>
      </c>
      <c r="E17" s="2" t="s">
        <v>133</v>
      </c>
      <c r="F17" s="8"/>
      <c r="G17" s="5" t="s">
        <v>21</v>
      </c>
      <c r="H17" s="5" t="s">
        <v>21</v>
      </c>
      <c r="I17" s="5" t="s">
        <v>23</v>
      </c>
      <c r="J17" s="5" t="s">
        <v>21</v>
      </c>
      <c r="K17" s="5" t="s">
        <v>21</v>
      </c>
      <c r="L17" s="5" t="s">
        <v>73</v>
      </c>
      <c r="M17" s="5" t="s">
        <v>73</v>
      </c>
      <c r="N17" s="5" t="s">
        <v>21</v>
      </c>
    </row>
    <row r="18">
      <c r="A18" s="12">
        <f t="shared" si="1"/>
        <v>16</v>
      </c>
      <c r="B18" s="13" t="s">
        <v>134</v>
      </c>
      <c r="C18" s="13" t="s">
        <v>135</v>
      </c>
      <c r="D18" s="13" t="s">
        <v>136</v>
      </c>
      <c r="E18" s="13" t="s">
        <v>137</v>
      </c>
      <c r="F18" s="14"/>
      <c r="G18" s="15" t="s">
        <v>21</v>
      </c>
      <c r="H18" s="15" t="s">
        <v>21</v>
      </c>
      <c r="I18" s="15" t="s">
        <v>73</v>
      </c>
      <c r="J18" s="15" t="s">
        <v>21</v>
      </c>
      <c r="K18" s="15" t="s">
        <v>73</v>
      </c>
      <c r="L18" s="15" t="s">
        <v>73</v>
      </c>
      <c r="M18" s="15" t="s">
        <v>73</v>
      </c>
      <c r="N18" s="15" t="s">
        <v>23</v>
      </c>
      <c r="O18" s="16"/>
      <c r="P18" s="16"/>
      <c r="Q18" s="16"/>
      <c r="R18" s="16"/>
      <c r="S18" s="16"/>
      <c r="T18" s="16"/>
      <c r="U18" s="16"/>
      <c r="V18" s="16"/>
      <c r="W18" s="16"/>
      <c r="X18" s="16"/>
    </row>
    <row r="19">
      <c r="A19" s="12">
        <f t="shared" si="1"/>
        <v>17</v>
      </c>
      <c r="B19" s="2" t="s">
        <v>138</v>
      </c>
      <c r="C19" s="2" t="s">
        <v>139</v>
      </c>
      <c r="D19" s="2" t="s">
        <v>140</v>
      </c>
      <c r="E19" s="2" t="s">
        <v>141</v>
      </c>
      <c r="F19" s="8"/>
      <c r="G19" s="5" t="s">
        <v>21</v>
      </c>
      <c r="H19" s="5" t="s">
        <v>21</v>
      </c>
      <c r="I19" s="5" t="s">
        <v>73</v>
      </c>
      <c r="J19" s="5" t="s">
        <v>21</v>
      </c>
      <c r="K19" s="5" t="s">
        <v>73</v>
      </c>
      <c r="L19" s="5" t="s">
        <v>73</v>
      </c>
      <c r="M19" s="5" t="s">
        <v>73</v>
      </c>
      <c r="N19" s="5" t="s">
        <v>23</v>
      </c>
    </row>
    <row r="20">
      <c r="A20" s="12">
        <f t="shared" si="1"/>
        <v>18</v>
      </c>
      <c r="B20" s="13" t="s">
        <v>142</v>
      </c>
      <c r="C20" s="13" t="s">
        <v>143</v>
      </c>
      <c r="D20" s="13" t="s">
        <v>144</v>
      </c>
      <c r="E20" s="13" t="s">
        <v>145</v>
      </c>
      <c r="F20" s="14"/>
      <c r="G20" s="15" t="s">
        <v>21</v>
      </c>
      <c r="H20" s="15" t="s">
        <v>21</v>
      </c>
      <c r="I20" s="15" t="s">
        <v>21</v>
      </c>
      <c r="J20" s="15" t="s">
        <v>21</v>
      </c>
      <c r="K20" s="15" t="s">
        <v>23</v>
      </c>
      <c r="L20" s="15" t="s">
        <v>21</v>
      </c>
      <c r="M20" s="15" t="s">
        <v>21</v>
      </c>
      <c r="N20" s="15" t="s">
        <v>73</v>
      </c>
      <c r="O20" s="16"/>
      <c r="P20" s="16"/>
      <c r="Q20" s="16"/>
      <c r="R20" s="16"/>
      <c r="S20" s="16"/>
      <c r="T20" s="16"/>
      <c r="U20" s="16"/>
      <c r="V20" s="16"/>
      <c r="W20" s="16"/>
      <c r="X20" s="16"/>
    </row>
    <row r="21">
      <c r="A21" s="12">
        <f t="shared" si="1"/>
        <v>19</v>
      </c>
      <c r="B21" s="13" t="s">
        <v>146</v>
      </c>
      <c r="C21" s="13" t="s">
        <v>147</v>
      </c>
      <c r="D21" s="13" t="s">
        <v>148</v>
      </c>
      <c r="E21" s="13" t="s">
        <v>149</v>
      </c>
      <c r="F21" s="14"/>
      <c r="G21" s="15" t="s">
        <v>21</v>
      </c>
      <c r="H21" s="15" t="s">
        <v>21</v>
      </c>
      <c r="I21" s="15" t="s">
        <v>21</v>
      </c>
      <c r="J21" s="15" t="s">
        <v>21</v>
      </c>
      <c r="K21" s="15" t="s">
        <v>73</v>
      </c>
      <c r="L21" s="15" t="s">
        <v>21</v>
      </c>
      <c r="M21" s="15" t="s">
        <v>21</v>
      </c>
      <c r="N21" s="15" t="s">
        <v>23</v>
      </c>
      <c r="O21" s="16"/>
      <c r="P21" s="16"/>
      <c r="Q21" s="16"/>
      <c r="R21" s="16"/>
      <c r="S21" s="16"/>
      <c r="T21" s="16"/>
      <c r="U21" s="16"/>
      <c r="V21" s="16"/>
      <c r="W21" s="16"/>
      <c r="X21" s="16"/>
    </row>
    <row r="22">
      <c r="A22" s="12">
        <f t="shared" si="1"/>
        <v>20</v>
      </c>
      <c r="B22" s="13" t="s">
        <v>150</v>
      </c>
      <c r="C22" s="13" t="s">
        <v>151</v>
      </c>
      <c r="D22" s="13" t="s">
        <v>152</v>
      </c>
      <c r="E22" s="13" t="s">
        <v>153</v>
      </c>
      <c r="F22" s="14"/>
      <c r="G22" s="15" t="s">
        <v>21</v>
      </c>
      <c r="H22" s="15" t="s">
        <v>21</v>
      </c>
      <c r="I22" s="15" t="s">
        <v>21</v>
      </c>
      <c r="J22" s="15" t="s">
        <v>21</v>
      </c>
      <c r="K22" s="15" t="s">
        <v>73</v>
      </c>
      <c r="L22" s="15" t="s">
        <v>21</v>
      </c>
      <c r="M22" s="15" t="s">
        <v>21</v>
      </c>
      <c r="N22" s="15" t="s">
        <v>23</v>
      </c>
      <c r="O22" s="16"/>
      <c r="P22" s="16"/>
      <c r="Q22" s="16"/>
      <c r="R22" s="16"/>
      <c r="S22" s="16"/>
      <c r="T22" s="16"/>
      <c r="U22" s="16"/>
      <c r="V22" s="16"/>
      <c r="W22" s="16"/>
      <c r="X22" s="16"/>
    </row>
    <row r="23">
      <c r="A23" s="12">
        <f t="shared" si="1"/>
        <v>21</v>
      </c>
      <c r="B23" s="13" t="s">
        <v>154</v>
      </c>
      <c r="C23" s="13" t="s">
        <v>155</v>
      </c>
      <c r="D23" s="13" t="s">
        <v>156</v>
      </c>
      <c r="E23" s="13" t="s">
        <v>157</v>
      </c>
      <c r="F23" s="14"/>
      <c r="G23" s="15" t="s">
        <v>21</v>
      </c>
      <c r="H23" s="15" t="s">
        <v>21</v>
      </c>
      <c r="I23" s="15" t="s">
        <v>73</v>
      </c>
      <c r="J23" s="15" t="s">
        <v>21</v>
      </c>
      <c r="K23" s="15" t="s">
        <v>21</v>
      </c>
      <c r="L23" s="15" t="s">
        <v>23</v>
      </c>
      <c r="M23" s="15" t="s">
        <v>21</v>
      </c>
      <c r="N23" s="15" t="s">
        <v>21</v>
      </c>
      <c r="O23" s="16"/>
      <c r="P23" s="16"/>
      <c r="Q23" s="16"/>
      <c r="R23" s="16"/>
      <c r="S23" s="16"/>
      <c r="T23" s="16"/>
      <c r="U23" s="16"/>
      <c r="V23" s="16"/>
      <c r="W23" s="16"/>
      <c r="X23" s="16"/>
    </row>
    <row r="24">
      <c r="A24" s="12">
        <f t="shared" si="1"/>
        <v>22</v>
      </c>
      <c r="B24" s="13" t="s">
        <v>158</v>
      </c>
      <c r="C24" s="13" t="s">
        <v>159</v>
      </c>
      <c r="D24" s="13" t="s">
        <v>160</v>
      </c>
      <c r="E24" s="13" t="s">
        <v>161</v>
      </c>
      <c r="F24" s="14"/>
      <c r="G24" s="15" t="s">
        <v>21</v>
      </c>
      <c r="H24" s="15" t="s">
        <v>21</v>
      </c>
      <c r="I24" s="15" t="s">
        <v>21</v>
      </c>
      <c r="J24" s="15" t="s">
        <v>21</v>
      </c>
      <c r="K24" s="15" t="s">
        <v>21</v>
      </c>
      <c r="L24" s="15" t="s">
        <v>21</v>
      </c>
      <c r="M24" s="15" t="s">
        <v>23</v>
      </c>
      <c r="N24" s="15" t="s">
        <v>73</v>
      </c>
      <c r="O24" s="16"/>
      <c r="P24" s="16"/>
      <c r="Q24" s="16"/>
      <c r="R24" s="16"/>
      <c r="S24" s="16"/>
      <c r="T24" s="16"/>
      <c r="U24" s="16"/>
      <c r="V24" s="16"/>
      <c r="W24" s="16"/>
      <c r="X24" s="16"/>
    </row>
    <row r="25">
      <c r="A25" s="12">
        <f t="shared" si="1"/>
        <v>23</v>
      </c>
      <c r="B25" s="13" t="s">
        <v>162</v>
      </c>
      <c r="C25" s="13" t="s">
        <v>163</v>
      </c>
      <c r="D25" s="13" t="s">
        <v>164</v>
      </c>
      <c r="E25" s="13" t="s">
        <v>165</v>
      </c>
      <c r="F25" s="14"/>
      <c r="G25" s="15" t="s">
        <v>21</v>
      </c>
      <c r="H25" s="15" t="s">
        <v>21</v>
      </c>
      <c r="I25" s="15" t="s">
        <v>23</v>
      </c>
      <c r="J25" s="15" t="s">
        <v>21</v>
      </c>
      <c r="K25" s="15" t="s">
        <v>21</v>
      </c>
      <c r="L25" s="15" t="s">
        <v>73</v>
      </c>
      <c r="M25" s="15" t="s">
        <v>21</v>
      </c>
      <c r="N25" s="15" t="s">
        <v>21</v>
      </c>
      <c r="O25" s="16"/>
      <c r="P25" s="16"/>
      <c r="Q25" s="16"/>
      <c r="R25" s="16"/>
      <c r="S25" s="16"/>
      <c r="T25" s="16"/>
      <c r="U25" s="16"/>
      <c r="V25" s="16"/>
      <c r="W25" s="16"/>
      <c r="X25" s="16"/>
    </row>
    <row r="26">
      <c r="A26" s="12">
        <f t="shared" si="1"/>
        <v>24</v>
      </c>
      <c r="B26" s="17" t="s">
        <v>166</v>
      </c>
      <c r="C26" s="17" t="s">
        <v>167</v>
      </c>
      <c r="D26" s="17" t="s">
        <v>168</v>
      </c>
      <c r="E26" s="13" t="s">
        <v>169</v>
      </c>
      <c r="F26" s="14"/>
      <c r="G26" s="18" t="s">
        <v>21</v>
      </c>
      <c r="H26" s="18" t="s">
        <v>21</v>
      </c>
      <c r="I26" s="15" t="s">
        <v>73</v>
      </c>
      <c r="J26" s="18" t="s">
        <v>21</v>
      </c>
      <c r="K26" s="18" t="s">
        <v>21</v>
      </c>
      <c r="L26" s="15" t="s">
        <v>21</v>
      </c>
      <c r="M26" s="18" t="s">
        <v>23</v>
      </c>
      <c r="N26" s="18" t="s">
        <v>21</v>
      </c>
      <c r="O26" s="16"/>
      <c r="P26" s="16"/>
      <c r="Q26" s="16"/>
      <c r="R26" s="16"/>
      <c r="S26" s="16"/>
      <c r="T26" s="16"/>
      <c r="U26" s="16"/>
      <c r="V26" s="16"/>
      <c r="W26" s="16"/>
      <c r="X26" s="16"/>
    </row>
    <row r="27">
      <c r="A27" s="12">
        <f t="shared" si="1"/>
        <v>25</v>
      </c>
      <c r="B27" s="2" t="s">
        <v>170</v>
      </c>
      <c r="C27" s="2" t="s">
        <v>171</v>
      </c>
      <c r="D27" s="2" t="s">
        <v>172</v>
      </c>
      <c r="E27" s="2" t="s">
        <v>173</v>
      </c>
      <c r="F27" s="8"/>
      <c r="G27" s="5" t="s">
        <v>21</v>
      </c>
      <c r="H27" s="5" t="s">
        <v>21</v>
      </c>
      <c r="I27" s="5" t="s">
        <v>73</v>
      </c>
      <c r="J27" s="5" t="s">
        <v>21</v>
      </c>
      <c r="K27" s="5" t="s">
        <v>23</v>
      </c>
      <c r="L27" s="5" t="s">
        <v>21</v>
      </c>
      <c r="M27" s="5" t="s">
        <v>73</v>
      </c>
      <c r="N27" s="5" t="s">
        <v>21</v>
      </c>
    </row>
    <row r="28">
      <c r="A28" s="12">
        <f t="shared" si="1"/>
        <v>26</v>
      </c>
      <c r="B28" s="2" t="s">
        <v>174</v>
      </c>
      <c r="C28" s="2" t="s">
        <v>175</v>
      </c>
      <c r="D28" s="2" t="s">
        <v>176</v>
      </c>
      <c r="E28" s="2" t="s">
        <v>177</v>
      </c>
      <c r="F28" s="2"/>
      <c r="G28" s="5" t="s">
        <v>21</v>
      </c>
      <c r="H28" s="5" t="s">
        <v>23</v>
      </c>
      <c r="I28" s="5" t="s">
        <v>21</v>
      </c>
      <c r="J28" s="5" t="s">
        <v>21</v>
      </c>
      <c r="K28" s="5" t="s">
        <v>73</v>
      </c>
      <c r="L28" s="5" t="s">
        <v>21</v>
      </c>
      <c r="M28" s="5" t="s">
        <v>21</v>
      </c>
      <c r="N28" s="5" t="s">
        <v>21</v>
      </c>
    </row>
    <row r="29">
      <c r="A29" s="12">
        <f t="shared" si="1"/>
        <v>27</v>
      </c>
      <c r="B29" s="2" t="s">
        <v>178</v>
      </c>
      <c r="C29" s="2" t="s">
        <v>179</v>
      </c>
      <c r="D29" s="2" t="s">
        <v>180</v>
      </c>
      <c r="E29" s="2" t="s">
        <v>181</v>
      </c>
      <c r="F29" s="8"/>
      <c r="G29" s="5" t="s">
        <v>21</v>
      </c>
      <c r="H29" s="5" t="s">
        <v>21</v>
      </c>
      <c r="I29" s="5" t="s">
        <v>73</v>
      </c>
      <c r="J29" s="5" t="s">
        <v>21</v>
      </c>
      <c r="K29" s="5" t="s">
        <v>21</v>
      </c>
      <c r="L29" s="5" t="s">
        <v>23</v>
      </c>
      <c r="M29" s="5" t="s">
        <v>21</v>
      </c>
      <c r="N29" s="5" t="s">
        <v>21</v>
      </c>
    </row>
    <row r="30">
      <c r="A30" s="12">
        <f t="shared" si="1"/>
        <v>28</v>
      </c>
      <c r="B30" s="2" t="s">
        <v>182</v>
      </c>
      <c r="C30" s="2" t="s">
        <v>183</v>
      </c>
      <c r="D30" s="2" t="s">
        <v>184</v>
      </c>
      <c r="E30" s="2" t="s">
        <v>185</v>
      </c>
      <c r="F30" s="8"/>
      <c r="G30" s="5" t="s">
        <v>23</v>
      </c>
      <c r="H30" s="5" t="s">
        <v>21</v>
      </c>
      <c r="I30" s="5" t="s">
        <v>73</v>
      </c>
      <c r="J30" s="5" t="s">
        <v>21</v>
      </c>
      <c r="K30" s="5" t="s">
        <v>73</v>
      </c>
      <c r="L30" s="5" t="s">
        <v>21</v>
      </c>
      <c r="M30" s="5" t="s">
        <v>21</v>
      </c>
      <c r="N30" s="5" t="s">
        <v>21</v>
      </c>
    </row>
    <row r="31">
      <c r="A31" s="12">
        <f t="shared" si="1"/>
        <v>29</v>
      </c>
      <c r="B31" s="2" t="s">
        <v>186</v>
      </c>
      <c r="C31" s="2" t="s">
        <v>187</v>
      </c>
      <c r="D31" s="2" t="s">
        <v>188</v>
      </c>
      <c r="E31" s="2" t="s">
        <v>189</v>
      </c>
      <c r="F31" s="8"/>
      <c r="G31" s="5" t="s">
        <v>21</v>
      </c>
      <c r="H31" s="5" t="s">
        <v>21</v>
      </c>
      <c r="I31" s="5" t="s">
        <v>73</v>
      </c>
      <c r="J31" s="5" t="s">
        <v>21</v>
      </c>
      <c r="K31" s="5" t="s">
        <v>23</v>
      </c>
      <c r="L31" s="5" t="s">
        <v>21</v>
      </c>
      <c r="M31" s="5" t="s">
        <v>21</v>
      </c>
      <c r="N31" s="5" t="s">
        <v>21</v>
      </c>
    </row>
    <row r="32">
      <c r="A32" s="12">
        <f t="shared" si="1"/>
        <v>30</v>
      </c>
      <c r="B32" s="2" t="s">
        <v>190</v>
      </c>
      <c r="C32" s="2" t="s">
        <v>191</v>
      </c>
      <c r="D32" s="2" t="s">
        <v>192</v>
      </c>
      <c r="E32" s="2" t="s">
        <v>193</v>
      </c>
      <c r="F32" s="8"/>
      <c r="G32" s="5" t="s">
        <v>21</v>
      </c>
      <c r="H32" s="5" t="s">
        <v>21</v>
      </c>
      <c r="I32" s="5" t="s">
        <v>21</v>
      </c>
      <c r="J32" s="5" t="s">
        <v>23</v>
      </c>
      <c r="K32" s="5" t="s">
        <v>21</v>
      </c>
      <c r="L32" s="5" t="s">
        <v>21</v>
      </c>
      <c r="M32" s="5" t="s">
        <v>73</v>
      </c>
      <c r="N32" s="5" t="s">
        <v>21</v>
      </c>
    </row>
    <row r="33">
      <c r="A33" s="12">
        <f t="shared" si="1"/>
        <v>31</v>
      </c>
      <c r="B33" s="2" t="s">
        <v>194</v>
      </c>
      <c r="C33" s="3" t="s">
        <v>87</v>
      </c>
      <c r="D33" s="3" t="s">
        <v>88</v>
      </c>
      <c r="E33" s="2" t="s">
        <v>195</v>
      </c>
      <c r="F33" s="8"/>
      <c r="G33" s="5" t="s">
        <v>23</v>
      </c>
      <c r="H33" s="5" t="s">
        <v>21</v>
      </c>
      <c r="I33" s="5" t="s">
        <v>21</v>
      </c>
      <c r="J33" s="5" t="s">
        <v>21</v>
      </c>
      <c r="K33" s="5" t="s">
        <v>21</v>
      </c>
      <c r="L33" s="5" t="s">
        <v>21</v>
      </c>
      <c r="M33" s="5" t="s">
        <v>21</v>
      </c>
      <c r="N33" s="5" t="s">
        <v>21</v>
      </c>
    </row>
  </sheetData>
  <dataValidations>
    <dataValidation type="custom" allowBlank="1" showDropDown="1" sqref="A2:A33">
      <formula1>AND(ISNUMBER(A2),(NOT(OR(NOT(ISERROR(DATEVALUE(A2))), AND(ISNUMBER(A2), LEFT(CELL("format", A2))="D")))))</formula1>
    </dataValidation>
    <dataValidation type="list" allowBlank="1" showErrorMessage="1" sqref="G2:N33">
      <formula1>"W,X,-"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34.29"/>
    <col customWidth="1" min="6" max="6" width="31.43"/>
    <col customWidth="1" min="7" max="7" width="28.0"/>
    <col customWidth="1" min="8" max="8" width="38.0"/>
    <col customWidth="1" min="9" max="9" width="52.71"/>
    <col customWidth="1" min="10" max="15" width="12.43"/>
  </cols>
  <sheetData>
    <row r="1">
      <c r="A1" s="19" t="s">
        <v>0</v>
      </c>
      <c r="B1" s="19" t="s">
        <v>196</v>
      </c>
      <c r="C1" s="20" t="s">
        <v>197</v>
      </c>
      <c r="D1" s="20" t="s">
        <v>198</v>
      </c>
      <c r="E1" s="20" t="s">
        <v>199</v>
      </c>
      <c r="F1" s="20" t="s">
        <v>200</v>
      </c>
      <c r="G1" s="19" t="s">
        <v>201</v>
      </c>
      <c r="H1" s="20" t="s">
        <v>202</v>
      </c>
      <c r="I1" s="21" t="s">
        <v>203</v>
      </c>
    </row>
    <row r="2">
      <c r="A2" s="22">
        <f t="shared" ref="A2:A40" si="1">ROW()-ROW($A$2)</f>
        <v>0</v>
      </c>
      <c r="B2" s="22" t="s">
        <v>204</v>
      </c>
      <c r="C2" s="23" t="s">
        <v>205</v>
      </c>
      <c r="D2" s="24" t="s">
        <v>206</v>
      </c>
      <c r="E2" s="25" t="s">
        <v>207</v>
      </c>
      <c r="F2" s="23" t="s">
        <v>207</v>
      </c>
      <c r="G2" s="26" t="b">
        <v>0</v>
      </c>
      <c r="H2" s="23" t="s">
        <v>207</v>
      </c>
      <c r="I2" s="27" t="s">
        <v>208</v>
      </c>
    </row>
    <row r="3">
      <c r="A3" s="22">
        <f t="shared" si="1"/>
        <v>1</v>
      </c>
      <c r="B3" s="22" t="s">
        <v>209</v>
      </c>
      <c r="C3" s="23" t="s">
        <v>210</v>
      </c>
      <c r="D3" s="24" t="s">
        <v>211</v>
      </c>
      <c r="E3" s="25" t="s">
        <v>207</v>
      </c>
      <c r="F3" s="23" t="s">
        <v>207</v>
      </c>
      <c r="G3" s="26" t="b">
        <v>0</v>
      </c>
      <c r="H3" s="23" t="s">
        <v>207</v>
      </c>
      <c r="I3" s="27" t="s">
        <v>208</v>
      </c>
    </row>
    <row r="4">
      <c r="A4" s="22">
        <f t="shared" si="1"/>
        <v>2</v>
      </c>
      <c r="B4" s="22" t="s">
        <v>212</v>
      </c>
      <c r="C4" s="23" t="s">
        <v>213</v>
      </c>
      <c r="D4" s="24" t="s">
        <v>211</v>
      </c>
      <c r="E4" s="25" t="s">
        <v>207</v>
      </c>
      <c r="F4" s="23" t="s">
        <v>207</v>
      </c>
      <c r="G4" s="26" t="b">
        <v>0</v>
      </c>
      <c r="H4" s="23" t="s">
        <v>207</v>
      </c>
      <c r="I4" s="27" t="s">
        <v>208</v>
      </c>
    </row>
    <row r="5">
      <c r="A5" s="22">
        <f t="shared" si="1"/>
        <v>3</v>
      </c>
      <c r="B5" s="22" t="s">
        <v>214</v>
      </c>
      <c r="C5" s="23" t="s">
        <v>215</v>
      </c>
      <c r="D5" s="24" t="s">
        <v>211</v>
      </c>
      <c r="E5" s="25" t="s">
        <v>207</v>
      </c>
      <c r="F5" s="23" t="s">
        <v>207</v>
      </c>
      <c r="G5" s="26" t="b">
        <v>0</v>
      </c>
      <c r="H5" s="23" t="s">
        <v>207</v>
      </c>
      <c r="I5" s="27" t="s">
        <v>208</v>
      </c>
    </row>
    <row r="6">
      <c r="A6" s="22">
        <f t="shared" si="1"/>
        <v>4</v>
      </c>
      <c r="B6" s="22" t="s">
        <v>216</v>
      </c>
      <c r="C6" s="23" t="s">
        <v>217</v>
      </c>
      <c r="D6" s="24" t="s">
        <v>218</v>
      </c>
      <c r="E6" s="25" t="s">
        <v>219</v>
      </c>
      <c r="F6" s="23" t="s">
        <v>219</v>
      </c>
      <c r="G6" s="26" t="b">
        <v>0</v>
      </c>
      <c r="H6" s="23" t="s">
        <v>207</v>
      </c>
      <c r="I6" s="27" t="s">
        <v>220</v>
      </c>
    </row>
    <row r="7">
      <c r="A7" s="22">
        <f t="shared" si="1"/>
        <v>5</v>
      </c>
      <c r="B7" s="22" t="s">
        <v>221</v>
      </c>
      <c r="C7" s="23" t="s">
        <v>222</v>
      </c>
      <c r="D7" s="24" t="s">
        <v>218</v>
      </c>
      <c r="E7" s="25" t="s">
        <v>223</v>
      </c>
      <c r="F7" s="23" t="s">
        <v>223</v>
      </c>
      <c r="G7" s="26" t="b">
        <v>0</v>
      </c>
      <c r="H7" s="23" t="s">
        <v>207</v>
      </c>
      <c r="I7" s="27" t="s">
        <v>224</v>
      </c>
    </row>
    <row r="8">
      <c r="A8" s="22">
        <f t="shared" si="1"/>
        <v>6</v>
      </c>
      <c r="B8" s="22" t="s">
        <v>225</v>
      </c>
      <c r="C8" s="23" t="s">
        <v>222</v>
      </c>
      <c r="D8" s="24" t="s">
        <v>218</v>
      </c>
      <c r="E8" s="25" t="s">
        <v>226</v>
      </c>
      <c r="F8" s="23" t="s">
        <v>226</v>
      </c>
      <c r="G8" s="26" t="b">
        <v>0</v>
      </c>
      <c r="H8" s="23" t="s">
        <v>207</v>
      </c>
      <c r="I8" s="27" t="s">
        <v>227</v>
      </c>
    </row>
    <row r="9">
      <c r="A9" s="22">
        <f t="shared" si="1"/>
        <v>7</v>
      </c>
      <c r="B9" s="22" t="s">
        <v>228</v>
      </c>
      <c r="C9" s="23" t="s">
        <v>222</v>
      </c>
      <c r="D9" s="24" t="s">
        <v>218</v>
      </c>
      <c r="E9" s="25" t="s">
        <v>229</v>
      </c>
      <c r="F9" s="23" t="s">
        <v>229</v>
      </c>
      <c r="G9" s="26" t="b">
        <v>0</v>
      </c>
      <c r="H9" s="23" t="s">
        <v>207</v>
      </c>
      <c r="I9" s="27" t="s">
        <v>230</v>
      </c>
    </row>
    <row r="10">
      <c r="A10" s="22">
        <f t="shared" si="1"/>
        <v>8</v>
      </c>
      <c r="B10" s="22" t="s">
        <v>231</v>
      </c>
      <c r="C10" s="23" t="s">
        <v>232</v>
      </c>
      <c r="D10" s="24" t="s">
        <v>233</v>
      </c>
      <c r="E10" s="25" t="s">
        <v>207</v>
      </c>
      <c r="F10" s="23" t="s">
        <v>207</v>
      </c>
      <c r="G10" s="26" t="b">
        <v>0</v>
      </c>
      <c r="H10" s="23" t="s">
        <v>207</v>
      </c>
      <c r="I10" s="27" t="s">
        <v>234</v>
      </c>
    </row>
    <row r="11">
      <c r="A11" s="22">
        <f t="shared" si="1"/>
        <v>9</v>
      </c>
      <c r="B11" s="22" t="s">
        <v>235</v>
      </c>
      <c r="C11" s="23" t="s">
        <v>232</v>
      </c>
      <c r="D11" s="24" t="s">
        <v>233</v>
      </c>
      <c r="E11" s="25" t="s">
        <v>207</v>
      </c>
      <c r="F11" s="23" t="s">
        <v>207</v>
      </c>
      <c r="G11" s="26" t="b">
        <v>0</v>
      </c>
      <c r="H11" s="23" t="s">
        <v>207</v>
      </c>
      <c r="I11" s="27" t="s">
        <v>236</v>
      </c>
    </row>
    <row r="12">
      <c r="A12" s="22">
        <f t="shared" si="1"/>
        <v>10</v>
      </c>
      <c r="B12" s="22" t="s">
        <v>237</v>
      </c>
      <c r="C12" s="23" t="s">
        <v>232</v>
      </c>
      <c r="D12" s="24" t="s">
        <v>233</v>
      </c>
      <c r="E12" s="25" t="s">
        <v>207</v>
      </c>
      <c r="F12" s="23" t="s">
        <v>207</v>
      </c>
      <c r="G12" s="26" t="b">
        <v>0</v>
      </c>
      <c r="H12" s="23" t="s">
        <v>207</v>
      </c>
      <c r="I12" s="27" t="s">
        <v>208</v>
      </c>
    </row>
    <row r="13">
      <c r="A13" s="22">
        <f t="shared" si="1"/>
        <v>11</v>
      </c>
      <c r="B13" s="22" t="s">
        <v>238</v>
      </c>
      <c r="C13" s="23" t="s">
        <v>239</v>
      </c>
      <c r="D13" s="24" t="s">
        <v>240</v>
      </c>
      <c r="E13" s="25" t="s">
        <v>241</v>
      </c>
      <c r="F13" s="23" t="s">
        <v>241</v>
      </c>
      <c r="G13" s="26" t="b">
        <v>1</v>
      </c>
      <c r="H13" s="23" t="s">
        <v>242</v>
      </c>
      <c r="I13" s="27" t="s">
        <v>243</v>
      </c>
    </row>
    <row r="14">
      <c r="A14" s="22">
        <f t="shared" si="1"/>
        <v>12</v>
      </c>
      <c r="B14" s="22" t="s">
        <v>244</v>
      </c>
      <c r="C14" s="23" t="s">
        <v>245</v>
      </c>
      <c r="D14" s="24" t="s">
        <v>240</v>
      </c>
      <c r="E14" s="25" t="s">
        <v>246</v>
      </c>
      <c r="F14" s="23" t="s">
        <v>247</v>
      </c>
      <c r="G14" s="26" t="b">
        <v>0</v>
      </c>
      <c r="H14" s="23" t="s">
        <v>207</v>
      </c>
      <c r="I14" s="27" t="s">
        <v>248</v>
      </c>
    </row>
    <row r="15">
      <c r="A15" s="22">
        <f t="shared" si="1"/>
        <v>13</v>
      </c>
      <c r="B15" s="22" t="s">
        <v>249</v>
      </c>
      <c r="C15" s="23" t="s">
        <v>250</v>
      </c>
      <c r="D15" s="24" t="s">
        <v>240</v>
      </c>
      <c r="E15" s="25" t="s">
        <v>251</v>
      </c>
      <c r="F15" s="23" t="s">
        <v>251</v>
      </c>
      <c r="G15" s="26" t="b">
        <v>0</v>
      </c>
      <c r="H15" s="23" t="s">
        <v>207</v>
      </c>
      <c r="I15" s="27" t="s">
        <v>252</v>
      </c>
    </row>
    <row r="16">
      <c r="A16" s="22">
        <f t="shared" si="1"/>
        <v>14</v>
      </c>
      <c r="B16" s="22" t="s">
        <v>253</v>
      </c>
      <c r="C16" s="23" t="s">
        <v>254</v>
      </c>
      <c r="D16" s="24" t="s">
        <v>240</v>
      </c>
      <c r="E16" s="25" t="s">
        <v>255</v>
      </c>
      <c r="F16" s="23" t="s">
        <v>255</v>
      </c>
      <c r="G16" s="26" t="b">
        <v>0</v>
      </c>
      <c r="H16" s="23" t="s">
        <v>207</v>
      </c>
      <c r="I16" s="27" t="s">
        <v>256</v>
      </c>
    </row>
    <row r="17">
      <c r="A17" s="22">
        <f t="shared" si="1"/>
        <v>15</v>
      </c>
      <c r="B17" s="22" t="s">
        <v>257</v>
      </c>
      <c r="C17" s="23" t="s">
        <v>258</v>
      </c>
      <c r="D17" s="24" t="s">
        <v>240</v>
      </c>
      <c r="E17" s="25" t="s">
        <v>259</v>
      </c>
      <c r="F17" s="23" t="s">
        <v>259</v>
      </c>
      <c r="G17" s="26" t="b">
        <v>1</v>
      </c>
      <c r="H17" s="23" t="s">
        <v>259</v>
      </c>
      <c r="I17" s="27" t="s">
        <v>208</v>
      </c>
    </row>
    <row r="18">
      <c r="A18" s="22">
        <f t="shared" si="1"/>
        <v>16</v>
      </c>
      <c r="B18" s="22" t="s">
        <v>260</v>
      </c>
      <c r="C18" s="23" t="s">
        <v>261</v>
      </c>
      <c r="D18" s="24" t="s">
        <v>240</v>
      </c>
      <c r="E18" s="25" t="s">
        <v>262</v>
      </c>
      <c r="F18" s="23" t="s">
        <v>262</v>
      </c>
      <c r="G18" s="26" t="b">
        <v>1</v>
      </c>
      <c r="H18" s="23" t="s">
        <v>262</v>
      </c>
      <c r="I18" s="27" t="s">
        <v>208</v>
      </c>
    </row>
    <row r="19">
      <c r="A19" s="22">
        <f t="shared" si="1"/>
        <v>17</v>
      </c>
      <c r="B19" s="22" t="s">
        <v>263</v>
      </c>
      <c r="C19" s="23" t="s">
        <v>264</v>
      </c>
      <c r="D19" s="24" t="s">
        <v>240</v>
      </c>
      <c r="E19" s="25" t="s">
        <v>265</v>
      </c>
      <c r="F19" s="23" t="s">
        <v>265</v>
      </c>
      <c r="G19" s="26" t="b">
        <v>1</v>
      </c>
      <c r="H19" s="23" t="s">
        <v>266</v>
      </c>
      <c r="I19" s="27" t="s">
        <v>267</v>
      </c>
    </row>
    <row r="20">
      <c r="A20" s="22">
        <f t="shared" si="1"/>
        <v>18</v>
      </c>
      <c r="B20" s="22" t="s">
        <v>268</v>
      </c>
      <c r="C20" s="23" t="s">
        <v>250</v>
      </c>
      <c r="D20" s="24" t="s">
        <v>206</v>
      </c>
      <c r="E20" s="25" t="s">
        <v>269</v>
      </c>
      <c r="F20" s="23" t="s">
        <v>269</v>
      </c>
      <c r="G20" s="26" t="b">
        <v>0</v>
      </c>
      <c r="H20" s="23" t="s">
        <v>207</v>
      </c>
      <c r="I20" s="27" t="s">
        <v>208</v>
      </c>
    </row>
    <row r="21">
      <c r="A21" s="22">
        <f t="shared" si="1"/>
        <v>19</v>
      </c>
      <c r="B21" s="22" t="s">
        <v>270</v>
      </c>
      <c r="C21" s="23" t="s">
        <v>250</v>
      </c>
      <c r="D21" s="24" t="s">
        <v>206</v>
      </c>
      <c r="E21" s="25" t="s">
        <v>271</v>
      </c>
      <c r="F21" s="23" t="s">
        <v>271</v>
      </c>
      <c r="G21" s="26" t="b">
        <v>0</v>
      </c>
      <c r="H21" s="23" t="s">
        <v>207</v>
      </c>
      <c r="I21" s="27" t="s">
        <v>208</v>
      </c>
    </row>
    <row r="22">
      <c r="A22" s="22">
        <f t="shared" si="1"/>
        <v>20</v>
      </c>
      <c r="B22" s="22" t="s">
        <v>272</v>
      </c>
      <c r="C22" s="23" t="s">
        <v>232</v>
      </c>
      <c r="D22" s="24" t="s">
        <v>233</v>
      </c>
      <c r="E22" s="25" t="s">
        <v>207</v>
      </c>
      <c r="F22" s="23" t="s">
        <v>207</v>
      </c>
      <c r="G22" s="26" t="b">
        <v>0</v>
      </c>
      <c r="H22" s="23" t="s">
        <v>207</v>
      </c>
      <c r="I22" s="27" t="s">
        <v>208</v>
      </c>
    </row>
    <row r="23">
      <c r="A23" s="22">
        <f t="shared" si="1"/>
        <v>21</v>
      </c>
      <c r="B23" s="22" t="s">
        <v>273</v>
      </c>
      <c r="C23" s="23" t="s">
        <v>274</v>
      </c>
      <c r="D23" s="24" t="s">
        <v>240</v>
      </c>
      <c r="E23" s="25" t="s">
        <v>275</v>
      </c>
      <c r="F23" s="23" t="s">
        <v>275</v>
      </c>
      <c r="G23" s="26" t="b">
        <v>0</v>
      </c>
      <c r="H23" s="23" t="s">
        <v>207</v>
      </c>
      <c r="I23" s="27" t="s">
        <v>208</v>
      </c>
    </row>
    <row r="24">
      <c r="A24" s="22">
        <f t="shared" si="1"/>
        <v>22</v>
      </c>
      <c r="B24" s="22" t="s">
        <v>276</v>
      </c>
      <c r="C24" s="23" t="s">
        <v>277</v>
      </c>
      <c r="D24" s="24" t="s">
        <v>240</v>
      </c>
      <c r="E24" s="25" t="s">
        <v>278</v>
      </c>
      <c r="F24" s="23" t="s">
        <v>279</v>
      </c>
      <c r="G24" s="26" t="b">
        <v>0</v>
      </c>
      <c r="H24" s="23" t="s">
        <v>207</v>
      </c>
      <c r="I24" s="27" t="s">
        <v>208</v>
      </c>
    </row>
    <row r="25">
      <c r="A25" s="22">
        <f t="shared" si="1"/>
        <v>23</v>
      </c>
      <c r="B25" s="22" t="s">
        <v>280</v>
      </c>
      <c r="C25" s="23" t="s">
        <v>281</v>
      </c>
      <c r="D25" s="24" t="s">
        <v>240</v>
      </c>
      <c r="E25" s="25" t="s">
        <v>282</v>
      </c>
      <c r="F25" s="23" t="s">
        <v>282</v>
      </c>
      <c r="G25" s="26" t="b">
        <v>0</v>
      </c>
      <c r="H25" s="23" t="s">
        <v>207</v>
      </c>
      <c r="I25" s="27" t="s">
        <v>208</v>
      </c>
    </row>
    <row r="26">
      <c r="A26" s="22">
        <f t="shared" si="1"/>
        <v>24</v>
      </c>
      <c r="B26" s="22" t="s">
        <v>283</v>
      </c>
      <c r="C26" s="23" t="s">
        <v>284</v>
      </c>
      <c r="D26" s="24" t="s">
        <v>206</v>
      </c>
      <c r="E26" s="25" t="s">
        <v>285</v>
      </c>
      <c r="F26" s="23" t="s">
        <v>285</v>
      </c>
      <c r="G26" s="26" t="b">
        <v>0</v>
      </c>
      <c r="H26" s="23" t="s">
        <v>207</v>
      </c>
      <c r="I26" s="27" t="s">
        <v>208</v>
      </c>
    </row>
    <row r="27">
      <c r="A27" s="22">
        <f t="shared" si="1"/>
        <v>25</v>
      </c>
      <c r="B27" s="22" t="s">
        <v>286</v>
      </c>
      <c r="C27" s="23" t="s">
        <v>284</v>
      </c>
      <c r="D27" s="24" t="s">
        <v>240</v>
      </c>
      <c r="E27" s="25" t="s">
        <v>287</v>
      </c>
      <c r="F27" s="23" t="s">
        <v>287</v>
      </c>
      <c r="G27" s="26" t="b">
        <v>0</v>
      </c>
      <c r="H27" s="23" t="s">
        <v>207</v>
      </c>
      <c r="I27" s="27" t="s">
        <v>288</v>
      </c>
    </row>
    <row r="28">
      <c r="A28" s="22">
        <f t="shared" si="1"/>
        <v>26</v>
      </c>
      <c r="B28" s="22" t="s">
        <v>289</v>
      </c>
      <c r="C28" s="23" t="s">
        <v>290</v>
      </c>
      <c r="D28" s="24" t="s">
        <v>240</v>
      </c>
      <c r="E28" s="25" t="s">
        <v>291</v>
      </c>
      <c r="F28" s="23" t="s">
        <v>291</v>
      </c>
      <c r="G28" s="26" t="b">
        <v>0</v>
      </c>
      <c r="H28" s="23" t="s">
        <v>207</v>
      </c>
      <c r="I28" s="27" t="s">
        <v>292</v>
      </c>
    </row>
    <row r="29">
      <c r="A29" s="22">
        <f t="shared" si="1"/>
        <v>27</v>
      </c>
      <c r="B29" s="22" t="s">
        <v>293</v>
      </c>
      <c r="C29" s="23" t="s">
        <v>232</v>
      </c>
      <c r="D29" s="24" t="s">
        <v>233</v>
      </c>
      <c r="E29" s="25" t="s">
        <v>207</v>
      </c>
      <c r="F29" s="23" t="s">
        <v>207</v>
      </c>
      <c r="G29" s="26" t="b">
        <v>0</v>
      </c>
      <c r="H29" s="23" t="s">
        <v>207</v>
      </c>
      <c r="I29" s="27" t="s">
        <v>208</v>
      </c>
    </row>
    <row r="30">
      <c r="A30" s="22">
        <f t="shared" si="1"/>
        <v>28</v>
      </c>
      <c r="B30" s="22" t="s">
        <v>294</v>
      </c>
      <c r="C30" s="23" t="s">
        <v>295</v>
      </c>
      <c r="D30" s="24" t="s">
        <v>240</v>
      </c>
      <c r="E30" s="25" t="s">
        <v>296</v>
      </c>
      <c r="F30" s="23" t="s">
        <v>296</v>
      </c>
      <c r="G30" s="26" t="b">
        <v>1</v>
      </c>
      <c r="H30" s="23" t="s">
        <v>297</v>
      </c>
      <c r="I30" s="27" t="s">
        <v>298</v>
      </c>
    </row>
    <row r="31">
      <c r="A31" s="22">
        <f t="shared" si="1"/>
        <v>29</v>
      </c>
      <c r="B31" s="22" t="s">
        <v>299</v>
      </c>
      <c r="C31" s="23" t="s">
        <v>232</v>
      </c>
      <c r="D31" s="24" t="s">
        <v>233</v>
      </c>
      <c r="E31" s="25" t="s">
        <v>207</v>
      </c>
      <c r="F31" s="23" t="s">
        <v>207</v>
      </c>
      <c r="G31" s="26" t="b">
        <v>0</v>
      </c>
      <c r="H31" s="23" t="s">
        <v>207</v>
      </c>
      <c r="I31" s="27" t="s">
        <v>208</v>
      </c>
    </row>
    <row r="32">
      <c r="A32" s="22">
        <f t="shared" si="1"/>
        <v>30</v>
      </c>
      <c r="B32" s="22" t="s">
        <v>300</v>
      </c>
      <c r="C32" s="23" t="s">
        <v>232</v>
      </c>
      <c r="D32" s="24" t="s">
        <v>233</v>
      </c>
      <c r="E32" s="25" t="s">
        <v>207</v>
      </c>
      <c r="F32" s="23" t="s">
        <v>207</v>
      </c>
      <c r="G32" s="26" t="b">
        <v>0</v>
      </c>
      <c r="H32" s="23" t="s">
        <v>207</v>
      </c>
      <c r="I32" s="27" t="s">
        <v>208</v>
      </c>
    </row>
    <row r="33">
      <c r="A33" s="22">
        <f t="shared" si="1"/>
        <v>31</v>
      </c>
      <c r="B33" s="22" t="s">
        <v>301</v>
      </c>
      <c r="C33" s="23" t="s">
        <v>302</v>
      </c>
      <c r="D33" s="24" t="s">
        <v>240</v>
      </c>
      <c r="E33" s="25" t="s">
        <v>303</v>
      </c>
      <c r="F33" s="23" t="s">
        <v>303</v>
      </c>
      <c r="G33" s="26" t="b">
        <v>0</v>
      </c>
      <c r="H33" s="23" t="s">
        <v>207</v>
      </c>
      <c r="I33" s="27" t="s">
        <v>304</v>
      </c>
    </row>
    <row r="34">
      <c r="A34" s="22">
        <f t="shared" si="1"/>
        <v>32</v>
      </c>
      <c r="B34" s="22" t="s">
        <v>305</v>
      </c>
      <c r="C34" s="23" t="s">
        <v>306</v>
      </c>
      <c r="D34" s="24" t="s">
        <v>240</v>
      </c>
      <c r="E34" s="25" t="s">
        <v>307</v>
      </c>
      <c r="F34" s="23" t="s">
        <v>308</v>
      </c>
      <c r="G34" s="26" t="b">
        <v>0</v>
      </c>
      <c r="H34" s="23" t="s">
        <v>207</v>
      </c>
      <c r="I34" s="27" t="s">
        <v>309</v>
      </c>
    </row>
    <row r="35">
      <c r="A35" s="22">
        <f t="shared" si="1"/>
        <v>33</v>
      </c>
      <c r="B35" s="22" t="s">
        <v>310</v>
      </c>
      <c r="C35" s="23" t="s">
        <v>311</v>
      </c>
      <c r="D35" s="24" t="s">
        <v>240</v>
      </c>
      <c r="E35" s="25" t="s">
        <v>312</v>
      </c>
      <c r="F35" s="23" t="s">
        <v>312</v>
      </c>
      <c r="G35" s="26" t="b">
        <v>1</v>
      </c>
      <c r="H35" s="23" t="s">
        <v>313</v>
      </c>
      <c r="I35" s="27" t="s">
        <v>314</v>
      </c>
    </row>
    <row r="36">
      <c r="A36" s="22">
        <f t="shared" si="1"/>
        <v>34</v>
      </c>
      <c r="B36" s="22" t="s">
        <v>315</v>
      </c>
      <c r="C36" s="23" t="s">
        <v>316</v>
      </c>
      <c r="D36" s="24" t="s">
        <v>240</v>
      </c>
      <c r="E36" s="25" t="s">
        <v>317</v>
      </c>
      <c r="F36" s="23" t="s">
        <v>317</v>
      </c>
      <c r="G36" s="26" t="b">
        <v>0</v>
      </c>
      <c r="H36" s="23" t="s">
        <v>207</v>
      </c>
      <c r="I36" s="27" t="s">
        <v>208</v>
      </c>
    </row>
    <row r="37">
      <c r="A37" s="22">
        <f t="shared" si="1"/>
        <v>35</v>
      </c>
      <c r="B37" s="22" t="s">
        <v>318</v>
      </c>
      <c r="C37" s="23" t="s">
        <v>319</v>
      </c>
      <c r="D37" s="24" t="s">
        <v>240</v>
      </c>
      <c r="E37" s="25" t="s">
        <v>320</v>
      </c>
      <c r="F37" s="23" t="s">
        <v>320</v>
      </c>
      <c r="G37" s="26" t="b">
        <v>1</v>
      </c>
      <c r="H37" s="23" t="s">
        <v>320</v>
      </c>
      <c r="I37" s="27" t="s">
        <v>208</v>
      </c>
    </row>
    <row r="38">
      <c r="A38" s="22">
        <f t="shared" si="1"/>
        <v>36</v>
      </c>
      <c r="B38" s="22" t="s">
        <v>321</v>
      </c>
      <c r="C38" s="23" t="s">
        <v>322</v>
      </c>
      <c r="D38" s="24" t="s">
        <v>240</v>
      </c>
      <c r="E38" s="25" t="s">
        <v>323</v>
      </c>
      <c r="F38" s="23" t="s">
        <v>323</v>
      </c>
      <c r="G38" s="26" t="b">
        <v>1</v>
      </c>
      <c r="H38" s="23" t="s">
        <v>323</v>
      </c>
      <c r="I38" s="27" t="s">
        <v>208</v>
      </c>
    </row>
    <row r="39">
      <c r="A39" s="22">
        <f t="shared" si="1"/>
        <v>37</v>
      </c>
      <c r="B39" s="22" t="s">
        <v>324</v>
      </c>
      <c r="C39" s="23" t="s">
        <v>325</v>
      </c>
      <c r="D39" s="24" t="s">
        <v>240</v>
      </c>
      <c r="E39" s="25" t="s">
        <v>326</v>
      </c>
      <c r="F39" s="23" t="s">
        <v>326</v>
      </c>
      <c r="G39" s="26" t="b">
        <v>1</v>
      </c>
      <c r="H39" s="23" t="s">
        <v>327</v>
      </c>
      <c r="I39" s="27" t="s">
        <v>328</v>
      </c>
    </row>
    <row r="40">
      <c r="A40" s="22">
        <f t="shared" si="1"/>
        <v>38</v>
      </c>
      <c r="B40" s="22" t="s">
        <v>329</v>
      </c>
      <c r="C40" s="23" t="s">
        <v>330</v>
      </c>
      <c r="D40" s="24" t="s">
        <v>206</v>
      </c>
      <c r="E40" s="25" t="s">
        <v>331</v>
      </c>
      <c r="F40" s="23" t="s">
        <v>331</v>
      </c>
      <c r="G40" s="26" t="b">
        <v>0</v>
      </c>
      <c r="H40" s="23" t="s">
        <v>207</v>
      </c>
      <c r="I40" s="27" t="s">
        <v>208</v>
      </c>
    </row>
  </sheetData>
  <dataValidations>
    <dataValidation type="list" allowBlank="1" sqref="E2:E40 I2:I40">
      <formula1>#REF!</formula1>
    </dataValidation>
    <dataValidation type="list" allowBlank="1" sqref="C2:D40 F2:F40 H2:H40">
      <formula1>#REF!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43.0"/>
    <col customWidth="1" min="3" max="3" width="40.29"/>
    <col customWidth="1" min="4" max="4" width="39.14"/>
    <col customWidth="1" min="5" max="5" width="46.14"/>
    <col customWidth="1" min="6" max="6" width="49.29"/>
    <col customWidth="1" min="7" max="7" width="44.57"/>
    <col customWidth="1" min="8" max="8" width="38.86"/>
    <col customWidth="1" min="9" max="9" width="48.29"/>
    <col customWidth="1" min="10" max="10" width="41.0"/>
    <col customWidth="1" min="11" max="12" width="22.57"/>
    <col customWidth="1" min="13" max="13" width="30.0"/>
    <col customWidth="1" min="14" max="14" width="18.0"/>
  </cols>
  <sheetData>
    <row r="1">
      <c r="A1" s="19" t="s">
        <v>0</v>
      </c>
      <c r="B1" s="19" t="s">
        <v>332</v>
      </c>
      <c r="C1" s="19" t="s">
        <v>333</v>
      </c>
      <c r="D1" s="20" t="s">
        <v>334</v>
      </c>
      <c r="E1" s="20" t="s">
        <v>335</v>
      </c>
      <c r="F1" s="20" t="s">
        <v>336</v>
      </c>
      <c r="G1" s="19" t="s">
        <v>337</v>
      </c>
      <c r="H1" s="19" t="s">
        <v>338</v>
      </c>
      <c r="I1" s="20" t="s">
        <v>339</v>
      </c>
      <c r="J1" s="21" t="s">
        <v>340</v>
      </c>
    </row>
    <row r="2">
      <c r="A2" s="28">
        <f>ROW()-ROW(Table_Action_Conditions[N])</f>
        <v>0</v>
      </c>
      <c r="B2" s="28" t="s">
        <v>208</v>
      </c>
      <c r="C2" s="29" t="s">
        <v>341</v>
      </c>
      <c r="D2" s="30" t="s">
        <v>342</v>
      </c>
      <c r="E2" s="30" t="s">
        <v>204</v>
      </c>
      <c r="F2" s="30" t="s">
        <v>343</v>
      </c>
      <c r="G2" s="30" t="s">
        <v>344</v>
      </c>
      <c r="H2" s="30" t="s">
        <v>345</v>
      </c>
      <c r="I2" s="30" t="s">
        <v>346</v>
      </c>
      <c r="J2" s="31" t="s">
        <v>341</v>
      </c>
    </row>
    <row r="3">
      <c r="A3" s="28">
        <f>ROW()-ROW(Table_Action_Conditions[N])</f>
        <v>1</v>
      </c>
      <c r="B3" s="28" t="s">
        <v>220</v>
      </c>
      <c r="C3" s="32" t="s">
        <v>341</v>
      </c>
      <c r="D3" s="30" t="s">
        <v>347</v>
      </c>
      <c r="E3" s="30" t="s">
        <v>204</v>
      </c>
      <c r="F3" s="30" t="s">
        <v>348</v>
      </c>
      <c r="G3" s="30" t="s">
        <v>344</v>
      </c>
      <c r="H3" s="30" t="s">
        <v>349</v>
      </c>
      <c r="I3" s="30" t="s">
        <v>350</v>
      </c>
      <c r="J3" s="33" t="s">
        <v>351</v>
      </c>
    </row>
    <row r="4">
      <c r="A4" s="28">
        <f>ROW()-ROW(Table_Action_Conditions[N])</f>
        <v>2</v>
      </c>
      <c r="B4" s="28" t="s">
        <v>224</v>
      </c>
      <c r="C4" s="32" t="s">
        <v>341</v>
      </c>
      <c r="D4" s="30" t="s">
        <v>347</v>
      </c>
      <c r="E4" s="30" t="s">
        <v>204</v>
      </c>
      <c r="F4" s="30" t="s">
        <v>352</v>
      </c>
      <c r="G4" s="30" t="s">
        <v>344</v>
      </c>
      <c r="H4" s="30" t="s">
        <v>353</v>
      </c>
      <c r="I4" s="30" t="s">
        <v>346</v>
      </c>
      <c r="J4" s="33" t="s">
        <v>341</v>
      </c>
    </row>
    <row r="5">
      <c r="A5" s="28">
        <f>ROW()-ROW(Table_Action_Conditions[N])</f>
        <v>3</v>
      </c>
      <c r="B5" s="28" t="s">
        <v>227</v>
      </c>
      <c r="C5" s="32" t="s">
        <v>341</v>
      </c>
      <c r="D5" s="30" t="s">
        <v>347</v>
      </c>
      <c r="E5" s="30" t="s">
        <v>204</v>
      </c>
      <c r="F5" s="30" t="s">
        <v>352</v>
      </c>
      <c r="G5" s="30" t="s">
        <v>344</v>
      </c>
      <c r="H5" s="30" t="s">
        <v>354</v>
      </c>
      <c r="I5" s="30" t="s">
        <v>346</v>
      </c>
      <c r="J5" s="33" t="s">
        <v>341</v>
      </c>
    </row>
    <row r="6">
      <c r="A6" s="28">
        <f>ROW()-ROW(Table_Action_Conditions[N])</f>
        <v>4</v>
      </c>
      <c r="B6" s="28" t="s">
        <v>234</v>
      </c>
      <c r="C6" s="32" t="s">
        <v>355</v>
      </c>
      <c r="D6" s="30" t="s">
        <v>347</v>
      </c>
      <c r="E6" s="30" t="s">
        <v>204</v>
      </c>
      <c r="F6" s="30" t="s">
        <v>356</v>
      </c>
      <c r="G6" s="30" t="s">
        <v>344</v>
      </c>
      <c r="H6" s="30" t="s">
        <v>349</v>
      </c>
      <c r="I6" s="30" t="s">
        <v>357</v>
      </c>
      <c r="J6" s="33" t="s">
        <v>341</v>
      </c>
    </row>
    <row r="7">
      <c r="A7" s="28">
        <f>ROW()-ROW(Table_Action_Conditions[N])</f>
        <v>5</v>
      </c>
      <c r="B7" s="28" t="s">
        <v>358</v>
      </c>
      <c r="C7" s="32" t="s">
        <v>359</v>
      </c>
      <c r="D7" s="30" t="s">
        <v>347</v>
      </c>
      <c r="E7" s="30" t="s">
        <v>204</v>
      </c>
      <c r="F7" s="30" t="s">
        <v>356</v>
      </c>
      <c r="G7" s="30" t="s">
        <v>344</v>
      </c>
      <c r="H7" s="30" t="s">
        <v>349</v>
      </c>
      <c r="I7" s="30" t="s">
        <v>360</v>
      </c>
      <c r="J7" s="33" t="s">
        <v>341</v>
      </c>
    </row>
    <row r="8">
      <c r="A8" s="28">
        <f>ROW()-ROW(Table_Action_Conditions[N])</f>
        <v>6</v>
      </c>
      <c r="B8" s="28" t="s">
        <v>243</v>
      </c>
      <c r="C8" s="32" t="s">
        <v>341</v>
      </c>
      <c r="D8" s="30" t="s">
        <v>347</v>
      </c>
      <c r="E8" s="30" t="s">
        <v>204</v>
      </c>
      <c r="F8" s="30" t="s">
        <v>361</v>
      </c>
      <c r="G8" s="30" t="s">
        <v>362</v>
      </c>
      <c r="H8" s="30" t="s">
        <v>349</v>
      </c>
      <c r="I8" s="30" t="s">
        <v>363</v>
      </c>
      <c r="J8" s="33" t="s">
        <v>364</v>
      </c>
    </row>
    <row r="9">
      <c r="A9" s="28">
        <f>ROW()-ROW(Table_Action_Conditions[N])</f>
        <v>7</v>
      </c>
      <c r="B9" s="28" t="s">
        <v>365</v>
      </c>
      <c r="C9" s="32" t="s">
        <v>341</v>
      </c>
      <c r="D9" s="30" t="s">
        <v>347</v>
      </c>
      <c r="E9" s="30" t="s">
        <v>257</v>
      </c>
      <c r="F9" s="30" t="s">
        <v>366</v>
      </c>
      <c r="G9" s="30" t="s">
        <v>362</v>
      </c>
      <c r="H9" s="30" t="s">
        <v>367</v>
      </c>
      <c r="I9" s="30" t="s">
        <v>346</v>
      </c>
      <c r="J9" s="33" t="s">
        <v>341</v>
      </c>
    </row>
    <row r="10">
      <c r="A10" s="28">
        <f>ROW()-ROW(Table_Action_Conditions[N])</f>
        <v>8</v>
      </c>
      <c r="B10" s="28" t="s">
        <v>368</v>
      </c>
      <c r="C10" s="32" t="s">
        <v>341</v>
      </c>
      <c r="D10" s="30" t="s">
        <v>347</v>
      </c>
      <c r="E10" s="30" t="s">
        <v>204</v>
      </c>
      <c r="F10" s="30" t="s">
        <v>352</v>
      </c>
      <c r="G10" s="30" t="s">
        <v>344</v>
      </c>
      <c r="H10" s="30" t="s">
        <v>369</v>
      </c>
      <c r="I10" s="30" t="s">
        <v>346</v>
      </c>
      <c r="J10" s="33" t="s">
        <v>341</v>
      </c>
    </row>
    <row r="11">
      <c r="A11" s="28">
        <f>ROW()-ROW(Table_Action_Conditions[N])</f>
        <v>9</v>
      </c>
      <c r="B11" s="28" t="s">
        <v>256</v>
      </c>
      <c r="C11" s="32" t="s">
        <v>370</v>
      </c>
      <c r="D11" s="30" t="s">
        <v>347</v>
      </c>
      <c r="E11" s="30" t="s">
        <v>238</v>
      </c>
      <c r="F11" s="30" t="s">
        <v>366</v>
      </c>
      <c r="G11" s="30" t="s">
        <v>344</v>
      </c>
      <c r="H11" s="30" t="s">
        <v>349</v>
      </c>
      <c r="I11" s="30" t="s">
        <v>371</v>
      </c>
      <c r="J11" s="33" t="s">
        <v>372</v>
      </c>
    </row>
    <row r="12">
      <c r="A12" s="28">
        <f>ROW()-ROW(Table_Action_Conditions[N])</f>
        <v>10</v>
      </c>
      <c r="B12" s="28" t="s">
        <v>252</v>
      </c>
      <c r="C12" s="32" t="s">
        <v>341</v>
      </c>
      <c r="D12" s="30" t="s">
        <v>347</v>
      </c>
      <c r="E12" s="30" t="s">
        <v>260</v>
      </c>
      <c r="F12" s="30" t="s">
        <v>366</v>
      </c>
      <c r="G12" s="30" t="s">
        <v>344</v>
      </c>
      <c r="H12" s="30" t="s">
        <v>349</v>
      </c>
      <c r="I12" s="30" t="s">
        <v>373</v>
      </c>
      <c r="J12" s="33" t="s">
        <v>374</v>
      </c>
    </row>
    <row r="13">
      <c r="A13" s="28">
        <f>ROW()-ROW(Table_Action_Conditions[N])</f>
        <v>11</v>
      </c>
      <c r="B13" s="28" t="s">
        <v>267</v>
      </c>
      <c r="C13" s="32" t="s">
        <v>341</v>
      </c>
      <c r="D13" s="30" t="s">
        <v>347</v>
      </c>
      <c r="E13" s="30" t="s">
        <v>204</v>
      </c>
      <c r="F13" s="30" t="s">
        <v>361</v>
      </c>
      <c r="G13" s="30" t="s">
        <v>362</v>
      </c>
      <c r="H13" s="30" t="s">
        <v>349</v>
      </c>
      <c r="I13" s="30" t="s">
        <v>375</v>
      </c>
      <c r="J13" s="33" t="s">
        <v>376</v>
      </c>
    </row>
    <row r="14">
      <c r="A14" s="28">
        <f>ROW()-ROW(Table_Action_Conditions[N])</f>
        <v>12</v>
      </c>
      <c r="B14" s="28" t="s">
        <v>288</v>
      </c>
      <c r="C14" s="32" t="s">
        <v>377</v>
      </c>
      <c r="D14" s="30" t="s">
        <v>347</v>
      </c>
      <c r="E14" s="30" t="s">
        <v>204</v>
      </c>
      <c r="F14" s="30" t="s">
        <v>361</v>
      </c>
      <c r="G14" s="30" t="s">
        <v>378</v>
      </c>
      <c r="H14" s="30" t="s">
        <v>349</v>
      </c>
      <c r="I14" s="30" t="s">
        <v>379</v>
      </c>
      <c r="J14" s="33" t="s">
        <v>341</v>
      </c>
    </row>
    <row r="15">
      <c r="A15" s="28">
        <f>ROW()-ROW(Table_Action_Conditions[N])</f>
        <v>13</v>
      </c>
      <c r="B15" s="28" t="s">
        <v>292</v>
      </c>
      <c r="C15" s="32" t="s">
        <v>377</v>
      </c>
      <c r="D15" s="30" t="s">
        <v>347</v>
      </c>
      <c r="E15" s="30" t="s">
        <v>260</v>
      </c>
      <c r="F15" s="30" t="s">
        <v>366</v>
      </c>
      <c r="G15" s="30" t="s">
        <v>378</v>
      </c>
      <c r="H15" s="30" t="s">
        <v>349</v>
      </c>
      <c r="I15" s="30" t="s">
        <v>380</v>
      </c>
      <c r="J15" s="33" t="s">
        <v>381</v>
      </c>
    </row>
    <row r="16">
      <c r="A16" s="28">
        <f>ROW()-ROW(Table_Action_Conditions[N])</f>
        <v>14</v>
      </c>
      <c r="B16" s="28" t="s">
        <v>298</v>
      </c>
      <c r="C16" s="32" t="s">
        <v>382</v>
      </c>
      <c r="D16" s="30" t="s">
        <v>347</v>
      </c>
      <c r="E16" s="30" t="s">
        <v>204</v>
      </c>
      <c r="F16" s="30" t="s">
        <v>361</v>
      </c>
      <c r="G16" s="30" t="s">
        <v>362</v>
      </c>
      <c r="H16" s="30" t="s">
        <v>349</v>
      </c>
      <c r="I16" s="30" t="s">
        <v>383</v>
      </c>
      <c r="J16" s="33" t="s">
        <v>384</v>
      </c>
    </row>
    <row r="17">
      <c r="A17" s="28">
        <f>ROW()-ROW(Table_Action_Conditions[N])</f>
        <v>15</v>
      </c>
      <c r="B17" s="28" t="s">
        <v>304</v>
      </c>
      <c r="C17" s="32" t="s">
        <v>341</v>
      </c>
      <c r="D17" s="30" t="s">
        <v>347</v>
      </c>
      <c r="E17" s="30" t="s">
        <v>204</v>
      </c>
      <c r="F17" s="30" t="s">
        <v>361</v>
      </c>
      <c r="G17" s="30" t="s">
        <v>385</v>
      </c>
      <c r="H17" s="30" t="s">
        <v>349</v>
      </c>
      <c r="I17" s="30" t="s">
        <v>386</v>
      </c>
      <c r="J17" s="33" t="s">
        <v>341</v>
      </c>
    </row>
    <row r="18">
      <c r="A18" s="28">
        <f>ROW()-ROW(Table_Action_Conditions[N])</f>
        <v>16</v>
      </c>
      <c r="B18" s="28" t="s">
        <v>309</v>
      </c>
      <c r="C18" s="32" t="s">
        <v>387</v>
      </c>
      <c r="D18" s="30" t="s">
        <v>347</v>
      </c>
      <c r="E18" s="30" t="s">
        <v>294</v>
      </c>
      <c r="F18" s="30" t="s">
        <v>366</v>
      </c>
      <c r="G18" s="30" t="s">
        <v>388</v>
      </c>
      <c r="H18" s="30" t="s">
        <v>349</v>
      </c>
      <c r="I18" s="30" t="s">
        <v>389</v>
      </c>
      <c r="J18" s="33" t="s">
        <v>390</v>
      </c>
    </row>
    <row r="19">
      <c r="A19" s="28">
        <f>ROW()-ROW(Table_Action_Conditions[N])</f>
        <v>17</v>
      </c>
      <c r="B19" s="28" t="s">
        <v>314</v>
      </c>
      <c r="C19" s="32" t="s">
        <v>391</v>
      </c>
      <c r="D19" s="30" t="s">
        <v>347</v>
      </c>
      <c r="E19" s="30" t="s">
        <v>204</v>
      </c>
      <c r="F19" s="30" t="s">
        <v>361</v>
      </c>
      <c r="G19" s="30" t="s">
        <v>362</v>
      </c>
      <c r="H19" s="30" t="s">
        <v>349</v>
      </c>
      <c r="I19" s="30" t="s">
        <v>392</v>
      </c>
      <c r="J19" s="33" t="s">
        <v>393</v>
      </c>
    </row>
    <row r="20">
      <c r="A20" s="28">
        <f>ROW()-ROW(Table_Action_Conditions[N])</f>
        <v>18</v>
      </c>
      <c r="B20" s="28" t="s">
        <v>394</v>
      </c>
      <c r="C20" s="32" t="s">
        <v>395</v>
      </c>
      <c r="D20" s="30" t="s">
        <v>347</v>
      </c>
      <c r="E20" s="30" t="s">
        <v>204</v>
      </c>
      <c r="F20" s="30" t="s">
        <v>361</v>
      </c>
      <c r="G20" s="30" t="s">
        <v>362</v>
      </c>
      <c r="H20" s="30" t="s">
        <v>349</v>
      </c>
      <c r="I20" s="30" t="s">
        <v>396</v>
      </c>
      <c r="J20" s="33" t="s">
        <v>341</v>
      </c>
    </row>
    <row r="21">
      <c r="A21" s="28">
        <f>ROW()-ROW(Table_Action_Conditions[N])</f>
        <v>19</v>
      </c>
      <c r="B21" s="28" t="s">
        <v>397</v>
      </c>
      <c r="C21" s="32" t="s">
        <v>341</v>
      </c>
      <c r="D21" s="30" t="s">
        <v>347</v>
      </c>
      <c r="E21" s="30" t="s">
        <v>310</v>
      </c>
      <c r="F21" s="30" t="s">
        <v>366</v>
      </c>
      <c r="G21" s="30" t="s">
        <v>388</v>
      </c>
      <c r="H21" s="30" t="s">
        <v>349</v>
      </c>
      <c r="I21" s="30" t="s">
        <v>398</v>
      </c>
      <c r="J21" s="33" t="s">
        <v>399</v>
      </c>
    </row>
    <row r="22">
      <c r="A22" s="28">
        <f>ROW()-ROW(Table_Action_Conditions[N])</f>
        <v>20</v>
      </c>
      <c r="B22" s="28" t="s">
        <v>400</v>
      </c>
      <c r="C22" s="32" t="s">
        <v>401</v>
      </c>
      <c r="D22" s="30" t="s">
        <v>347</v>
      </c>
      <c r="E22" s="30" t="s">
        <v>204</v>
      </c>
      <c r="F22" s="30" t="s">
        <v>361</v>
      </c>
      <c r="G22" s="30" t="s">
        <v>362</v>
      </c>
      <c r="H22" s="30" t="s">
        <v>349</v>
      </c>
      <c r="I22" s="30" t="s">
        <v>402</v>
      </c>
      <c r="J22" s="33" t="s">
        <v>403</v>
      </c>
    </row>
    <row r="23">
      <c r="A23" s="28">
        <f>ROW()-ROW(Table_Action_Conditions[N])</f>
        <v>21</v>
      </c>
      <c r="B23" s="28" t="s">
        <v>404</v>
      </c>
      <c r="C23" s="32" t="s">
        <v>405</v>
      </c>
      <c r="D23" s="30" t="s">
        <v>347</v>
      </c>
      <c r="E23" s="30" t="s">
        <v>204</v>
      </c>
      <c r="F23" s="30" t="s">
        <v>361</v>
      </c>
      <c r="G23" s="30" t="s">
        <v>362</v>
      </c>
      <c r="H23" s="30" t="s">
        <v>349</v>
      </c>
      <c r="I23" s="30" t="s">
        <v>406</v>
      </c>
      <c r="J23" s="33" t="s">
        <v>407</v>
      </c>
    </row>
    <row r="24">
      <c r="A24" s="28">
        <f>ROW()-ROW(Table_Action_Conditions[N])</f>
        <v>22</v>
      </c>
      <c r="B24" s="28" t="s">
        <v>408</v>
      </c>
      <c r="C24" s="32" t="s">
        <v>341</v>
      </c>
      <c r="D24" s="30" t="s">
        <v>347</v>
      </c>
      <c r="E24" s="30" t="s">
        <v>318</v>
      </c>
      <c r="F24" s="30" t="s">
        <v>366</v>
      </c>
      <c r="G24" s="30" t="s">
        <v>388</v>
      </c>
      <c r="H24" s="30" t="s">
        <v>409</v>
      </c>
      <c r="I24" s="30" t="s">
        <v>346</v>
      </c>
      <c r="J24" s="33" t="s">
        <v>341</v>
      </c>
    </row>
    <row r="25">
      <c r="A25" s="28">
        <f>ROW()-ROW(Table_Action_Conditions[N])</f>
        <v>23</v>
      </c>
      <c r="B25" s="28" t="s">
        <v>328</v>
      </c>
      <c r="C25" s="32" t="s">
        <v>410</v>
      </c>
      <c r="D25" s="30" t="s">
        <v>347</v>
      </c>
      <c r="E25" s="30" t="s">
        <v>204</v>
      </c>
      <c r="F25" s="30" t="s">
        <v>361</v>
      </c>
      <c r="G25" s="30" t="s">
        <v>385</v>
      </c>
      <c r="H25" s="30" t="s">
        <v>349</v>
      </c>
      <c r="I25" s="30" t="s">
        <v>411</v>
      </c>
      <c r="J25" s="33" t="s">
        <v>341</v>
      </c>
    </row>
    <row r="26">
      <c r="A26" s="28">
        <f>ROW()-ROW(Table_Action_Conditions[N])</f>
        <v>24</v>
      </c>
      <c r="B26" s="28" t="s">
        <v>412</v>
      </c>
      <c r="C26" s="29" t="s">
        <v>341</v>
      </c>
      <c r="D26" s="30" t="s">
        <v>342</v>
      </c>
      <c r="E26" s="30" t="s">
        <v>204</v>
      </c>
      <c r="F26" s="30" t="s">
        <v>343</v>
      </c>
      <c r="G26" s="30" t="s">
        <v>362</v>
      </c>
      <c r="H26" s="30" t="s">
        <v>345</v>
      </c>
      <c r="I26" s="30" t="s">
        <v>346</v>
      </c>
      <c r="J26" s="31" t="s">
        <v>341</v>
      </c>
    </row>
    <row r="28">
      <c r="A28" s="19" t="s">
        <v>0</v>
      </c>
      <c r="B28" s="19" t="s">
        <v>413</v>
      </c>
      <c r="C28" s="19" t="s">
        <v>414</v>
      </c>
      <c r="D28" s="21" t="s">
        <v>415</v>
      </c>
      <c r="E28" s="21" t="s">
        <v>333</v>
      </c>
      <c r="F28" s="21" t="s">
        <v>416</v>
      </c>
      <c r="G28" s="21" t="s">
        <v>417</v>
      </c>
      <c r="H28" s="21" t="s">
        <v>418</v>
      </c>
      <c r="I28" s="21" t="s">
        <v>419</v>
      </c>
      <c r="J28" s="21" t="s">
        <v>420</v>
      </c>
    </row>
    <row r="29">
      <c r="A29" s="28">
        <f>ROW()-ROW(Table_Unchain_Conditions[N])</f>
        <v>0</v>
      </c>
      <c r="B29" s="28" t="s">
        <v>421</v>
      </c>
      <c r="C29" s="30" t="s">
        <v>422</v>
      </c>
      <c r="D29" s="34" t="s">
        <v>423</v>
      </c>
      <c r="E29" s="33" t="s">
        <v>341</v>
      </c>
      <c r="F29" s="34" t="s">
        <v>204</v>
      </c>
      <c r="G29" s="34" t="s">
        <v>207</v>
      </c>
      <c r="H29" s="35" t="s">
        <v>342</v>
      </c>
      <c r="I29" s="34" t="s">
        <v>424</v>
      </c>
      <c r="J29" s="33" t="s">
        <v>341</v>
      </c>
    </row>
    <row r="30">
      <c r="A30" s="28">
        <f>ROW()-ROW(Table_Unchain_Conditions[N])</f>
        <v>1</v>
      </c>
      <c r="B30" s="28" t="s">
        <v>425</v>
      </c>
      <c r="C30" s="30" t="s">
        <v>426</v>
      </c>
      <c r="D30" s="34" t="s">
        <v>423</v>
      </c>
      <c r="E30" s="33" t="s">
        <v>341</v>
      </c>
      <c r="F30" s="34" t="s">
        <v>204</v>
      </c>
      <c r="G30" s="34" t="s">
        <v>207</v>
      </c>
      <c r="H30" s="35" t="s">
        <v>342</v>
      </c>
      <c r="I30" s="34" t="s">
        <v>427</v>
      </c>
      <c r="J30" s="33" t="s">
        <v>423</v>
      </c>
    </row>
    <row r="31">
      <c r="A31" s="28">
        <f>ROW()-ROW(Table_Unchain_Conditions[N])</f>
        <v>2</v>
      </c>
      <c r="B31" s="28" t="s">
        <v>428</v>
      </c>
      <c r="C31" s="30" t="s">
        <v>422</v>
      </c>
      <c r="D31" s="34" t="s">
        <v>351</v>
      </c>
      <c r="E31" s="33" t="s">
        <v>351</v>
      </c>
      <c r="F31" s="34" t="s">
        <v>204</v>
      </c>
      <c r="G31" s="34" t="s">
        <v>207</v>
      </c>
      <c r="H31" s="35" t="s">
        <v>342</v>
      </c>
      <c r="I31" s="34" t="s">
        <v>429</v>
      </c>
      <c r="J31" s="33" t="s">
        <v>341</v>
      </c>
    </row>
    <row r="32">
      <c r="A32" s="28">
        <f>ROW()-ROW(Table_Unchain_Conditions[N])</f>
        <v>3</v>
      </c>
      <c r="B32" s="28" t="s">
        <v>430</v>
      </c>
      <c r="C32" s="30" t="s">
        <v>422</v>
      </c>
      <c r="D32" s="34" t="s">
        <v>431</v>
      </c>
      <c r="E32" s="33" t="s">
        <v>431</v>
      </c>
      <c r="F32" s="34" t="s">
        <v>204</v>
      </c>
      <c r="G32" s="34" t="s">
        <v>207</v>
      </c>
      <c r="H32" s="35" t="s">
        <v>342</v>
      </c>
      <c r="I32" s="34" t="s">
        <v>432</v>
      </c>
      <c r="J32" s="33" t="s">
        <v>341</v>
      </c>
    </row>
    <row r="33">
      <c r="A33" s="28">
        <f>ROW()-ROW(Table_Unchain_Conditions[N])</f>
        <v>4</v>
      </c>
      <c r="B33" s="28" t="s">
        <v>433</v>
      </c>
      <c r="C33" s="30" t="s">
        <v>422</v>
      </c>
      <c r="D33" s="34" t="s">
        <v>434</v>
      </c>
      <c r="E33" s="33" t="s">
        <v>434</v>
      </c>
      <c r="F33" s="34" t="s">
        <v>204</v>
      </c>
      <c r="G33" s="34" t="s">
        <v>207</v>
      </c>
      <c r="H33" s="35" t="s">
        <v>342</v>
      </c>
      <c r="I33" s="34" t="s">
        <v>432</v>
      </c>
      <c r="J33" s="33" t="s">
        <v>341</v>
      </c>
    </row>
    <row r="34">
      <c r="A34" s="28">
        <f>ROW()-ROW(Table_Unchain_Conditions[N])</f>
        <v>5</v>
      </c>
      <c r="B34" s="28" t="s">
        <v>435</v>
      </c>
      <c r="C34" s="30" t="s">
        <v>426</v>
      </c>
      <c r="D34" s="34" t="s">
        <v>359</v>
      </c>
      <c r="E34" s="33" t="s">
        <v>436</v>
      </c>
      <c r="F34" s="34" t="s">
        <v>204</v>
      </c>
      <c r="G34" s="34" t="s">
        <v>207</v>
      </c>
      <c r="H34" s="35" t="s">
        <v>342</v>
      </c>
      <c r="I34" s="34" t="s">
        <v>427</v>
      </c>
      <c r="J34" s="33" t="s">
        <v>359</v>
      </c>
    </row>
    <row r="35">
      <c r="A35" s="28">
        <f>ROW()-ROW(Table_Unchain_Conditions[N])</f>
        <v>6</v>
      </c>
      <c r="B35" s="28" t="s">
        <v>437</v>
      </c>
      <c r="C35" s="30" t="s">
        <v>422</v>
      </c>
      <c r="D35" s="34" t="s">
        <v>359</v>
      </c>
      <c r="E35" s="33" t="s">
        <v>359</v>
      </c>
      <c r="F35" s="34" t="s">
        <v>204</v>
      </c>
      <c r="G35" s="34" t="s">
        <v>207</v>
      </c>
      <c r="H35" s="35" t="s">
        <v>342</v>
      </c>
      <c r="I35" s="34" t="s">
        <v>438</v>
      </c>
      <c r="J35" s="33" t="s">
        <v>341</v>
      </c>
    </row>
    <row r="36">
      <c r="A36" s="28">
        <f>ROW()-ROW(Table_Unchain_Conditions[N])</f>
        <v>7</v>
      </c>
      <c r="B36" s="28" t="s">
        <v>439</v>
      </c>
      <c r="C36" s="30" t="s">
        <v>440</v>
      </c>
      <c r="D36" s="34" t="s">
        <v>341</v>
      </c>
      <c r="E36" s="33" t="s">
        <v>364</v>
      </c>
      <c r="F36" s="34" t="s">
        <v>238</v>
      </c>
      <c r="G36" s="34" t="s">
        <v>207</v>
      </c>
      <c r="H36" s="35" t="s">
        <v>342</v>
      </c>
      <c r="I36" s="34" t="s">
        <v>427</v>
      </c>
      <c r="J36" s="33" t="s">
        <v>341</v>
      </c>
    </row>
    <row r="37">
      <c r="A37" s="28">
        <f>ROW()-ROW(Table_Unchain_Conditions[N])</f>
        <v>8</v>
      </c>
      <c r="B37" s="28" t="s">
        <v>441</v>
      </c>
      <c r="C37" s="30" t="s">
        <v>442</v>
      </c>
      <c r="D37" s="34" t="s">
        <v>364</v>
      </c>
      <c r="E37" s="33" t="s">
        <v>364</v>
      </c>
      <c r="F37" s="34" t="s">
        <v>238</v>
      </c>
      <c r="G37" s="34" t="s">
        <v>207</v>
      </c>
      <c r="H37" s="35" t="s">
        <v>347</v>
      </c>
      <c r="I37" s="34" t="s">
        <v>427</v>
      </c>
      <c r="J37" s="33" t="s">
        <v>341</v>
      </c>
    </row>
    <row r="38">
      <c r="A38" s="28">
        <f>ROW()-ROW(Table_Unchain_Conditions[N])</f>
        <v>9</v>
      </c>
      <c r="B38" s="28" t="s">
        <v>443</v>
      </c>
      <c r="C38" s="30" t="s">
        <v>444</v>
      </c>
      <c r="D38" s="34" t="s">
        <v>372</v>
      </c>
      <c r="E38" s="33" t="s">
        <v>372</v>
      </c>
      <c r="F38" s="34" t="s">
        <v>238</v>
      </c>
      <c r="G38" s="34" t="s">
        <v>207</v>
      </c>
      <c r="H38" s="35" t="s">
        <v>342</v>
      </c>
      <c r="I38" s="34" t="s">
        <v>427</v>
      </c>
      <c r="J38" s="33" t="s">
        <v>341</v>
      </c>
    </row>
    <row r="39">
      <c r="A39" s="28">
        <f>ROW()-ROW(Table_Unchain_Conditions[N])</f>
        <v>10</v>
      </c>
      <c r="B39" s="28" t="s">
        <v>445</v>
      </c>
      <c r="C39" s="30" t="s">
        <v>442</v>
      </c>
      <c r="D39" s="34" t="s">
        <v>372</v>
      </c>
      <c r="E39" s="33" t="s">
        <v>372</v>
      </c>
      <c r="F39" s="34" t="s">
        <v>257</v>
      </c>
      <c r="G39" s="34" t="s">
        <v>207</v>
      </c>
      <c r="H39" s="35" t="s">
        <v>347</v>
      </c>
      <c r="I39" s="34" t="s">
        <v>427</v>
      </c>
      <c r="J39" s="33" t="s">
        <v>341</v>
      </c>
    </row>
    <row r="40">
      <c r="A40" s="28">
        <f>ROW()-ROW(Table_Unchain_Conditions[N])</f>
        <v>11</v>
      </c>
      <c r="B40" s="28" t="s">
        <v>446</v>
      </c>
      <c r="C40" s="30" t="s">
        <v>440</v>
      </c>
      <c r="D40" s="34" t="s">
        <v>341</v>
      </c>
      <c r="E40" s="33" t="s">
        <v>372</v>
      </c>
      <c r="F40" s="34" t="s">
        <v>253</v>
      </c>
      <c r="G40" s="34" t="s">
        <v>207</v>
      </c>
      <c r="H40" s="35" t="s">
        <v>342</v>
      </c>
      <c r="I40" s="34" t="s">
        <v>427</v>
      </c>
      <c r="J40" s="33" t="s">
        <v>341</v>
      </c>
    </row>
    <row r="41">
      <c r="A41" s="28">
        <f>ROW()-ROW(Table_Unchain_Conditions[N])</f>
        <v>12</v>
      </c>
      <c r="B41" s="28" t="s">
        <v>447</v>
      </c>
      <c r="C41" s="30" t="s">
        <v>442</v>
      </c>
      <c r="D41" s="34" t="s">
        <v>448</v>
      </c>
      <c r="E41" s="33" t="s">
        <v>448</v>
      </c>
      <c r="F41" s="34" t="s">
        <v>260</v>
      </c>
      <c r="G41" s="34" t="s">
        <v>207</v>
      </c>
      <c r="H41" s="35" t="s">
        <v>347</v>
      </c>
      <c r="I41" s="34" t="s">
        <v>427</v>
      </c>
      <c r="J41" s="33" t="s">
        <v>341</v>
      </c>
    </row>
    <row r="42">
      <c r="A42" s="28">
        <f>ROW()-ROW(Table_Unchain_Conditions[N])</f>
        <v>13</v>
      </c>
      <c r="B42" s="28" t="s">
        <v>449</v>
      </c>
      <c r="C42" s="30" t="s">
        <v>440</v>
      </c>
      <c r="D42" s="34" t="s">
        <v>341</v>
      </c>
      <c r="E42" s="33" t="s">
        <v>374</v>
      </c>
      <c r="F42" s="34" t="s">
        <v>249</v>
      </c>
      <c r="G42" s="34" t="s">
        <v>207</v>
      </c>
      <c r="H42" s="35" t="s">
        <v>342</v>
      </c>
      <c r="I42" s="34" t="s">
        <v>427</v>
      </c>
      <c r="J42" s="33" t="s">
        <v>341</v>
      </c>
    </row>
    <row r="43">
      <c r="A43" s="28">
        <f>ROW()-ROW(Table_Unchain_Conditions[N])</f>
        <v>14</v>
      </c>
      <c r="B43" s="28" t="s">
        <v>450</v>
      </c>
      <c r="C43" s="30" t="s">
        <v>451</v>
      </c>
      <c r="D43" s="34" t="s">
        <v>376</v>
      </c>
      <c r="E43" s="33" t="s">
        <v>374</v>
      </c>
      <c r="F43" s="34" t="s">
        <v>263</v>
      </c>
      <c r="G43" s="34" t="s">
        <v>207</v>
      </c>
      <c r="H43" s="35" t="s">
        <v>342</v>
      </c>
      <c r="I43" s="34" t="s">
        <v>427</v>
      </c>
      <c r="J43" s="33" t="s">
        <v>341</v>
      </c>
    </row>
    <row r="44">
      <c r="A44" s="28">
        <f>ROW()-ROW(Table_Unchain_Conditions[N])</f>
        <v>15</v>
      </c>
      <c r="B44" s="28" t="s">
        <v>452</v>
      </c>
      <c r="C44" s="30" t="s">
        <v>451</v>
      </c>
      <c r="D44" s="34" t="s">
        <v>341</v>
      </c>
      <c r="E44" s="33" t="s">
        <v>374</v>
      </c>
      <c r="F44" s="34" t="s">
        <v>268</v>
      </c>
      <c r="G44" s="34" t="s">
        <v>207</v>
      </c>
      <c r="H44" s="35" t="s">
        <v>342</v>
      </c>
      <c r="I44" s="34" t="s">
        <v>427</v>
      </c>
      <c r="J44" s="33" t="s">
        <v>341</v>
      </c>
    </row>
    <row r="45">
      <c r="A45" s="28">
        <f>ROW()-ROW(Table_Unchain_Conditions[N])</f>
        <v>16</v>
      </c>
      <c r="B45" s="28" t="s">
        <v>453</v>
      </c>
      <c r="C45" s="30" t="s">
        <v>451</v>
      </c>
      <c r="D45" s="34" t="s">
        <v>341</v>
      </c>
      <c r="E45" s="33" t="s">
        <v>374</v>
      </c>
      <c r="F45" s="34" t="s">
        <v>270</v>
      </c>
      <c r="G45" s="34" t="s">
        <v>207</v>
      </c>
      <c r="H45" s="35" t="s">
        <v>342</v>
      </c>
      <c r="I45" s="34" t="s">
        <v>427</v>
      </c>
      <c r="J45" s="33" t="s">
        <v>341</v>
      </c>
    </row>
    <row r="46">
      <c r="A46" s="28">
        <f>ROW()-ROW(Table_Unchain_Conditions[N])</f>
        <v>17</v>
      </c>
      <c r="B46" s="28" t="s">
        <v>454</v>
      </c>
      <c r="C46" s="30" t="s">
        <v>451</v>
      </c>
      <c r="D46" s="34" t="s">
        <v>341</v>
      </c>
      <c r="E46" s="33" t="s">
        <v>374</v>
      </c>
      <c r="F46" s="34" t="s">
        <v>299</v>
      </c>
      <c r="G46" s="34" t="s">
        <v>207</v>
      </c>
      <c r="H46" s="35" t="s">
        <v>342</v>
      </c>
      <c r="I46" s="34" t="s">
        <v>427</v>
      </c>
      <c r="J46" s="33" t="s">
        <v>341</v>
      </c>
    </row>
    <row r="47">
      <c r="A47" s="28">
        <f>ROW()-ROW(Table_Unchain_Conditions[N])</f>
        <v>18</v>
      </c>
      <c r="B47" s="28" t="s">
        <v>455</v>
      </c>
      <c r="C47" s="30" t="s">
        <v>442</v>
      </c>
      <c r="D47" s="34" t="s">
        <v>376</v>
      </c>
      <c r="E47" s="33" t="s">
        <v>376</v>
      </c>
      <c r="F47" s="34" t="s">
        <v>263</v>
      </c>
      <c r="G47" s="34" t="s">
        <v>207</v>
      </c>
      <c r="H47" s="35" t="s">
        <v>347</v>
      </c>
      <c r="I47" s="34" t="s">
        <v>427</v>
      </c>
      <c r="J47" s="33" t="s">
        <v>341</v>
      </c>
    </row>
    <row r="48">
      <c r="A48" s="28">
        <f>ROW()-ROW(Table_Unchain_Conditions[N])</f>
        <v>19</v>
      </c>
      <c r="B48" s="28" t="s">
        <v>456</v>
      </c>
      <c r="C48" s="30" t="s">
        <v>440</v>
      </c>
      <c r="D48" s="34" t="s">
        <v>341</v>
      </c>
      <c r="E48" s="33" t="s">
        <v>376</v>
      </c>
      <c r="F48" s="34" t="s">
        <v>263</v>
      </c>
      <c r="G48" s="34" t="s">
        <v>207</v>
      </c>
      <c r="H48" s="35" t="s">
        <v>342</v>
      </c>
      <c r="I48" s="34" t="s">
        <v>427</v>
      </c>
      <c r="J48" s="33" t="s">
        <v>341</v>
      </c>
    </row>
    <row r="49">
      <c r="A49" s="28">
        <f>ROW()-ROW(Table_Unchain_Conditions[N])</f>
        <v>20</v>
      </c>
      <c r="B49" s="28" t="s">
        <v>457</v>
      </c>
      <c r="C49" s="30" t="s">
        <v>440</v>
      </c>
      <c r="D49" s="34" t="s">
        <v>341</v>
      </c>
      <c r="E49" s="33" t="s">
        <v>381</v>
      </c>
      <c r="F49" s="34" t="s">
        <v>286</v>
      </c>
      <c r="G49" s="34" t="s">
        <v>207</v>
      </c>
      <c r="H49" s="35" t="s">
        <v>342</v>
      </c>
      <c r="I49" s="34" t="s">
        <v>427</v>
      </c>
      <c r="J49" s="33" t="s">
        <v>341</v>
      </c>
    </row>
    <row r="50">
      <c r="A50" s="28">
        <f>ROW()-ROW(Table_Unchain_Conditions[N])</f>
        <v>21</v>
      </c>
      <c r="B50" s="28" t="s">
        <v>458</v>
      </c>
      <c r="C50" s="30" t="s">
        <v>440</v>
      </c>
      <c r="D50" s="34" t="s">
        <v>341</v>
      </c>
      <c r="E50" s="33" t="s">
        <v>381</v>
      </c>
      <c r="F50" s="34" t="s">
        <v>289</v>
      </c>
      <c r="G50" s="34" t="s">
        <v>207</v>
      </c>
      <c r="H50" s="35" t="s">
        <v>342</v>
      </c>
      <c r="I50" s="34" t="s">
        <v>427</v>
      </c>
      <c r="J50" s="33" t="s">
        <v>341</v>
      </c>
    </row>
    <row r="51">
      <c r="A51" s="28">
        <f>ROW()-ROW(Table_Unchain_Conditions[N])</f>
        <v>22</v>
      </c>
      <c r="B51" s="28" t="s">
        <v>459</v>
      </c>
      <c r="C51" s="30" t="s">
        <v>451</v>
      </c>
      <c r="D51" s="34" t="s">
        <v>341</v>
      </c>
      <c r="E51" s="33" t="s">
        <v>381</v>
      </c>
      <c r="F51" s="34" t="s">
        <v>300</v>
      </c>
      <c r="G51" s="34" t="s">
        <v>207</v>
      </c>
      <c r="H51" s="35" t="s">
        <v>342</v>
      </c>
      <c r="I51" s="34" t="s">
        <v>427</v>
      </c>
      <c r="J51" s="33" t="s">
        <v>341</v>
      </c>
    </row>
    <row r="52">
      <c r="A52" s="28">
        <f>ROW()-ROW(Table_Unchain_Conditions[N])</f>
        <v>23</v>
      </c>
      <c r="B52" s="28" t="s">
        <v>460</v>
      </c>
      <c r="C52" s="30" t="s">
        <v>440</v>
      </c>
      <c r="D52" s="34" t="s">
        <v>341</v>
      </c>
      <c r="E52" s="33" t="s">
        <v>384</v>
      </c>
      <c r="F52" s="34" t="s">
        <v>294</v>
      </c>
      <c r="G52" s="34" t="s">
        <v>207</v>
      </c>
      <c r="H52" s="35" t="s">
        <v>342</v>
      </c>
      <c r="I52" s="34" t="s">
        <v>427</v>
      </c>
      <c r="J52" s="33" t="s">
        <v>341</v>
      </c>
    </row>
    <row r="53">
      <c r="A53" s="28">
        <f>ROW()-ROW(Table_Unchain_Conditions[N])</f>
        <v>24</v>
      </c>
      <c r="B53" s="28" t="s">
        <v>461</v>
      </c>
      <c r="C53" s="30" t="s">
        <v>442</v>
      </c>
      <c r="D53" s="34" t="s">
        <v>384</v>
      </c>
      <c r="E53" s="33" t="s">
        <v>384</v>
      </c>
      <c r="F53" s="34" t="s">
        <v>294</v>
      </c>
      <c r="G53" s="34" t="s">
        <v>207</v>
      </c>
      <c r="H53" s="35" t="s">
        <v>347</v>
      </c>
      <c r="I53" s="34" t="s">
        <v>427</v>
      </c>
      <c r="J53" s="33" t="s">
        <v>341</v>
      </c>
    </row>
    <row r="54">
      <c r="A54" s="28">
        <f>ROW()-ROW(Table_Unchain_Conditions[N])</f>
        <v>25</v>
      </c>
      <c r="B54" s="28" t="s">
        <v>462</v>
      </c>
      <c r="C54" s="30" t="s">
        <v>440</v>
      </c>
      <c r="D54" s="34" t="s">
        <v>341</v>
      </c>
      <c r="E54" s="33" t="s">
        <v>390</v>
      </c>
      <c r="F54" s="34" t="s">
        <v>301</v>
      </c>
      <c r="G54" s="34" t="s">
        <v>207</v>
      </c>
      <c r="H54" s="35" t="s">
        <v>342</v>
      </c>
      <c r="I54" s="34" t="s">
        <v>427</v>
      </c>
      <c r="J54" s="33" t="s">
        <v>341</v>
      </c>
    </row>
    <row r="55">
      <c r="A55" s="28">
        <f>ROW()-ROW(Table_Unchain_Conditions[N])</f>
        <v>26</v>
      </c>
      <c r="B55" s="28" t="s">
        <v>463</v>
      </c>
      <c r="C55" s="30" t="s">
        <v>464</v>
      </c>
      <c r="D55" s="34" t="s">
        <v>341</v>
      </c>
      <c r="E55" s="33" t="s">
        <v>390</v>
      </c>
      <c r="F55" s="34" t="s">
        <v>305</v>
      </c>
      <c r="G55" s="34" t="s">
        <v>465</v>
      </c>
      <c r="H55" s="35" t="s">
        <v>342</v>
      </c>
      <c r="I55" s="34" t="s">
        <v>427</v>
      </c>
      <c r="J55" s="33" t="s">
        <v>341</v>
      </c>
    </row>
    <row r="56">
      <c r="A56" s="28">
        <f>ROW()-ROW(Table_Unchain_Conditions[N])</f>
        <v>27</v>
      </c>
      <c r="B56" s="28" t="s">
        <v>466</v>
      </c>
      <c r="C56" s="30" t="s">
        <v>440</v>
      </c>
      <c r="D56" s="34" t="s">
        <v>341</v>
      </c>
      <c r="E56" s="33" t="s">
        <v>393</v>
      </c>
      <c r="F56" s="34" t="s">
        <v>310</v>
      </c>
      <c r="G56" s="34" t="s">
        <v>207</v>
      </c>
      <c r="H56" s="35" t="s">
        <v>342</v>
      </c>
      <c r="I56" s="34" t="s">
        <v>427</v>
      </c>
      <c r="J56" s="33" t="s">
        <v>341</v>
      </c>
    </row>
    <row r="57">
      <c r="A57" s="28">
        <f>ROW()-ROW(Table_Unchain_Conditions[N])</f>
        <v>28</v>
      </c>
      <c r="B57" s="28" t="s">
        <v>467</v>
      </c>
      <c r="C57" s="30" t="s">
        <v>442</v>
      </c>
      <c r="D57" s="34" t="s">
        <v>393</v>
      </c>
      <c r="E57" s="33" t="s">
        <v>393</v>
      </c>
      <c r="F57" s="34" t="s">
        <v>310</v>
      </c>
      <c r="G57" s="34" t="s">
        <v>207</v>
      </c>
      <c r="H57" s="35" t="s">
        <v>347</v>
      </c>
      <c r="I57" s="34" t="s">
        <v>427</v>
      </c>
      <c r="J57" s="33" t="s">
        <v>341</v>
      </c>
    </row>
    <row r="58">
      <c r="A58" s="28">
        <f>ROW()-ROW(Table_Unchain_Conditions[N])</f>
        <v>29</v>
      </c>
      <c r="B58" s="28" t="s">
        <v>468</v>
      </c>
      <c r="C58" s="30" t="s">
        <v>444</v>
      </c>
      <c r="D58" s="34" t="s">
        <v>399</v>
      </c>
      <c r="E58" s="33" t="s">
        <v>399</v>
      </c>
      <c r="F58" s="34" t="s">
        <v>310</v>
      </c>
      <c r="G58" s="34" t="s">
        <v>207</v>
      </c>
      <c r="H58" s="35" t="s">
        <v>347</v>
      </c>
      <c r="I58" s="34" t="s">
        <v>427</v>
      </c>
      <c r="J58" s="33" t="s">
        <v>341</v>
      </c>
    </row>
    <row r="59">
      <c r="A59" s="28">
        <f>ROW()-ROW(Table_Unchain_Conditions[N])</f>
        <v>30</v>
      </c>
      <c r="B59" s="28" t="s">
        <v>469</v>
      </c>
      <c r="C59" s="30" t="s">
        <v>464</v>
      </c>
      <c r="D59" s="34" t="s">
        <v>341</v>
      </c>
      <c r="E59" s="33" t="s">
        <v>399</v>
      </c>
      <c r="F59" s="34" t="s">
        <v>244</v>
      </c>
      <c r="G59" s="34" t="s">
        <v>470</v>
      </c>
      <c r="H59" s="35" t="s">
        <v>342</v>
      </c>
      <c r="I59" s="34" t="s">
        <v>427</v>
      </c>
      <c r="J59" s="33" t="s">
        <v>341</v>
      </c>
    </row>
    <row r="60">
      <c r="A60" s="28">
        <f>ROW()-ROW(Table_Unchain_Conditions[N])</f>
        <v>31</v>
      </c>
      <c r="B60" s="28" t="s">
        <v>471</v>
      </c>
      <c r="C60" s="30" t="s">
        <v>442</v>
      </c>
      <c r="D60" s="34" t="s">
        <v>403</v>
      </c>
      <c r="E60" s="33" t="s">
        <v>403</v>
      </c>
      <c r="F60" s="34" t="s">
        <v>318</v>
      </c>
      <c r="G60" s="34" t="s">
        <v>207</v>
      </c>
      <c r="H60" s="35" t="s">
        <v>347</v>
      </c>
      <c r="I60" s="34" t="s">
        <v>427</v>
      </c>
      <c r="J60" s="33" t="s">
        <v>341</v>
      </c>
    </row>
    <row r="61">
      <c r="A61" s="28">
        <f>ROW()-ROW(Table_Unchain_Conditions[N])</f>
        <v>32</v>
      </c>
      <c r="B61" s="28" t="s">
        <v>472</v>
      </c>
      <c r="C61" s="30" t="s">
        <v>422</v>
      </c>
      <c r="D61" s="34" t="s">
        <v>403</v>
      </c>
      <c r="E61" s="33" t="s">
        <v>403</v>
      </c>
      <c r="F61" s="34" t="s">
        <v>204</v>
      </c>
      <c r="G61" s="34" t="s">
        <v>207</v>
      </c>
      <c r="H61" s="35" t="s">
        <v>342</v>
      </c>
      <c r="I61" s="34" t="s">
        <v>473</v>
      </c>
      <c r="J61" s="33" t="s">
        <v>341</v>
      </c>
    </row>
    <row r="62">
      <c r="A62" s="28">
        <f>ROW()-ROW(Table_Unchain_Conditions[N])</f>
        <v>33</v>
      </c>
      <c r="B62" s="28" t="s">
        <v>474</v>
      </c>
      <c r="C62" s="30" t="s">
        <v>442</v>
      </c>
      <c r="D62" s="34" t="s">
        <v>407</v>
      </c>
      <c r="E62" s="33" t="s">
        <v>407</v>
      </c>
      <c r="F62" s="34" t="s">
        <v>321</v>
      </c>
      <c r="G62" s="34" t="s">
        <v>207</v>
      </c>
      <c r="H62" s="35" t="s">
        <v>347</v>
      </c>
      <c r="I62" s="34" t="s">
        <v>427</v>
      </c>
      <c r="J62" s="33" t="s">
        <v>341</v>
      </c>
    </row>
  </sheetData>
  <dataValidations>
    <dataValidation type="list" allowBlank="1" sqref="J2:J26">
      <formula1>#REF!</formula1>
    </dataValidation>
    <dataValidation type="list" allowBlank="1" sqref="H2:H26">
      <formula1>#REF!</formula1>
    </dataValidation>
    <dataValidation type="list" allowBlank="1" sqref="C2:C26">
      <formula1>#REF!</formula1>
    </dataValidation>
    <dataValidation type="list" allowBlank="1" sqref="J29:J62">
      <formula1>#REF!</formula1>
    </dataValidation>
    <dataValidation type="list" allowBlank="1" sqref="D29:D62">
      <formula1>#REF!</formula1>
    </dataValidation>
    <dataValidation type="list" allowBlank="1" sqref="E29:E62">
      <formula1>#REF!</formula1>
    </dataValidation>
    <dataValidation type="list" allowBlank="1" sqref="D2:G26 C29:C62 F29:I62">
      <formula1>#REF!</formula1>
    </dataValidation>
    <dataValidation type="list" allowBlank="1" sqref="I2:I26">
      <formula1>#REF!</formula1>
    </dataValidation>
  </dataValidations>
  <drawing r:id="rId1"/>
  <tableParts count="2"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6.71"/>
    <col customWidth="1" min="3" max="3" width="73.0"/>
    <col customWidth="1" min="4" max="4" width="26.0"/>
  </cols>
  <sheetData>
    <row r="1">
      <c r="A1" s="19" t="s">
        <v>0</v>
      </c>
      <c r="B1" s="19" t="s">
        <v>475</v>
      </c>
      <c r="C1" s="19" t="s">
        <v>476</v>
      </c>
    </row>
    <row r="2">
      <c r="A2" s="28">
        <f>ROW()-ROW(Table_sprites[N])</f>
        <v>0</v>
      </c>
      <c r="B2" s="28" t="s">
        <v>207</v>
      </c>
    </row>
    <row r="3">
      <c r="A3" s="28">
        <f>ROW()-ROW(Table_sprites[N])</f>
        <v>1</v>
      </c>
      <c r="B3" s="28" t="s">
        <v>477</v>
      </c>
      <c r="C3" s="28" t="s">
        <v>478</v>
      </c>
    </row>
    <row r="4">
      <c r="A4" s="28">
        <f>ROW()-ROW(Table_sprites[N])</f>
        <v>2</v>
      </c>
      <c r="B4" s="28" t="s">
        <v>479</v>
      </c>
      <c r="C4" s="28" t="s">
        <v>480</v>
      </c>
    </row>
    <row r="5">
      <c r="A5" s="28">
        <f>ROW()-ROW(Table_sprites[N])</f>
        <v>3</v>
      </c>
      <c r="B5" s="28" t="s">
        <v>481</v>
      </c>
      <c r="C5" s="28" t="s">
        <v>482</v>
      </c>
    </row>
    <row r="6">
      <c r="A6" s="28">
        <f>ROW()-ROW(Table_sprites[N])</f>
        <v>4</v>
      </c>
      <c r="B6" s="28" t="s">
        <v>483</v>
      </c>
      <c r="C6" s="28" t="s">
        <v>484</v>
      </c>
    </row>
    <row r="7">
      <c r="A7" s="28">
        <f>ROW()-ROW(Table_sprites[N])</f>
        <v>5</v>
      </c>
      <c r="B7" s="28" t="s">
        <v>485</v>
      </c>
      <c r="C7" s="28" t="s">
        <v>486</v>
      </c>
    </row>
    <row r="8">
      <c r="A8" s="28">
        <f>ROW()-ROW(Table_sprites[N])</f>
        <v>6</v>
      </c>
      <c r="B8" s="28" t="s">
        <v>487</v>
      </c>
      <c r="C8" s="28" t="s">
        <v>488</v>
      </c>
    </row>
    <row r="9">
      <c r="A9" s="28">
        <f>ROW()-ROW(Table_sprites[N])</f>
        <v>7</v>
      </c>
      <c r="B9" s="28" t="s">
        <v>489</v>
      </c>
      <c r="C9" s="28" t="s">
        <v>490</v>
      </c>
    </row>
    <row r="10">
      <c r="A10" s="28">
        <f>ROW()-ROW(Table_sprites[N])</f>
        <v>8</v>
      </c>
      <c r="B10" s="28" t="s">
        <v>491</v>
      </c>
      <c r="C10" s="28" t="s">
        <v>492</v>
      </c>
    </row>
    <row r="11">
      <c r="A11" s="28">
        <f>ROW()-ROW(Table_sprites[N])</f>
        <v>9</v>
      </c>
      <c r="B11" s="28" t="s">
        <v>493</v>
      </c>
      <c r="C11" s="28" t="s">
        <v>494</v>
      </c>
    </row>
    <row r="12">
      <c r="A12" s="28">
        <f>ROW()-ROW(Table_sprites[N])</f>
        <v>10</v>
      </c>
      <c r="B12" s="28" t="s">
        <v>219</v>
      </c>
      <c r="C12" s="28" t="s">
        <v>495</v>
      </c>
    </row>
    <row r="13">
      <c r="A13" s="28">
        <f>ROW()-ROW(Table_sprites[N])</f>
        <v>11</v>
      </c>
      <c r="B13" s="28" t="s">
        <v>223</v>
      </c>
      <c r="C13" s="28" t="s">
        <v>496</v>
      </c>
    </row>
    <row r="14">
      <c r="A14" s="28">
        <f>ROW()-ROW(Table_sprites[N])</f>
        <v>12</v>
      </c>
      <c r="B14" s="28" t="s">
        <v>226</v>
      </c>
      <c r="C14" s="28" t="s">
        <v>497</v>
      </c>
    </row>
    <row r="15">
      <c r="A15" s="28">
        <f>ROW()-ROW(Table_sprites[N])</f>
        <v>13</v>
      </c>
      <c r="B15" s="28" t="s">
        <v>229</v>
      </c>
      <c r="C15" s="28" t="s">
        <v>498</v>
      </c>
    </row>
    <row r="16">
      <c r="A16" s="28">
        <f>ROW()-ROW(Table_sprites[N])</f>
        <v>14</v>
      </c>
      <c r="B16" s="28" t="s">
        <v>499</v>
      </c>
      <c r="C16" s="28" t="s">
        <v>500</v>
      </c>
    </row>
    <row r="17">
      <c r="A17" s="28">
        <f>ROW()-ROW(Table_sprites[N])</f>
        <v>15</v>
      </c>
      <c r="B17" s="28" t="s">
        <v>501</v>
      </c>
      <c r="C17" s="28" t="s">
        <v>502</v>
      </c>
    </row>
    <row r="18">
      <c r="A18" s="28">
        <f>ROW()-ROW(Table_sprites[N])</f>
        <v>16</v>
      </c>
      <c r="B18" s="28" t="s">
        <v>503</v>
      </c>
      <c r="C18" s="28" t="s">
        <v>504</v>
      </c>
    </row>
    <row r="19">
      <c r="A19" s="28">
        <f>ROW()-ROW(Table_sprites[N])</f>
        <v>17</v>
      </c>
      <c r="B19" s="28" t="s">
        <v>505</v>
      </c>
      <c r="C19" s="28" t="s">
        <v>506</v>
      </c>
    </row>
    <row r="20">
      <c r="A20" s="28">
        <f>ROW()-ROW(Table_sprites[N])</f>
        <v>18</v>
      </c>
      <c r="B20" s="28" t="s">
        <v>507</v>
      </c>
      <c r="C20" s="28" t="s">
        <v>508</v>
      </c>
    </row>
    <row r="21">
      <c r="A21" s="28">
        <f>ROW()-ROW(Table_sprites[N])</f>
        <v>19</v>
      </c>
      <c r="B21" s="28" t="s">
        <v>241</v>
      </c>
      <c r="C21" s="28" t="s">
        <v>509</v>
      </c>
    </row>
    <row r="22">
      <c r="A22" s="28">
        <f>ROW()-ROW(Table_sprites[N])</f>
        <v>20</v>
      </c>
      <c r="B22" s="28" t="s">
        <v>247</v>
      </c>
      <c r="C22" s="28" t="s">
        <v>510</v>
      </c>
    </row>
    <row r="23">
      <c r="A23" s="28">
        <f>ROW()-ROW(Table_sprites[N])</f>
        <v>21</v>
      </c>
      <c r="B23" s="28" t="s">
        <v>251</v>
      </c>
      <c r="C23" s="28" t="s">
        <v>511</v>
      </c>
    </row>
    <row r="24">
      <c r="A24" s="28">
        <f>ROW()-ROW(Table_sprites[N])</f>
        <v>22</v>
      </c>
      <c r="B24" s="28" t="s">
        <v>512</v>
      </c>
      <c r="C24" s="28" t="s">
        <v>513</v>
      </c>
    </row>
    <row r="25">
      <c r="A25" s="28">
        <f>ROW()-ROW(Table_sprites[N])</f>
        <v>23</v>
      </c>
      <c r="B25" s="28" t="s">
        <v>242</v>
      </c>
      <c r="C25" s="28" t="s">
        <v>514</v>
      </c>
    </row>
    <row r="26">
      <c r="A26" s="28">
        <f>ROW()-ROW(Table_sprites[N])</f>
        <v>24</v>
      </c>
      <c r="B26" s="28" t="s">
        <v>255</v>
      </c>
      <c r="C26" s="28" t="s">
        <v>515</v>
      </c>
    </row>
    <row r="27">
      <c r="A27" s="28">
        <f>ROW()-ROW(Table_sprites[N])</f>
        <v>25</v>
      </c>
      <c r="B27" s="28" t="s">
        <v>259</v>
      </c>
      <c r="C27" s="28" t="s">
        <v>516</v>
      </c>
    </row>
    <row r="28">
      <c r="A28" s="28">
        <f>ROW()-ROW(Table_sprites[N])</f>
        <v>26</v>
      </c>
      <c r="B28" s="28" t="s">
        <v>262</v>
      </c>
      <c r="C28" s="28" t="s">
        <v>517</v>
      </c>
    </row>
    <row r="29">
      <c r="A29" s="28">
        <f>ROW()-ROW(Table_sprites[N])</f>
        <v>27</v>
      </c>
      <c r="B29" s="28" t="s">
        <v>265</v>
      </c>
      <c r="C29" s="28" t="s">
        <v>518</v>
      </c>
    </row>
    <row r="30">
      <c r="A30" s="28">
        <f>ROW()-ROW(Table_sprites[N])</f>
        <v>28</v>
      </c>
      <c r="B30" s="28" t="s">
        <v>266</v>
      </c>
      <c r="C30" s="28" t="s">
        <v>519</v>
      </c>
    </row>
    <row r="31">
      <c r="A31" s="28">
        <f>ROW()-ROW(Table_sprites[N])</f>
        <v>29</v>
      </c>
      <c r="B31" s="28" t="s">
        <v>269</v>
      </c>
      <c r="C31" s="28" t="s">
        <v>520</v>
      </c>
    </row>
    <row r="32">
      <c r="A32" s="28">
        <f>ROW()-ROW(Table_sprites[N])</f>
        <v>30</v>
      </c>
      <c r="B32" s="28" t="s">
        <v>271</v>
      </c>
      <c r="C32" s="28" t="s">
        <v>521</v>
      </c>
    </row>
    <row r="33">
      <c r="A33" s="28">
        <f>ROW()-ROW(Table_sprites[N])</f>
        <v>31</v>
      </c>
      <c r="B33" s="28" t="s">
        <v>522</v>
      </c>
      <c r="C33" s="28" t="s">
        <v>523</v>
      </c>
    </row>
    <row r="34">
      <c r="A34" s="28">
        <f>ROW()-ROW(Table_sprites[N])</f>
        <v>32</v>
      </c>
      <c r="B34" s="28" t="s">
        <v>275</v>
      </c>
      <c r="C34" s="28" t="s">
        <v>524</v>
      </c>
    </row>
    <row r="35">
      <c r="A35" s="28">
        <f>ROW()-ROW(Table_sprites[N])</f>
        <v>33</v>
      </c>
      <c r="B35" s="28" t="s">
        <v>279</v>
      </c>
      <c r="C35" s="28" t="s">
        <v>525</v>
      </c>
    </row>
    <row r="36">
      <c r="A36" s="28">
        <f>ROW()-ROW(Table_sprites[N])</f>
        <v>34</v>
      </c>
      <c r="B36" s="28" t="s">
        <v>282</v>
      </c>
      <c r="C36" s="28" t="s">
        <v>526</v>
      </c>
    </row>
    <row r="37">
      <c r="A37" s="28">
        <f>ROW()-ROW(Table_sprites[N])</f>
        <v>35</v>
      </c>
      <c r="B37" s="28" t="s">
        <v>285</v>
      </c>
      <c r="C37" s="28" t="s">
        <v>527</v>
      </c>
    </row>
    <row r="38">
      <c r="A38" s="28">
        <f>ROW()-ROW(Table_sprites[N])</f>
        <v>36</v>
      </c>
      <c r="B38" s="28" t="s">
        <v>287</v>
      </c>
      <c r="C38" s="28" t="s">
        <v>528</v>
      </c>
    </row>
    <row r="39">
      <c r="A39" s="28">
        <f>ROW()-ROW(Table_sprites[N])</f>
        <v>37</v>
      </c>
      <c r="B39" s="28" t="s">
        <v>291</v>
      </c>
      <c r="C39" s="28" t="s">
        <v>529</v>
      </c>
    </row>
    <row r="40">
      <c r="A40" s="28">
        <f>ROW()-ROW(Table_sprites[N])</f>
        <v>38</v>
      </c>
      <c r="B40" s="28" t="s">
        <v>530</v>
      </c>
      <c r="C40" s="28" t="s">
        <v>531</v>
      </c>
    </row>
    <row r="41">
      <c r="A41" s="28">
        <f>ROW()-ROW(Table_sprites[N])</f>
        <v>39</v>
      </c>
      <c r="B41" s="28" t="s">
        <v>532</v>
      </c>
      <c r="C41" s="28" t="s">
        <v>533</v>
      </c>
    </row>
    <row r="42">
      <c r="A42" s="28">
        <f>ROW()-ROW(Table_sprites[N])</f>
        <v>40</v>
      </c>
      <c r="B42" s="28" t="s">
        <v>296</v>
      </c>
      <c r="C42" s="28" t="s">
        <v>534</v>
      </c>
    </row>
    <row r="43">
      <c r="A43" s="28">
        <f>ROW()-ROW(Table_sprites[N])</f>
        <v>41</v>
      </c>
      <c r="B43" s="28" t="s">
        <v>297</v>
      </c>
      <c r="C43" s="28" t="s">
        <v>535</v>
      </c>
    </row>
    <row r="44">
      <c r="A44" s="28">
        <f>ROW()-ROW(Table_sprites[N])</f>
        <v>42</v>
      </c>
      <c r="B44" s="28" t="s">
        <v>536</v>
      </c>
      <c r="C44" s="28" t="s">
        <v>537</v>
      </c>
    </row>
    <row r="45">
      <c r="A45" s="28">
        <f>ROW()-ROW(Table_sprites[N])</f>
        <v>43</v>
      </c>
      <c r="B45" s="28" t="s">
        <v>538</v>
      </c>
      <c r="C45" s="28" t="s">
        <v>539</v>
      </c>
    </row>
    <row r="46">
      <c r="A46" s="28">
        <f>ROW()-ROW(Table_sprites[N])</f>
        <v>44</v>
      </c>
      <c r="B46" s="28" t="s">
        <v>540</v>
      </c>
      <c r="C46" s="28" t="s">
        <v>541</v>
      </c>
    </row>
    <row r="47">
      <c r="A47" s="28">
        <f>ROW()-ROW(Table_sprites[N])</f>
        <v>45</v>
      </c>
      <c r="B47" s="28" t="s">
        <v>308</v>
      </c>
      <c r="C47" s="28" t="s">
        <v>542</v>
      </c>
    </row>
    <row r="48">
      <c r="A48" s="28">
        <f>ROW()-ROW(Table_sprites[N])</f>
        <v>46</v>
      </c>
      <c r="B48" s="28" t="s">
        <v>465</v>
      </c>
      <c r="C48" s="28" t="s">
        <v>543</v>
      </c>
    </row>
    <row r="49">
      <c r="A49" s="28">
        <f>ROW()-ROW(Table_sprites[N])</f>
        <v>47</v>
      </c>
      <c r="B49" s="28" t="s">
        <v>312</v>
      </c>
      <c r="C49" s="28" t="s">
        <v>544</v>
      </c>
    </row>
    <row r="50">
      <c r="A50" s="28">
        <f>ROW()-ROW(Table_sprites[N])</f>
        <v>48</v>
      </c>
      <c r="B50" s="28" t="s">
        <v>317</v>
      </c>
      <c r="C50" s="28" t="s">
        <v>545</v>
      </c>
    </row>
    <row r="51">
      <c r="A51" s="28">
        <f>ROW()-ROW(Table_sprites[N])</f>
        <v>49</v>
      </c>
      <c r="B51" s="28" t="s">
        <v>303</v>
      </c>
      <c r="C51" s="28" t="s">
        <v>546</v>
      </c>
    </row>
    <row r="52">
      <c r="A52" s="28">
        <f>ROW()-ROW(Table_sprites[N])</f>
        <v>50</v>
      </c>
      <c r="B52" s="28" t="s">
        <v>547</v>
      </c>
      <c r="C52" s="28" t="s">
        <v>548</v>
      </c>
    </row>
    <row r="53">
      <c r="A53" s="28">
        <f>ROW()-ROW(Table_sprites[N])</f>
        <v>51</v>
      </c>
      <c r="B53" s="28" t="s">
        <v>313</v>
      </c>
      <c r="C53" s="28" t="s">
        <v>549</v>
      </c>
    </row>
    <row r="54">
      <c r="A54" s="28">
        <f>ROW()-ROW(Table_sprites[N])</f>
        <v>52</v>
      </c>
      <c r="B54" s="28" t="s">
        <v>550</v>
      </c>
      <c r="C54" s="28" t="s">
        <v>551</v>
      </c>
    </row>
    <row r="55">
      <c r="A55" s="28">
        <f>ROW()-ROW(Table_sprites[N])</f>
        <v>53</v>
      </c>
      <c r="B55" s="28" t="s">
        <v>470</v>
      </c>
      <c r="C55" s="28" t="s">
        <v>552</v>
      </c>
    </row>
    <row r="56">
      <c r="A56" s="28">
        <f>ROW()-ROW(Table_sprites[N])</f>
        <v>54</v>
      </c>
      <c r="B56" s="28" t="s">
        <v>320</v>
      </c>
      <c r="C56" s="28" t="s">
        <v>553</v>
      </c>
    </row>
    <row r="57">
      <c r="A57" s="28">
        <f>ROW()-ROW(Table_sprites[N])</f>
        <v>55</v>
      </c>
      <c r="B57" s="28" t="s">
        <v>323</v>
      </c>
      <c r="C57" s="28" t="s">
        <v>554</v>
      </c>
    </row>
    <row r="58">
      <c r="A58" s="28">
        <f>ROW()-ROW(Table_sprites[N])</f>
        <v>56</v>
      </c>
      <c r="B58" s="28" t="s">
        <v>326</v>
      </c>
      <c r="C58" s="28" t="s">
        <v>555</v>
      </c>
    </row>
    <row r="59">
      <c r="A59" s="28">
        <f>ROW()-ROW(Table_sprites[N])</f>
        <v>57</v>
      </c>
      <c r="B59" s="28" t="s">
        <v>327</v>
      </c>
      <c r="C59" s="28" t="s">
        <v>556</v>
      </c>
    </row>
    <row r="60">
      <c r="A60" s="28">
        <f>ROW()-ROW(Table_sprites[N])</f>
        <v>58</v>
      </c>
      <c r="B60" s="28" t="s">
        <v>331</v>
      </c>
      <c r="C60" s="28" t="s">
        <v>331</v>
      </c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9.0"/>
    <col customWidth="1" min="3" max="3" width="43.71"/>
    <col customWidth="1" min="4" max="4" width="46.71"/>
    <col customWidth="1" min="5" max="5" width="31.29"/>
    <col customWidth="1" min="6" max="6" width="50.57"/>
    <col customWidth="1" min="7" max="8" width="21.29"/>
    <col customWidth="1" min="9" max="10" width="32.57"/>
  </cols>
  <sheetData>
    <row r="1">
      <c r="A1" s="19" t="s">
        <v>0</v>
      </c>
      <c r="B1" s="19" t="s">
        <v>557</v>
      </c>
      <c r="C1" s="21" t="s">
        <v>558</v>
      </c>
      <c r="D1" s="21" t="s">
        <v>559</v>
      </c>
    </row>
    <row r="2">
      <c r="A2" s="28">
        <f>ROW()-ROW(Table_Dialogs[N])</f>
        <v>0</v>
      </c>
      <c r="B2" s="28" t="s">
        <v>345</v>
      </c>
      <c r="C2" s="33" t="s">
        <v>204</v>
      </c>
      <c r="D2" s="31" t="s">
        <v>560</v>
      </c>
    </row>
    <row r="3">
      <c r="A3" s="28">
        <f>ROW()-ROW(Table_Dialogs[N])</f>
        <v>1</v>
      </c>
      <c r="B3" s="28" t="s">
        <v>349</v>
      </c>
      <c r="C3" s="33" t="s">
        <v>204</v>
      </c>
      <c r="D3" s="31" t="s">
        <v>561</v>
      </c>
    </row>
    <row r="4">
      <c r="A4" s="28">
        <f>ROW()-ROW(Table_Dialogs[N])</f>
        <v>2</v>
      </c>
      <c r="B4" s="28" t="s">
        <v>353</v>
      </c>
      <c r="C4" s="33" t="s">
        <v>204</v>
      </c>
      <c r="D4" s="33" t="s">
        <v>562</v>
      </c>
    </row>
    <row r="5">
      <c r="A5" s="28">
        <f>ROW()-ROW(Table_Dialogs[N])</f>
        <v>3</v>
      </c>
      <c r="B5" s="28" t="s">
        <v>354</v>
      </c>
      <c r="C5" s="33" t="s">
        <v>204</v>
      </c>
      <c r="D5" s="33" t="s">
        <v>563</v>
      </c>
    </row>
    <row r="6">
      <c r="A6" s="28">
        <f>ROW()-ROW(Table_Dialogs[N])</f>
        <v>4</v>
      </c>
      <c r="B6" s="28" t="s">
        <v>369</v>
      </c>
      <c r="C6" s="33" t="s">
        <v>204</v>
      </c>
      <c r="D6" s="33" t="s">
        <v>564</v>
      </c>
    </row>
    <row r="7">
      <c r="A7" s="28">
        <f>ROW()-ROW(Table_Dialogs[N])</f>
        <v>5</v>
      </c>
      <c r="B7" s="28" t="s">
        <v>565</v>
      </c>
      <c r="C7" s="33" t="s">
        <v>204</v>
      </c>
      <c r="D7" s="33" t="s">
        <v>566</v>
      </c>
    </row>
    <row r="8">
      <c r="A8" s="28">
        <f>ROW()-ROW(Table_Dialogs[N])</f>
        <v>6</v>
      </c>
      <c r="B8" s="28" t="s">
        <v>367</v>
      </c>
      <c r="C8" s="33" t="s">
        <v>204</v>
      </c>
      <c r="D8" s="33" t="s">
        <v>567</v>
      </c>
    </row>
    <row r="9">
      <c r="A9" s="28">
        <f>ROW()-ROW(Table_Dialogs[N])</f>
        <v>7</v>
      </c>
      <c r="B9" s="28" t="s">
        <v>409</v>
      </c>
      <c r="C9" s="33" t="s">
        <v>204</v>
      </c>
      <c r="D9" s="33" t="s">
        <v>568</v>
      </c>
    </row>
    <row r="10">
      <c r="A10" s="28">
        <f>ROW()-ROW(Table_Dialogs[N])</f>
        <v>8</v>
      </c>
      <c r="B10" s="28" t="s">
        <v>569</v>
      </c>
      <c r="C10" s="33" t="s">
        <v>204</v>
      </c>
      <c r="D10" s="31" t="s">
        <v>560</v>
      </c>
    </row>
    <row r="12">
      <c r="A12" s="19" t="s">
        <v>0</v>
      </c>
      <c r="B12" s="19" t="s">
        <v>570</v>
      </c>
      <c r="C12" s="19" t="s">
        <v>333</v>
      </c>
      <c r="D12" s="21" t="s">
        <v>571</v>
      </c>
      <c r="E12" s="21" t="s">
        <v>572</v>
      </c>
      <c r="F12" s="21" t="s">
        <v>573</v>
      </c>
    </row>
    <row r="13">
      <c r="A13" s="28">
        <f>ROW()-ROW(Table_Dialog_Options[N])</f>
        <v>0</v>
      </c>
      <c r="B13" s="28" t="s">
        <v>560</v>
      </c>
      <c r="C13" s="29" t="s">
        <v>341</v>
      </c>
      <c r="D13" s="29" t="s">
        <v>341</v>
      </c>
      <c r="E13" s="30" t="s">
        <v>345</v>
      </c>
      <c r="F13" s="29" t="s">
        <v>346</v>
      </c>
    </row>
    <row r="14">
      <c r="A14" s="28">
        <f>ROW()-ROW(Table_Dialog_Options[N])</f>
        <v>1</v>
      </c>
      <c r="B14" s="28" t="s">
        <v>561</v>
      </c>
      <c r="C14" s="29" t="s">
        <v>341</v>
      </c>
      <c r="D14" s="29" t="s">
        <v>341</v>
      </c>
      <c r="E14" s="30" t="s">
        <v>345</v>
      </c>
      <c r="F14" s="29" t="s">
        <v>346</v>
      </c>
    </row>
    <row r="15">
      <c r="A15" s="28">
        <f>ROW()-ROW(Table_Dialog_Options[N])</f>
        <v>2</v>
      </c>
      <c r="B15" s="28" t="s">
        <v>562</v>
      </c>
      <c r="C15" s="32" t="s">
        <v>341</v>
      </c>
      <c r="D15" s="32" t="s">
        <v>431</v>
      </c>
      <c r="E15" s="30" t="s">
        <v>345</v>
      </c>
      <c r="F15" s="32" t="s">
        <v>574</v>
      </c>
    </row>
    <row r="16">
      <c r="A16" s="28">
        <f>ROW()-ROW(Table_Dialog_Options[N])</f>
        <v>3</v>
      </c>
      <c r="B16" s="28" t="s">
        <v>563</v>
      </c>
      <c r="C16" s="32" t="s">
        <v>341</v>
      </c>
      <c r="D16" s="32" t="s">
        <v>434</v>
      </c>
      <c r="E16" s="30" t="s">
        <v>345</v>
      </c>
      <c r="F16" s="32" t="s">
        <v>575</v>
      </c>
    </row>
    <row r="17">
      <c r="A17" s="28">
        <f>ROW()-ROW(Table_Dialog_Options[N])</f>
        <v>4</v>
      </c>
      <c r="B17" s="28" t="s">
        <v>564</v>
      </c>
      <c r="C17" s="32" t="s">
        <v>341</v>
      </c>
      <c r="D17" s="32" t="s">
        <v>341</v>
      </c>
      <c r="E17" s="30" t="s">
        <v>565</v>
      </c>
      <c r="F17" s="32" t="s">
        <v>576</v>
      </c>
    </row>
    <row r="18">
      <c r="A18" s="28">
        <f>ROW()-ROW(Table_Dialog_Options[N])</f>
        <v>5</v>
      </c>
      <c r="B18" s="28" t="s">
        <v>577</v>
      </c>
      <c r="C18" s="32" t="s">
        <v>341</v>
      </c>
      <c r="D18" s="32" t="s">
        <v>341</v>
      </c>
      <c r="E18" s="30" t="s">
        <v>345</v>
      </c>
      <c r="F18" s="32" t="s">
        <v>578</v>
      </c>
    </row>
    <row r="19">
      <c r="A19" s="28">
        <f>ROW()-ROW(Table_Dialog_Options[N])</f>
        <v>6</v>
      </c>
      <c r="B19" s="28" t="s">
        <v>579</v>
      </c>
      <c r="C19" s="32" t="s">
        <v>341</v>
      </c>
      <c r="D19" s="32" t="s">
        <v>341</v>
      </c>
      <c r="E19" s="30" t="s">
        <v>345</v>
      </c>
      <c r="F19" s="32" t="s">
        <v>580</v>
      </c>
    </row>
    <row r="20">
      <c r="A20" s="28">
        <f>ROW()-ROW(Table_Dialog_Options[N])</f>
        <v>7</v>
      </c>
      <c r="B20" s="28" t="s">
        <v>581</v>
      </c>
      <c r="C20" s="32" t="s">
        <v>582</v>
      </c>
      <c r="D20" s="32" t="s">
        <v>448</v>
      </c>
      <c r="E20" s="30" t="s">
        <v>345</v>
      </c>
      <c r="F20" s="32" t="s">
        <v>583</v>
      </c>
    </row>
    <row r="21">
      <c r="A21" s="28">
        <f>ROW()-ROW(Table_Dialog_Options[N])</f>
        <v>8</v>
      </c>
      <c r="B21" s="28" t="s">
        <v>584</v>
      </c>
      <c r="C21" s="32" t="s">
        <v>448</v>
      </c>
      <c r="D21" s="32" t="s">
        <v>341</v>
      </c>
      <c r="E21" s="30" t="s">
        <v>345</v>
      </c>
      <c r="F21" s="32" t="s">
        <v>585</v>
      </c>
    </row>
    <row r="22">
      <c r="A22" s="28">
        <f>ROW()-ROW(Table_Dialog_Options[N])</f>
        <v>9</v>
      </c>
      <c r="B22" s="28" t="s">
        <v>568</v>
      </c>
      <c r="C22" s="32" t="s">
        <v>341</v>
      </c>
      <c r="D22" s="32" t="s">
        <v>341</v>
      </c>
      <c r="E22" s="30" t="s">
        <v>345</v>
      </c>
      <c r="F22" s="32" t="s">
        <v>586</v>
      </c>
    </row>
    <row r="23">
      <c r="A23" s="28">
        <f>ROW()-ROW(Table_Dialog_Options[N])</f>
        <v>10</v>
      </c>
      <c r="B23" s="28" t="s">
        <v>587</v>
      </c>
      <c r="C23" s="29" t="s">
        <v>341</v>
      </c>
      <c r="D23" s="29" t="s">
        <v>341</v>
      </c>
      <c r="E23" s="30" t="s">
        <v>345</v>
      </c>
      <c r="F23" s="29" t="s">
        <v>346</v>
      </c>
    </row>
    <row r="25">
      <c r="A25" s="36"/>
      <c r="B25" s="36"/>
      <c r="C25" s="36"/>
      <c r="D25" s="36"/>
      <c r="E25" s="36"/>
      <c r="F25" s="36"/>
    </row>
    <row r="26">
      <c r="A26" s="36"/>
      <c r="B26" s="36"/>
      <c r="C26" s="36"/>
      <c r="D26" s="36"/>
      <c r="E26" s="36"/>
      <c r="F26" s="36"/>
    </row>
    <row r="27">
      <c r="A27" s="36"/>
      <c r="B27" s="36"/>
      <c r="C27" s="36"/>
      <c r="D27" s="36"/>
      <c r="E27" s="36"/>
      <c r="F27" s="36"/>
    </row>
    <row r="28">
      <c r="A28" s="36"/>
      <c r="B28" s="36"/>
      <c r="C28" s="36"/>
      <c r="D28" s="36"/>
      <c r="E28" s="36"/>
      <c r="F28" s="36"/>
    </row>
    <row r="29">
      <c r="A29" s="36"/>
      <c r="B29" s="36"/>
      <c r="C29" s="36"/>
      <c r="D29" s="36"/>
      <c r="E29" s="36"/>
      <c r="F29" s="36"/>
    </row>
    <row r="30">
      <c r="A30" s="36"/>
      <c r="B30" s="36"/>
      <c r="C30" s="36"/>
      <c r="D30" s="36"/>
      <c r="E30" s="36"/>
      <c r="F30" s="36"/>
    </row>
  </sheetData>
  <dataValidations>
    <dataValidation type="list" allowBlank="1" sqref="C2:C10">
      <formula1>#REF!</formula1>
    </dataValidation>
    <dataValidation type="list" allowBlank="1" sqref="F13:F23">
      <formula1>#REF!</formula1>
    </dataValidation>
    <dataValidation type="list" allowBlank="1" sqref="C13:C23">
      <formula1>#REF!</formula1>
    </dataValidation>
    <dataValidation type="list" allowBlank="1" sqref="D2:D10">
      <formula1>#REF!</formula1>
    </dataValidation>
    <dataValidation type="list" allowBlank="1" sqref="E13:E23">
      <formula1>Table_Dialogs[DIALOG_ID]</formula1>
    </dataValidation>
    <dataValidation type="list" allowBlank="1" sqref="D13:D23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1.14"/>
    <col customWidth="1" min="3" max="3" width="26.43"/>
    <col customWidth="1" min="4" max="4" width="29.29"/>
  </cols>
  <sheetData>
    <row r="1">
      <c r="A1" s="37" t="s">
        <v>0</v>
      </c>
      <c r="B1" s="38" t="s">
        <v>588</v>
      </c>
      <c r="C1" s="37" t="s">
        <v>589</v>
      </c>
      <c r="D1" s="37" t="s">
        <v>590</v>
      </c>
    </row>
    <row r="2">
      <c r="A2" s="22">
        <f>ROW()-ROW(Table_Name[NAME_ID])</f>
        <v>0</v>
      </c>
      <c r="B2" s="22" t="s">
        <v>205</v>
      </c>
      <c r="C2" s="39"/>
      <c r="D2" s="39"/>
    </row>
    <row r="3">
      <c r="A3" s="22">
        <f>ROW()-ROW(Table_Name[NAME_ID])</f>
        <v>1</v>
      </c>
      <c r="B3" s="22" t="s">
        <v>210</v>
      </c>
      <c r="C3" s="22" t="s">
        <v>591</v>
      </c>
      <c r="D3" s="22" t="s">
        <v>591</v>
      </c>
    </row>
    <row r="4">
      <c r="A4" s="22">
        <f>ROW()-ROW(Table_Name[NAME_ID])</f>
        <v>2</v>
      </c>
      <c r="B4" s="22" t="s">
        <v>213</v>
      </c>
      <c r="C4" s="22" t="s">
        <v>592</v>
      </c>
      <c r="D4" s="22" t="s">
        <v>593</v>
      </c>
    </row>
    <row r="5">
      <c r="A5" s="22">
        <f>ROW()-ROW(Table_Name[NAME_ID])</f>
        <v>3</v>
      </c>
      <c r="B5" s="22" t="s">
        <v>215</v>
      </c>
      <c r="C5" s="22" t="s">
        <v>594</v>
      </c>
      <c r="D5" s="22" t="s">
        <v>595</v>
      </c>
    </row>
    <row r="6">
      <c r="A6" s="22">
        <f>ROW()-ROW(Table_Name[NAME_ID])</f>
        <v>4</v>
      </c>
      <c r="B6" s="22" t="s">
        <v>596</v>
      </c>
      <c r="C6" s="22" t="s">
        <v>597</v>
      </c>
      <c r="D6" s="22" t="s">
        <v>598</v>
      </c>
    </row>
    <row r="7">
      <c r="A7" s="22">
        <f>ROW()-ROW(Table_Name[NAME_ID])</f>
        <v>5</v>
      </c>
      <c r="B7" s="22" t="s">
        <v>599</v>
      </c>
      <c r="C7" s="22" t="s">
        <v>600</v>
      </c>
      <c r="D7" s="22" t="s">
        <v>601</v>
      </c>
    </row>
    <row r="8">
      <c r="A8" s="22">
        <f>ROW()-ROW(Table_Name[NAME_ID])</f>
        <v>6</v>
      </c>
      <c r="B8" s="22" t="s">
        <v>602</v>
      </c>
      <c r="C8" s="22" t="s">
        <v>603</v>
      </c>
      <c r="D8" s="22" t="s">
        <v>604</v>
      </c>
    </row>
    <row r="9">
      <c r="A9" s="22">
        <f>ROW()-ROW(Table_Name[NAME_ID])</f>
        <v>7</v>
      </c>
      <c r="B9" s="22" t="s">
        <v>605</v>
      </c>
      <c r="C9" s="22" t="s">
        <v>606</v>
      </c>
      <c r="D9" s="22" t="s">
        <v>607</v>
      </c>
    </row>
    <row r="10">
      <c r="A10" s="22">
        <f>ROW()-ROW(Table_Name[NAME_ID])</f>
        <v>8</v>
      </c>
      <c r="B10" s="22" t="s">
        <v>217</v>
      </c>
      <c r="C10" s="22" t="s">
        <v>608</v>
      </c>
      <c r="D10" s="22" t="s">
        <v>609</v>
      </c>
    </row>
    <row r="11">
      <c r="A11" s="22">
        <f>ROW()-ROW(Table_Name[NAME_ID])</f>
        <v>9</v>
      </c>
      <c r="B11" s="22" t="s">
        <v>222</v>
      </c>
      <c r="C11" s="22" t="s">
        <v>610</v>
      </c>
      <c r="D11" s="22" t="s">
        <v>611</v>
      </c>
    </row>
    <row r="12">
      <c r="A12" s="22">
        <f>ROW()-ROW(Table_Name[NAME_ID])</f>
        <v>10</v>
      </c>
      <c r="B12" s="22" t="s">
        <v>612</v>
      </c>
      <c r="C12" s="22" t="s">
        <v>613</v>
      </c>
      <c r="D12" s="22" t="s">
        <v>614</v>
      </c>
    </row>
    <row r="13">
      <c r="A13" s="22">
        <f>ROW()-ROW(Table_Name[NAME_ID])</f>
        <v>11</v>
      </c>
      <c r="B13" s="22" t="s">
        <v>232</v>
      </c>
      <c r="C13" s="22" t="s">
        <v>615</v>
      </c>
      <c r="D13" s="22" t="s">
        <v>616</v>
      </c>
    </row>
    <row r="14">
      <c r="A14" s="22">
        <f>ROW()-ROW(Table_Name[NAME_ID])</f>
        <v>12</v>
      </c>
      <c r="B14" s="22" t="s">
        <v>239</v>
      </c>
      <c r="C14" s="22" t="s">
        <v>617</v>
      </c>
      <c r="D14" s="22" t="s">
        <v>618</v>
      </c>
    </row>
    <row r="15">
      <c r="A15" s="22">
        <f>ROW()-ROW(Table_Name[NAME_ID])</f>
        <v>13</v>
      </c>
      <c r="B15" s="22" t="s">
        <v>245</v>
      </c>
      <c r="C15" s="22" t="s">
        <v>619</v>
      </c>
      <c r="D15" s="22" t="s">
        <v>620</v>
      </c>
    </row>
    <row r="16">
      <c r="A16" s="22">
        <f>ROW()-ROW(Table_Name[NAME_ID])</f>
        <v>14</v>
      </c>
      <c r="B16" s="22" t="s">
        <v>250</v>
      </c>
      <c r="C16" s="22" t="s">
        <v>621</v>
      </c>
      <c r="D16" s="22" t="s">
        <v>622</v>
      </c>
    </row>
    <row r="17">
      <c r="A17" s="22">
        <f>ROW()-ROW(Table_Name[NAME_ID])</f>
        <v>15</v>
      </c>
      <c r="B17" s="22" t="s">
        <v>254</v>
      </c>
      <c r="C17" s="22" t="s">
        <v>623</v>
      </c>
      <c r="D17" s="22" t="s">
        <v>624</v>
      </c>
    </row>
    <row r="18">
      <c r="A18" s="22">
        <f>ROW()-ROW(Table_Name[NAME_ID])</f>
        <v>16</v>
      </c>
      <c r="B18" s="22" t="s">
        <v>258</v>
      </c>
      <c r="C18" s="22" t="s">
        <v>625</v>
      </c>
      <c r="D18" s="22" t="s">
        <v>626</v>
      </c>
    </row>
    <row r="19">
      <c r="A19" s="22">
        <f>ROW()-ROW(Table_Name[NAME_ID])</f>
        <v>17</v>
      </c>
      <c r="B19" s="22" t="s">
        <v>261</v>
      </c>
      <c r="C19" s="22" t="s">
        <v>627</v>
      </c>
      <c r="D19" s="22" t="s">
        <v>628</v>
      </c>
    </row>
    <row r="20">
      <c r="A20" s="22">
        <f>ROW()-ROW(Table_Name[NAME_ID])</f>
        <v>18</v>
      </c>
      <c r="B20" s="22" t="s">
        <v>264</v>
      </c>
      <c r="C20" s="22" t="s">
        <v>629</v>
      </c>
      <c r="D20" s="22" t="s">
        <v>630</v>
      </c>
    </row>
    <row r="21">
      <c r="A21" s="22">
        <f>ROW()-ROW(Table_Name[NAME_ID])</f>
        <v>19</v>
      </c>
      <c r="B21" s="22" t="s">
        <v>274</v>
      </c>
      <c r="C21" s="22" t="s">
        <v>631</v>
      </c>
      <c r="D21" s="22" t="s">
        <v>632</v>
      </c>
    </row>
    <row r="22">
      <c r="A22" s="22">
        <f>ROW()-ROW(Table_Name[NAME_ID])</f>
        <v>20</v>
      </c>
      <c r="B22" s="22" t="s">
        <v>281</v>
      </c>
      <c r="C22" s="22" t="s">
        <v>633</v>
      </c>
      <c r="D22" s="22" t="s">
        <v>634</v>
      </c>
    </row>
    <row r="23">
      <c r="A23" s="22">
        <f>ROW()-ROW(Table_Name[NAME_ID])</f>
        <v>21</v>
      </c>
      <c r="B23" s="22" t="s">
        <v>277</v>
      </c>
      <c r="C23" s="22" t="s">
        <v>635</v>
      </c>
      <c r="D23" s="22" t="s">
        <v>636</v>
      </c>
    </row>
    <row r="24">
      <c r="A24" s="22">
        <f>ROW()-ROW(Table_Name[NAME_ID])</f>
        <v>22</v>
      </c>
      <c r="B24" s="22" t="s">
        <v>637</v>
      </c>
      <c r="C24" s="22" t="s">
        <v>638</v>
      </c>
      <c r="D24" s="22" t="s">
        <v>639</v>
      </c>
    </row>
    <row r="25">
      <c r="A25" s="22">
        <f>ROW()-ROW(Table_Name[NAME_ID])</f>
        <v>23</v>
      </c>
      <c r="B25" s="22" t="s">
        <v>284</v>
      </c>
      <c r="C25" s="22" t="s">
        <v>640</v>
      </c>
      <c r="D25" s="22" t="s">
        <v>641</v>
      </c>
    </row>
    <row r="26">
      <c r="A26" s="22">
        <f>ROW()-ROW(Table_Name[NAME_ID])</f>
        <v>24</v>
      </c>
      <c r="B26" s="22" t="s">
        <v>290</v>
      </c>
      <c r="C26" s="22" t="s">
        <v>642</v>
      </c>
      <c r="D26" s="22" t="s">
        <v>643</v>
      </c>
    </row>
    <row r="27">
      <c r="A27" s="22">
        <f>ROW()-ROW(Table_Name[NAME_ID])</f>
        <v>25</v>
      </c>
      <c r="B27" s="22" t="s">
        <v>295</v>
      </c>
      <c r="C27" s="22" t="s">
        <v>644</v>
      </c>
      <c r="D27" s="22" t="s">
        <v>645</v>
      </c>
    </row>
    <row r="28">
      <c r="A28" s="22">
        <f>ROW()-ROW(Table_Name[NAME_ID])</f>
        <v>26</v>
      </c>
      <c r="B28" s="22" t="s">
        <v>316</v>
      </c>
      <c r="C28" s="22" t="s">
        <v>646</v>
      </c>
      <c r="D28" s="22" t="s">
        <v>647</v>
      </c>
    </row>
    <row r="29">
      <c r="A29" s="22">
        <f>ROW()-ROW(Table_Name[NAME_ID])</f>
        <v>27</v>
      </c>
      <c r="B29" s="22" t="s">
        <v>311</v>
      </c>
      <c r="C29" s="22" t="s">
        <v>648</v>
      </c>
      <c r="D29" s="22" t="s">
        <v>649</v>
      </c>
    </row>
    <row r="30">
      <c r="A30" s="22">
        <f>ROW()-ROW(Table_Name[NAME_ID])</f>
        <v>28</v>
      </c>
      <c r="B30" s="22" t="s">
        <v>306</v>
      </c>
      <c r="C30" s="22" t="s">
        <v>650</v>
      </c>
      <c r="D30" s="22" t="s">
        <v>651</v>
      </c>
    </row>
    <row r="31">
      <c r="A31" s="22">
        <f>ROW()-ROW(Table_Name[NAME_ID])</f>
        <v>29</v>
      </c>
      <c r="B31" s="22" t="s">
        <v>302</v>
      </c>
      <c r="C31" s="22" t="s">
        <v>652</v>
      </c>
      <c r="D31" s="22" t="s">
        <v>653</v>
      </c>
    </row>
    <row r="32">
      <c r="A32" s="22">
        <f>ROW()-ROW(Table_Name[NAME_ID])</f>
        <v>30</v>
      </c>
      <c r="B32" s="22" t="s">
        <v>319</v>
      </c>
      <c r="C32" s="22" t="s">
        <v>654</v>
      </c>
      <c r="D32" s="22" t="s">
        <v>655</v>
      </c>
    </row>
    <row r="33">
      <c r="A33" s="22">
        <f>ROW()-ROW(Table_Name[NAME_ID])</f>
        <v>31</v>
      </c>
      <c r="B33" s="22" t="s">
        <v>322</v>
      </c>
      <c r="C33" s="22" t="s">
        <v>656</v>
      </c>
      <c r="D33" s="22" t="s">
        <v>657</v>
      </c>
    </row>
    <row r="34">
      <c r="A34" s="22">
        <f>ROW()-ROW(Table_Name[NAME_ID])</f>
        <v>32</v>
      </c>
      <c r="B34" s="22" t="s">
        <v>325</v>
      </c>
      <c r="C34" s="22" t="s">
        <v>658</v>
      </c>
      <c r="D34" s="22" t="s">
        <v>659</v>
      </c>
    </row>
    <row r="35">
      <c r="A35" s="22">
        <f>ROW()-ROW(Table_Name[NAME_ID])</f>
        <v>33</v>
      </c>
      <c r="B35" s="22" t="s">
        <v>330</v>
      </c>
      <c r="C35" s="22" t="s">
        <v>660</v>
      </c>
      <c r="D35" s="22" t="s">
        <v>661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42.57"/>
    <col customWidth="1" min="3" max="3" width="15.57"/>
    <col customWidth="1" min="4" max="4" width="10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9" t="s">
        <v>0</v>
      </c>
      <c r="B1" s="19" t="s">
        <v>662</v>
      </c>
      <c r="C1" s="20" t="s">
        <v>663</v>
      </c>
      <c r="D1" s="19" t="s">
        <v>664</v>
      </c>
      <c r="E1" s="21" t="s">
        <v>665</v>
      </c>
      <c r="F1" s="19" t="s">
        <v>666</v>
      </c>
      <c r="G1" s="40" t="s">
        <v>667</v>
      </c>
    </row>
    <row r="2">
      <c r="A2" s="28">
        <f>ROW()-ROW(Table_Phrases[N])</f>
        <v>0</v>
      </c>
      <c r="B2" s="28" t="s">
        <v>346</v>
      </c>
      <c r="C2" s="28">
        <v>0.0</v>
      </c>
      <c r="D2" s="28">
        <v>0.0</v>
      </c>
      <c r="E2" s="34" t="s">
        <v>668</v>
      </c>
      <c r="F2" s="41"/>
      <c r="G2" s="29"/>
    </row>
    <row r="3">
      <c r="A3" s="28">
        <f>ROW()-ROW(Table_Phrases[N])</f>
        <v>1</v>
      </c>
      <c r="B3" s="28" t="s">
        <v>669</v>
      </c>
      <c r="C3" s="28">
        <v>0.0</v>
      </c>
      <c r="D3" s="28">
        <v>0.0</v>
      </c>
      <c r="E3" s="34" t="s">
        <v>670</v>
      </c>
      <c r="F3" s="29" t="s">
        <v>671</v>
      </c>
      <c r="G3" s="29" t="s">
        <v>672</v>
      </c>
    </row>
    <row r="4">
      <c r="A4" s="28">
        <f>ROW()-ROW(Table_Phrases[N])</f>
        <v>2</v>
      </c>
      <c r="B4" s="28" t="s">
        <v>673</v>
      </c>
      <c r="C4" s="28">
        <v>0.0</v>
      </c>
      <c r="D4" s="28">
        <v>0.0</v>
      </c>
      <c r="E4" s="34" t="s">
        <v>670</v>
      </c>
      <c r="F4" s="29" t="s">
        <v>674</v>
      </c>
      <c r="G4" s="29" t="s">
        <v>675</v>
      </c>
    </row>
    <row r="5">
      <c r="A5" s="28">
        <f>ROW()-ROW(Table_Phrases[N])</f>
        <v>3</v>
      </c>
      <c r="B5" s="28" t="s">
        <v>676</v>
      </c>
      <c r="C5" s="28">
        <v>0.0</v>
      </c>
      <c r="D5" s="28">
        <v>0.0</v>
      </c>
      <c r="E5" s="34" t="s">
        <v>670</v>
      </c>
      <c r="F5" s="29" t="s">
        <v>677</v>
      </c>
      <c r="G5" s="29" t="s">
        <v>678</v>
      </c>
    </row>
    <row r="6">
      <c r="A6" s="28">
        <f>ROW()-ROW(Table_Phrases[N])</f>
        <v>4</v>
      </c>
      <c r="B6" s="28" t="s">
        <v>679</v>
      </c>
      <c r="C6" s="28">
        <v>0.0</v>
      </c>
      <c r="D6" s="28">
        <v>0.0</v>
      </c>
      <c r="E6" s="34" t="s">
        <v>670</v>
      </c>
      <c r="F6" s="29" t="s">
        <v>680</v>
      </c>
      <c r="G6" s="29" t="s">
        <v>681</v>
      </c>
    </row>
    <row r="7">
      <c r="A7" s="28">
        <f>ROW()-ROW(Table_Phrases[N])</f>
        <v>5</v>
      </c>
      <c r="B7" s="28" t="s">
        <v>682</v>
      </c>
      <c r="C7" s="28">
        <v>0.0</v>
      </c>
      <c r="D7" s="28">
        <v>0.0</v>
      </c>
      <c r="E7" s="34" t="s">
        <v>670</v>
      </c>
      <c r="F7" s="29" t="s">
        <v>683</v>
      </c>
      <c r="G7" s="29" t="s">
        <v>684</v>
      </c>
    </row>
    <row r="8">
      <c r="A8" s="28">
        <f>ROW()-ROW(Table_Phrases[N])</f>
        <v>6</v>
      </c>
      <c r="B8" s="28" t="s">
        <v>685</v>
      </c>
      <c r="C8" s="28">
        <v>0.0</v>
      </c>
      <c r="D8" s="28">
        <v>0.0</v>
      </c>
      <c r="E8" s="34" t="s">
        <v>670</v>
      </c>
      <c r="F8" s="29" t="s">
        <v>686</v>
      </c>
      <c r="G8" s="29" t="s">
        <v>687</v>
      </c>
    </row>
    <row r="9">
      <c r="A9" s="28">
        <f>ROW()-ROW(Table_Phrases[N])</f>
        <v>7</v>
      </c>
      <c r="B9" s="28" t="s">
        <v>688</v>
      </c>
      <c r="C9" s="28">
        <v>0.0</v>
      </c>
      <c r="D9" s="28">
        <v>0.0</v>
      </c>
      <c r="E9" s="34" t="s">
        <v>670</v>
      </c>
      <c r="F9" s="29" t="s">
        <v>689</v>
      </c>
      <c r="G9" s="29" t="s">
        <v>690</v>
      </c>
    </row>
    <row r="10">
      <c r="A10" s="28">
        <f>ROW()-ROW(Table_Phrases[N])</f>
        <v>8</v>
      </c>
      <c r="B10" s="28" t="s">
        <v>691</v>
      </c>
      <c r="C10" s="28">
        <v>0.0</v>
      </c>
      <c r="D10" s="28">
        <v>0.0</v>
      </c>
      <c r="E10" s="34" t="s">
        <v>668</v>
      </c>
      <c r="F10" s="29" t="s">
        <v>692</v>
      </c>
      <c r="G10" s="29" t="s">
        <v>693</v>
      </c>
    </row>
    <row r="11">
      <c r="A11" s="28">
        <f>ROW()-ROW(Table_Phrases[N])</f>
        <v>9</v>
      </c>
      <c r="B11" s="28" t="s">
        <v>694</v>
      </c>
      <c r="C11" s="28">
        <v>0.0</v>
      </c>
      <c r="D11" s="28">
        <v>0.0</v>
      </c>
      <c r="E11" s="34" t="s">
        <v>668</v>
      </c>
      <c r="F11" s="29" t="s">
        <v>695</v>
      </c>
      <c r="G11" s="29" t="s">
        <v>696</v>
      </c>
    </row>
    <row r="12">
      <c r="A12" s="28">
        <f>ROW()-ROW(Table_Phrases[N])</f>
        <v>10</v>
      </c>
      <c r="B12" s="28" t="s">
        <v>350</v>
      </c>
      <c r="C12" s="28">
        <v>0.0</v>
      </c>
      <c r="D12" s="28">
        <v>0.0</v>
      </c>
      <c r="E12" s="34" t="s">
        <v>670</v>
      </c>
      <c r="F12" s="29" t="s">
        <v>697</v>
      </c>
      <c r="G12" s="29" t="s">
        <v>698</v>
      </c>
    </row>
    <row r="13">
      <c r="A13" s="28">
        <f>ROW()-ROW(Table_Phrases[N])</f>
        <v>11</v>
      </c>
      <c r="B13" s="28" t="s">
        <v>699</v>
      </c>
      <c r="C13" s="28">
        <v>0.0</v>
      </c>
      <c r="D13" s="28">
        <v>0.0</v>
      </c>
      <c r="E13" s="34" t="s">
        <v>670</v>
      </c>
      <c r="F13" s="29" t="s">
        <v>700</v>
      </c>
      <c r="G13" s="29" t="s">
        <v>701</v>
      </c>
    </row>
    <row r="14">
      <c r="A14" s="28">
        <f>ROW()-ROW(Table_Phrases[N])</f>
        <v>12</v>
      </c>
      <c r="B14" s="28" t="s">
        <v>702</v>
      </c>
      <c r="C14" s="28">
        <v>1.0</v>
      </c>
      <c r="D14" s="28">
        <v>0.0</v>
      </c>
      <c r="E14" s="34" t="s">
        <v>670</v>
      </c>
      <c r="F14" s="29" t="s">
        <v>703</v>
      </c>
      <c r="G14" s="29" t="s">
        <v>704</v>
      </c>
    </row>
    <row r="15">
      <c r="A15" s="28">
        <f>ROW()-ROW(Table_Phrases[N])</f>
        <v>13</v>
      </c>
      <c r="B15" s="28" t="s">
        <v>705</v>
      </c>
      <c r="C15" s="28">
        <v>0.0</v>
      </c>
      <c r="D15" s="28">
        <v>0.0</v>
      </c>
      <c r="E15" s="34" t="s">
        <v>670</v>
      </c>
      <c r="F15" s="29" t="s">
        <v>706</v>
      </c>
      <c r="G15" s="29" t="s">
        <v>707</v>
      </c>
    </row>
    <row r="16">
      <c r="A16" s="28">
        <f>ROW()-ROW(Table_Phrases[N])</f>
        <v>14</v>
      </c>
      <c r="B16" s="28" t="s">
        <v>708</v>
      </c>
      <c r="C16" s="28">
        <v>1.0</v>
      </c>
      <c r="D16" s="28">
        <v>0.0</v>
      </c>
      <c r="E16" s="34" t="s">
        <v>670</v>
      </c>
      <c r="F16" s="29" t="s">
        <v>709</v>
      </c>
      <c r="G16" s="29" t="s">
        <v>710</v>
      </c>
    </row>
    <row r="17">
      <c r="A17" s="28">
        <f>ROW()-ROW(Table_Phrases[N])</f>
        <v>15</v>
      </c>
      <c r="B17" s="28" t="s">
        <v>711</v>
      </c>
      <c r="C17" s="28">
        <v>1.0</v>
      </c>
      <c r="D17" s="28">
        <v>0.0</v>
      </c>
      <c r="E17" s="34" t="s">
        <v>670</v>
      </c>
      <c r="F17" s="29" t="s">
        <v>712</v>
      </c>
      <c r="G17" s="29" t="s">
        <v>713</v>
      </c>
    </row>
    <row r="18">
      <c r="A18" s="28">
        <f>ROW()-ROW(Table_Phrases[N])</f>
        <v>16</v>
      </c>
      <c r="B18" s="28" t="s">
        <v>714</v>
      </c>
      <c r="C18" s="28">
        <v>0.0</v>
      </c>
      <c r="D18" s="28">
        <v>0.0</v>
      </c>
      <c r="E18" s="34" t="s">
        <v>670</v>
      </c>
      <c r="F18" s="29" t="s">
        <v>715</v>
      </c>
      <c r="G18" s="29" t="s">
        <v>716</v>
      </c>
    </row>
    <row r="19">
      <c r="A19" s="28">
        <f>ROW()-ROW(Table_Phrases[N])</f>
        <v>17</v>
      </c>
      <c r="B19" s="28" t="s">
        <v>717</v>
      </c>
      <c r="C19" s="28">
        <v>0.0</v>
      </c>
      <c r="D19" s="28">
        <v>0.0</v>
      </c>
      <c r="E19" s="34" t="s">
        <v>670</v>
      </c>
      <c r="F19" s="29" t="s">
        <v>718</v>
      </c>
      <c r="G19" s="29" t="s">
        <v>719</v>
      </c>
    </row>
    <row r="20">
      <c r="A20" s="28">
        <f>ROW()-ROW(Table_Phrases[N])</f>
        <v>18</v>
      </c>
      <c r="B20" s="28" t="s">
        <v>720</v>
      </c>
      <c r="C20" s="28">
        <v>0.0</v>
      </c>
      <c r="D20" s="28">
        <v>0.0</v>
      </c>
      <c r="E20" s="34" t="s">
        <v>670</v>
      </c>
      <c r="F20" s="29" t="s">
        <v>721</v>
      </c>
      <c r="G20" s="29" t="s">
        <v>722</v>
      </c>
    </row>
    <row r="21">
      <c r="A21" s="28">
        <f>ROW()-ROW(Table_Phrases[N])</f>
        <v>19</v>
      </c>
      <c r="B21" s="28" t="s">
        <v>357</v>
      </c>
      <c r="C21" s="28">
        <v>0.0</v>
      </c>
      <c r="D21" s="28">
        <v>0.0</v>
      </c>
      <c r="E21" s="34" t="s">
        <v>670</v>
      </c>
      <c r="F21" s="29" t="s">
        <v>723</v>
      </c>
      <c r="G21" s="29" t="s">
        <v>724</v>
      </c>
    </row>
    <row r="22">
      <c r="A22" s="28">
        <f>ROW()-ROW(Table_Phrases[N])</f>
        <v>20</v>
      </c>
      <c r="B22" s="28" t="s">
        <v>360</v>
      </c>
      <c r="C22" s="28">
        <v>0.0</v>
      </c>
      <c r="D22" s="28">
        <v>0.0</v>
      </c>
      <c r="E22" s="34" t="s">
        <v>670</v>
      </c>
      <c r="F22" s="29" t="s">
        <v>725</v>
      </c>
      <c r="G22" s="29" t="s">
        <v>726</v>
      </c>
    </row>
    <row r="23">
      <c r="A23" s="28">
        <f>ROW()-ROW(Table_Phrases[N])</f>
        <v>21</v>
      </c>
      <c r="B23" s="28" t="s">
        <v>363</v>
      </c>
      <c r="C23" s="28">
        <v>0.0</v>
      </c>
      <c r="D23" s="28">
        <v>0.0</v>
      </c>
      <c r="E23" s="34" t="s">
        <v>670</v>
      </c>
      <c r="F23" s="29" t="s">
        <v>727</v>
      </c>
      <c r="G23" s="29" t="s">
        <v>728</v>
      </c>
    </row>
    <row r="24">
      <c r="A24" s="28">
        <f>ROW()-ROW(Table_Phrases[N])</f>
        <v>22</v>
      </c>
      <c r="B24" s="28" t="s">
        <v>576</v>
      </c>
      <c r="C24" s="28">
        <v>1.0</v>
      </c>
      <c r="D24" s="28">
        <v>0.0</v>
      </c>
      <c r="E24" s="34" t="s">
        <v>670</v>
      </c>
      <c r="F24" s="29" t="s">
        <v>729</v>
      </c>
      <c r="G24" s="29" t="s">
        <v>730</v>
      </c>
    </row>
    <row r="25">
      <c r="A25" s="28">
        <f>ROW()-ROW(Table_Phrases[N])</f>
        <v>23</v>
      </c>
      <c r="B25" s="28" t="s">
        <v>731</v>
      </c>
      <c r="C25" s="28">
        <v>0.0</v>
      </c>
      <c r="D25" s="28">
        <v>0.0</v>
      </c>
      <c r="E25" s="34" t="s">
        <v>670</v>
      </c>
      <c r="F25" s="29" t="s">
        <v>732</v>
      </c>
      <c r="G25" s="29" t="s">
        <v>733</v>
      </c>
    </row>
    <row r="26">
      <c r="A26" s="28">
        <f>ROW()-ROW(Table_Phrases[N])</f>
        <v>24</v>
      </c>
      <c r="B26" s="28" t="s">
        <v>734</v>
      </c>
      <c r="C26" s="28">
        <v>1.0</v>
      </c>
      <c r="D26" s="28">
        <v>0.0</v>
      </c>
      <c r="E26" s="34" t="s">
        <v>670</v>
      </c>
      <c r="F26" s="29" t="s">
        <v>735</v>
      </c>
      <c r="G26" s="29" t="s">
        <v>736</v>
      </c>
    </row>
    <row r="27">
      <c r="A27" s="28">
        <f>ROW()-ROW(Table_Phrases[N])</f>
        <v>25</v>
      </c>
      <c r="B27" s="28" t="s">
        <v>737</v>
      </c>
      <c r="C27" s="28">
        <v>0.0</v>
      </c>
      <c r="D27" s="28">
        <v>0.0</v>
      </c>
      <c r="E27" s="34" t="s">
        <v>670</v>
      </c>
      <c r="F27" s="29" t="s">
        <v>738</v>
      </c>
      <c r="G27" s="29" t="s">
        <v>739</v>
      </c>
    </row>
    <row r="28">
      <c r="A28" s="28">
        <f>ROW()-ROW(Table_Phrases[N])</f>
        <v>26</v>
      </c>
      <c r="B28" s="28" t="s">
        <v>740</v>
      </c>
      <c r="C28" s="28">
        <v>1.0</v>
      </c>
      <c r="D28" s="28">
        <v>0.0</v>
      </c>
      <c r="E28" s="34" t="s">
        <v>670</v>
      </c>
      <c r="F28" s="29" t="s">
        <v>741</v>
      </c>
      <c r="G28" s="29" t="s">
        <v>742</v>
      </c>
    </row>
    <row r="29">
      <c r="A29" s="28">
        <f>ROW()-ROW(Table_Phrases[N])</f>
        <v>27</v>
      </c>
      <c r="B29" s="28" t="s">
        <v>743</v>
      </c>
      <c r="C29" s="28">
        <v>0.0</v>
      </c>
      <c r="D29" s="28">
        <v>0.0</v>
      </c>
      <c r="E29" s="34" t="s">
        <v>670</v>
      </c>
      <c r="F29" s="29" t="s">
        <v>744</v>
      </c>
      <c r="G29" s="29" t="s">
        <v>745</v>
      </c>
    </row>
    <row r="30">
      <c r="A30" s="28">
        <f>ROW()-ROW(Table_Phrases[N])</f>
        <v>28</v>
      </c>
      <c r="B30" s="28" t="s">
        <v>746</v>
      </c>
      <c r="C30" s="28">
        <v>1.0</v>
      </c>
      <c r="D30" s="28">
        <v>0.0</v>
      </c>
      <c r="E30" s="34" t="s">
        <v>670</v>
      </c>
      <c r="F30" s="29" t="s">
        <v>747</v>
      </c>
      <c r="G30" s="29" t="s">
        <v>748</v>
      </c>
    </row>
    <row r="31">
      <c r="A31" s="28">
        <f>ROW()-ROW(Table_Phrases[N])</f>
        <v>29</v>
      </c>
      <c r="B31" s="28" t="s">
        <v>749</v>
      </c>
      <c r="C31" s="28">
        <v>0.0</v>
      </c>
      <c r="D31" s="28">
        <v>0.0</v>
      </c>
      <c r="E31" s="34" t="s">
        <v>670</v>
      </c>
      <c r="F31" s="29" t="s">
        <v>750</v>
      </c>
      <c r="G31" s="29" t="s">
        <v>751</v>
      </c>
    </row>
    <row r="32">
      <c r="A32" s="28">
        <f>ROW()-ROW(Table_Phrases[N])</f>
        <v>30</v>
      </c>
      <c r="B32" s="28" t="s">
        <v>752</v>
      </c>
      <c r="C32" s="28">
        <v>1.0</v>
      </c>
      <c r="D32" s="28">
        <v>0.0</v>
      </c>
      <c r="E32" s="34" t="s">
        <v>670</v>
      </c>
      <c r="F32" s="29" t="s">
        <v>753</v>
      </c>
      <c r="G32" s="29" t="s">
        <v>754</v>
      </c>
    </row>
    <row r="33">
      <c r="A33" s="28">
        <f>ROW()-ROW(Table_Phrases[N])</f>
        <v>31</v>
      </c>
      <c r="B33" s="28" t="s">
        <v>755</v>
      </c>
      <c r="C33" s="28">
        <v>1.0</v>
      </c>
      <c r="D33" s="28">
        <v>0.0</v>
      </c>
      <c r="E33" s="34" t="s">
        <v>670</v>
      </c>
      <c r="F33" s="29" t="s">
        <v>756</v>
      </c>
      <c r="G33" s="29" t="s">
        <v>757</v>
      </c>
    </row>
    <row r="34">
      <c r="A34" s="28">
        <f>ROW()-ROW(Table_Phrases[N])</f>
        <v>32</v>
      </c>
      <c r="B34" s="28" t="s">
        <v>371</v>
      </c>
      <c r="C34" s="28">
        <v>0.0</v>
      </c>
      <c r="D34" s="28">
        <v>0.0</v>
      </c>
      <c r="E34" s="34" t="s">
        <v>670</v>
      </c>
      <c r="F34" s="29" t="s">
        <v>758</v>
      </c>
      <c r="G34" s="29" t="s">
        <v>759</v>
      </c>
    </row>
    <row r="35">
      <c r="A35" s="28">
        <f>ROW()-ROW(Table_Phrases[N])</f>
        <v>33</v>
      </c>
      <c r="B35" s="28" t="s">
        <v>585</v>
      </c>
      <c r="C35" s="28">
        <v>1.0</v>
      </c>
      <c r="D35" s="28">
        <v>0.0</v>
      </c>
      <c r="E35" s="34" t="s">
        <v>670</v>
      </c>
      <c r="F35" s="29" t="s">
        <v>760</v>
      </c>
      <c r="G35" s="29" t="s">
        <v>761</v>
      </c>
    </row>
    <row r="36">
      <c r="A36" s="28">
        <f>ROW()-ROW(Table_Phrases[N])</f>
        <v>34</v>
      </c>
      <c r="B36" s="28" t="s">
        <v>373</v>
      </c>
      <c r="C36" s="28">
        <v>0.0</v>
      </c>
      <c r="D36" s="28">
        <v>0.0</v>
      </c>
      <c r="E36" s="34" t="s">
        <v>670</v>
      </c>
      <c r="F36" s="29" t="s">
        <v>762</v>
      </c>
      <c r="G36" s="29" t="s">
        <v>763</v>
      </c>
    </row>
    <row r="37">
      <c r="A37" s="28">
        <f>ROW()-ROW(Table_Phrases[N])</f>
        <v>35</v>
      </c>
      <c r="B37" s="28" t="s">
        <v>375</v>
      </c>
      <c r="C37" s="28">
        <v>0.0</v>
      </c>
      <c r="D37" s="28">
        <v>0.0</v>
      </c>
      <c r="E37" s="34" t="s">
        <v>670</v>
      </c>
      <c r="F37" s="29" t="s">
        <v>764</v>
      </c>
      <c r="G37" s="29" t="s">
        <v>765</v>
      </c>
    </row>
    <row r="38">
      <c r="A38" s="28">
        <f>ROW()-ROW(Table_Phrases[N])</f>
        <v>36</v>
      </c>
      <c r="B38" s="28" t="s">
        <v>379</v>
      </c>
      <c r="C38" s="28">
        <v>0.0</v>
      </c>
      <c r="D38" s="28">
        <v>0.0</v>
      </c>
      <c r="E38" s="34" t="s">
        <v>670</v>
      </c>
      <c r="F38" s="29" t="s">
        <v>766</v>
      </c>
      <c r="G38" s="29" t="s">
        <v>767</v>
      </c>
    </row>
    <row r="39">
      <c r="A39" s="28">
        <f>ROW()-ROW(Table_Phrases[N])</f>
        <v>37</v>
      </c>
      <c r="B39" s="28" t="s">
        <v>380</v>
      </c>
      <c r="C39" s="28">
        <v>0.0</v>
      </c>
      <c r="D39" s="28">
        <v>0.0</v>
      </c>
      <c r="E39" s="34" t="s">
        <v>670</v>
      </c>
      <c r="F39" s="29" t="s">
        <v>768</v>
      </c>
      <c r="G39" s="29" t="s">
        <v>769</v>
      </c>
    </row>
    <row r="40">
      <c r="A40" s="28">
        <f>ROW()-ROW(Table_Phrases[N])</f>
        <v>38</v>
      </c>
      <c r="B40" s="28" t="s">
        <v>383</v>
      </c>
      <c r="C40" s="28">
        <v>0.0</v>
      </c>
      <c r="D40" s="28">
        <v>0.0</v>
      </c>
      <c r="E40" s="34" t="s">
        <v>670</v>
      </c>
      <c r="F40" s="29" t="s">
        <v>770</v>
      </c>
      <c r="G40" s="29" t="s">
        <v>771</v>
      </c>
    </row>
    <row r="41">
      <c r="A41" s="28">
        <f>ROW()-ROW(Table_Phrases[N])</f>
        <v>39</v>
      </c>
      <c r="B41" s="28" t="s">
        <v>386</v>
      </c>
      <c r="C41" s="28">
        <v>0.0</v>
      </c>
      <c r="D41" s="28">
        <v>0.0</v>
      </c>
      <c r="E41" s="34" t="s">
        <v>670</v>
      </c>
      <c r="F41" s="29" t="s">
        <v>772</v>
      </c>
      <c r="G41" s="29" t="s">
        <v>773</v>
      </c>
    </row>
    <row r="42">
      <c r="A42" s="28">
        <f>ROW()-ROW(Table_Phrases[N])</f>
        <v>40</v>
      </c>
      <c r="B42" s="28" t="s">
        <v>389</v>
      </c>
      <c r="C42" s="28">
        <v>0.0</v>
      </c>
      <c r="D42" s="28">
        <v>0.0</v>
      </c>
      <c r="E42" s="34" t="s">
        <v>670</v>
      </c>
      <c r="F42" s="29" t="s">
        <v>774</v>
      </c>
      <c r="G42" s="29" t="s">
        <v>775</v>
      </c>
    </row>
    <row r="43">
      <c r="A43" s="28">
        <f>ROW()-ROW(Table_Phrases[N])</f>
        <v>41</v>
      </c>
      <c r="B43" s="28" t="s">
        <v>392</v>
      </c>
      <c r="C43" s="28">
        <v>0.0</v>
      </c>
      <c r="D43" s="28">
        <v>0.0</v>
      </c>
      <c r="E43" s="34" t="s">
        <v>670</v>
      </c>
      <c r="F43" s="29" t="s">
        <v>776</v>
      </c>
      <c r="G43" s="29" t="s">
        <v>777</v>
      </c>
    </row>
    <row r="44">
      <c r="A44" s="28">
        <f>ROW()-ROW(Table_Phrases[N])</f>
        <v>42</v>
      </c>
      <c r="B44" s="28" t="s">
        <v>396</v>
      </c>
      <c r="C44" s="28">
        <v>0.0</v>
      </c>
      <c r="D44" s="28">
        <v>0.0</v>
      </c>
      <c r="E44" s="34" t="s">
        <v>670</v>
      </c>
      <c r="F44" s="29" t="s">
        <v>778</v>
      </c>
      <c r="G44" s="29" t="s">
        <v>779</v>
      </c>
    </row>
    <row r="45">
      <c r="A45" s="28">
        <f>ROW()-ROW(Table_Phrases[N])</f>
        <v>43</v>
      </c>
      <c r="B45" s="28" t="s">
        <v>398</v>
      </c>
      <c r="C45" s="28">
        <v>0.0</v>
      </c>
      <c r="D45" s="28">
        <v>0.0</v>
      </c>
      <c r="E45" s="34" t="s">
        <v>670</v>
      </c>
      <c r="F45" s="29" t="s">
        <v>780</v>
      </c>
      <c r="G45" s="29" t="s">
        <v>781</v>
      </c>
    </row>
    <row r="46">
      <c r="A46" s="28">
        <f>ROW()-ROW(Table_Phrases[N])</f>
        <v>44</v>
      </c>
      <c r="B46" s="28" t="s">
        <v>782</v>
      </c>
      <c r="C46" s="28">
        <v>0.0</v>
      </c>
      <c r="D46" s="28">
        <v>0.0</v>
      </c>
      <c r="E46" s="34" t="s">
        <v>670</v>
      </c>
      <c r="F46" s="29" t="s">
        <v>783</v>
      </c>
      <c r="G46" s="29" t="s">
        <v>784</v>
      </c>
    </row>
    <row r="47">
      <c r="A47" s="28">
        <f>ROW()-ROW(Table_Phrases[N])</f>
        <v>45</v>
      </c>
      <c r="B47" s="28" t="s">
        <v>402</v>
      </c>
      <c r="C47" s="28">
        <v>0.0</v>
      </c>
      <c r="D47" s="28">
        <v>0.0</v>
      </c>
      <c r="E47" s="34" t="s">
        <v>670</v>
      </c>
      <c r="F47" s="29" t="s">
        <v>785</v>
      </c>
      <c r="G47" s="29" t="s">
        <v>786</v>
      </c>
    </row>
    <row r="48">
      <c r="A48" s="28">
        <f>ROW()-ROW(Table_Phrases[N])</f>
        <v>46</v>
      </c>
      <c r="B48" s="28" t="s">
        <v>406</v>
      </c>
      <c r="C48" s="28">
        <v>0.0</v>
      </c>
      <c r="D48" s="28">
        <v>0.0</v>
      </c>
      <c r="E48" s="34" t="s">
        <v>670</v>
      </c>
      <c r="F48" s="29" t="s">
        <v>787</v>
      </c>
      <c r="G48" s="29" t="s">
        <v>788</v>
      </c>
    </row>
    <row r="49">
      <c r="A49" s="28">
        <f>ROW()-ROW(Table_Phrases[N])</f>
        <v>47</v>
      </c>
      <c r="B49" s="28" t="s">
        <v>789</v>
      </c>
      <c r="C49" s="28">
        <v>0.0</v>
      </c>
      <c r="D49" s="28">
        <v>0.0</v>
      </c>
      <c r="E49" s="34" t="s">
        <v>670</v>
      </c>
      <c r="F49" s="29" t="s">
        <v>790</v>
      </c>
      <c r="G49" s="29" t="s">
        <v>791</v>
      </c>
    </row>
    <row r="50">
      <c r="A50" s="28">
        <f>ROW()-ROW(Table_Phrases[N])</f>
        <v>48</v>
      </c>
      <c r="B50" s="28" t="s">
        <v>792</v>
      </c>
      <c r="C50" s="28">
        <v>1.0</v>
      </c>
      <c r="D50" s="28">
        <v>0.0</v>
      </c>
      <c r="E50" s="34" t="s">
        <v>670</v>
      </c>
      <c r="F50" s="29" t="s">
        <v>793</v>
      </c>
      <c r="G50" s="29" t="s">
        <v>794</v>
      </c>
    </row>
    <row r="51">
      <c r="A51" s="28">
        <f>ROW()-ROW(Table_Phrases[N])</f>
        <v>49</v>
      </c>
      <c r="B51" s="28" t="s">
        <v>795</v>
      </c>
      <c r="C51" s="28">
        <v>1.0</v>
      </c>
      <c r="D51" s="28">
        <v>0.0</v>
      </c>
      <c r="E51" s="34" t="s">
        <v>670</v>
      </c>
      <c r="F51" s="29" t="s">
        <v>796</v>
      </c>
      <c r="G51" s="29" t="s">
        <v>797</v>
      </c>
    </row>
    <row r="52">
      <c r="A52" s="28">
        <f>ROW()-ROW(Table_Phrases[N])</f>
        <v>50</v>
      </c>
      <c r="B52" s="28" t="s">
        <v>411</v>
      </c>
      <c r="C52" s="28">
        <v>0.0</v>
      </c>
      <c r="D52" s="28">
        <v>0.0</v>
      </c>
      <c r="E52" s="34" t="s">
        <v>670</v>
      </c>
      <c r="F52" s="29" t="s">
        <v>798</v>
      </c>
      <c r="G52" s="29" t="s">
        <v>799</v>
      </c>
    </row>
  </sheetData>
  <dataValidations>
    <dataValidation type="list" allowBlank="1" sqref="E2:E52">
      <formula1>#REF!</formula1>
    </dataValidation>
  </dataValidations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17.86"/>
    <col customWidth="1" min="3" max="3" width="38.29"/>
    <col customWidth="1" min="4" max="5" width="29.86"/>
    <col customWidth="1" min="6" max="6" width="48.29"/>
    <col customWidth="1" min="7" max="7" width="41.14"/>
    <col customWidth="1" min="8" max="8" width="42.86"/>
    <col customWidth="1" min="9" max="9" width="31.71"/>
  </cols>
  <sheetData>
    <row r="1">
      <c r="A1" s="19" t="s">
        <v>0</v>
      </c>
      <c r="B1" s="19" t="s">
        <v>800</v>
      </c>
      <c r="C1" s="21" t="s">
        <v>801</v>
      </c>
      <c r="D1" s="21" t="s">
        <v>802</v>
      </c>
      <c r="E1" s="21" t="s">
        <v>803</v>
      </c>
      <c r="F1" s="21" t="s">
        <v>804</v>
      </c>
      <c r="G1" s="21" t="s">
        <v>805</v>
      </c>
      <c r="H1" s="21" t="s">
        <v>806</v>
      </c>
      <c r="I1" s="21" t="s">
        <v>807</v>
      </c>
    </row>
    <row r="2" ht="186.0" customHeight="1">
      <c r="A2" s="22">
        <f t="shared" ref="A2:A8" si="1">ROW()-ROW($A$2)-1</f>
        <v>-1</v>
      </c>
      <c r="B2" s="22" t="s">
        <v>808</v>
      </c>
      <c r="C2" s="23" t="s">
        <v>207</v>
      </c>
      <c r="D2" s="42" t="str">
        <f>IFERROR(__xludf.DUMMYFUNCTION("ARRAYFORMULA(
TEXTJOIN(""|"",TRUE,
UNIQUE(TRANSPOSE(
SPLIT(TEXTJOIN("", "",TRUE,
G2
),"", "")
))
)
)"),"SPRITE_NONE")</f>
        <v>SPRITE_NONE</v>
      </c>
      <c r="E2" s="42" t="str">
        <f t="shared" ref="E2:E8" si="2">SUBSTITUTE(I2,", ","|")</f>
        <v>PHRASE_NONSENSE</v>
      </c>
      <c r="F2" s="42" t="str">
        <f>IFERROR(__xludf.DUMMYFUNCTION("ARRAYFORMULA(
TEXTJOIN(""|"",TRUE,
UNIQUE(TRANSPOSE(
SPLIT(TEXTJOIN("", "",TRUE,
H2
),"", "")
))
)
)"),"ITEM_NONE")</f>
        <v>ITEM_NONE</v>
      </c>
      <c r="G2" s="27" t="s">
        <v>207</v>
      </c>
      <c r="H2" s="27" t="s">
        <v>204</v>
      </c>
      <c r="I2" s="27" t="s">
        <v>669</v>
      </c>
    </row>
    <row r="3" ht="98.25" customHeight="1">
      <c r="A3" s="22">
        <f t="shared" si="1"/>
        <v>0</v>
      </c>
      <c r="B3" s="22" t="s">
        <v>809</v>
      </c>
      <c r="C3" s="23" t="s">
        <v>493</v>
      </c>
      <c r="D3" s="42" t="str">
        <f>IFERROR(__xludf.DUMMYFUNCTION("ARRAYFORMULA(
TEXTJOIN(""|"",TRUE,
UNIQUE(TRANSPOSE(
SPLIT(TEXTJOIN("", "",TRUE,
G3
),"", "")
))
)
)"),"BACKGROUND_ROOM1|SPRITE_ROOM1_DECO_TABLE")</f>
        <v>BACKGROUND_ROOM1|SPRITE_ROOM1_DECO_TABLE</v>
      </c>
      <c r="E3" s="42" t="str">
        <f t="shared" si="2"/>
        <v>PHRASE_NONSENSE</v>
      </c>
      <c r="F3" s="42" t="str">
        <f>IFERROR(__xludf.DUMMYFUNCTION("ARRAYFORMULA(
TEXTJOIN(""|"",TRUE,
UNIQUE(TRANSPOSE(
SPLIT(TEXTJOIN("", "",TRUE,
H3
),"", "")
))
)
)"),"ITEM_VICTIM|ITEM_WITNESS1|ITEM_WITNESS2|ITEM_WITNESS3|ITEM_ROOM1_DOOR_KITCHEN|ITEM_ROOM1_DOOR_MAIN")</f>
        <v>ITEM_VICTIM|ITEM_WITNESS1|ITEM_WITNESS2|ITEM_WITNESS3|ITEM_ROOM1_DOOR_KITCHEN|ITEM_ROOM1_DOOR_MAIN</v>
      </c>
      <c r="G3" s="27" t="s">
        <v>810</v>
      </c>
      <c r="H3" s="27" t="s">
        <v>811</v>
      </c>
      <c r="I3" s="27" t="s">
        <v>669</v>
      </c>
    </row>
    <row r="4">
      <c r="A4" s="22">
        <f t="shared" si="1"/>
        <v>1</v>
      </c>
      <c r="B4" s="22" t="s">
        <v>812</v>
      </c>
      <c r="C4" s="23" t="s">
        <v>505</v>
      </c>
      <c r="D4" s="42" t="str">
        <f>IFERROR(__xludf.DUMMYFUNCTION("ARRAYFORMULA(
TEXTJOIN(""|"",TRUE,
UNIQUE(TRANSPOSE(
SPLIT(TEXTJOIN("", "",TRUE,
G4
),"", "")
))
)
)"),"BACKGROUND_ROOM1_KITCHEN|SPRITE_ROOM1_JAM|SPRITE_ROOM1_KITCHEN_BASIN")</f>
        <v>BACKGROUND_ROOM1_KITCHEN|SPRITE_ROOM1_JAM|SPRITE_ROOM1_KITCHEN_BASIN</v>
      </c>
      <c r="E4" s="42" t="str">
        <f t="shared" si="2"/>
        <v>PHRASE_NONSENSE</v>
      </c>
      <c r="F4" s="42" t="str">
        <f>IFERROR(__xludf.DUMMYFUNCTION("ARRAYFORMULA(
TEXTJOIN(""|"",TRUE,
UNIQUE(TRANSPOSE(
SPLIT(TEXTJOIN("", "",TRUE,
H4
),"", "")
))
)
)"),"ITEM_ROOM1_SPOON|ITEM_ROOM1_DRAWER|ITEM_ROOM1_WINDOW|ITEM_DOOR_UNCONDITIONAL|ITEM_ROOM1_POISON_REMAIN|ITEM_ROOM1_SPOON_W_POIS|ITEM_ROOM1_TROWEL|ITEM_ROOM1_WINDOW_OP_1|ITEM_ROOM1_WINDOW_OP_2|ITEM_ROOM1_WINDOW_AS_DOOR")</f>
        <v>ITEM_ROOM1_SPOON|ITEM_ROOM1_DRAWER|ITEM_ROOM1_WINDOW|ITEM_DOOR_UNCONDITIONAL|ITEM_ROOM1_POISON_REMAIN|ITEM_ROOM1_SPOON_W_POIS|ITEM_ROOM1_TROWEL|ITEM_ROOM1_WINDOW_OP_1|ITEM_ROOM1_WINDOW_OP_2|ITEM_ROOM1_WINDOW_AS_DOOR</v>
      </c>
      <c r="G4" s="27" t="s">
        <v>813</v>
      </c>
      <c r="H4" s="27" t="s">
        <v>814</v>
      </c>
      <c r="I4" s="27" t="s">
        <v>669</v>
      </c>
    </row>
    <row r="5">
      <c r="A5" s="22">
        <f t="shared" si="1"/>
        <v>2</v>
      </c>
      <c r="B5" s="22" t="s">
        <v>815</v>
      </c>
      <c r="C5" s="23" t="s">
        <v>522</v>
      </c>
      <c r="D5" s="42" t="str">
        <f>IFERROR(__xludf.DUMMYFUNCTION("ARRAYFORMULA(
TEXTJOIN(""|"",TRUE,
UNIQUE(TRANSPOSE(
SPLIT(TEXTJOIN("", "",TRUE,
G5
),"", "")
))
)
)"),"BACKGROUND_ROOM1_GARDEN|SPRITE_ROOM1_DECO_BUSH_LAYER")</f>
        <v>BACKGROUND_ROOM1_GARDEN|SPRITE_ROOM1_DECO_BUSH_LAYER</v>
      </c>
      <c r="E5" s="42" t="str">
        <f t="shared" si="2"/>
        <v>PHRASE_NONSENSE</v>
      </c>
      <c r="F5" s="42" t="str">
        <f>IFERROR(__xludf.DUMMYFUNCTION("ARRAYFORMULA(
TEXTJOIN(""|"",TRUE,
UNIQUE(TRANSPOSE(
SPLIT(TEXTJOIN("", "",TRUE,
H5
),"", "")
))
)
)"),"ITEM_ROOM1_VALVE|ITEM_ROOM1_DOG|ITEM_ROOM1_CAR_DOOR_CLOSED|ITEM_ROOM1_CAR_KEYHOLE|ITEM_ROOM1_FOUNTAIN|ITEM_DOOR_UNCONDITIONAL|ITEM_ROOM1_CAR|ITEM_ROOM1_CAR_DOOR_AS_DOOR|ITEM_ROOM1_COIN")</f>
        <v>ITEM_ROOM1_VALVE|ITEM_ROOM1_DOG|ITEM_ROOM1_CAR_DOOR_CLOSED|ITEM_ROOM1_CAR_KEYHOLE|ITEM_ROOM1_FOUNTAIN|ITEM_DOOR_UNCONDITIONAL|ITEM_ROOM1_CAR|ITEM_ROOM1_CAR_DOOR_AS_DOOR|ITEM_ROOM1_COIN</v>
      </c>
      <c r="G5" s="27" t="s">
        <v>816</v>
      </c>
      <c r="H5" s="27" t="s">
        <v>817</v>
      </c>
      <c r="I5" s="27" t="s">
        <v>669</v>
      </c>
    </row>
    <row r="6">
      <c r="A6" s="22">
        <f t="shared" si="1"/>
        <v>3</v>
      </c>
      <c r="B6" s="22" t="s">
        <v>818</v>
      </c>
      <c r="C6" s="23" t="s">
        <v>532</v>
      </c>
      <c r="D6" s="42" t="str">
        <f>IFERROR(__xludf.DUMMYFUNCTION("ARRAYFORMULA(
TEXTJOIN(""|"",TRUE,
UNIQUE(TRANSPOSE(
SPLIT(TEXTJOIN("", "",TRUE,
G6
),"", "")
))
)
)"),"BACKGROUND_ROOM1_CAR|SPRITE_ROOM1_CLOAK")</f>
        <v>BACKGROUND_ROOM1_CAR|SPRITE_ROOM1_CLOAK</v>
      </c>
      <c r="E6" s="42" t="str">
        <f t="shared" si="2"/>
        <v>PHRASE_NONSENSE</v>
      </c>
      <c r="F6" s="42" t="str">
        <f>IFERROR(__xludf.DUMMYFUNCTION("ARRAYFORMULA(
TEXTJOIN(""|"",TRUE,
UNIQUE(TRANSPOSE(
SPLIT(TEXTJOIN("", "",TRUE,
H6
),"", "")
))
)
)"),"ITEM_ROOM1_MATCHES|ITEM_DOOR_UNCONDITIONAL")</f>
        <v>ITEM_ROOM1_MATCHES|ITEM_DOOR_UNCONDITIONAL</v>
      </c>
      <c r="G6" s="27" t="s">
        <v>819</v>
      </c>
      <c r="H6" s="27" t="s">
        <v>820</v>
      </c>
      <c r="I6" s="27" t="s">
        <v>669</v>
      </c>
    </row>
    <row r="7">
      <c r="A7" s="22">
        <f t="shared" si="1"/>
        <v>4</v>
      </c>
      <c r="B7" s="22" t="s">
        <v>821</v>
      </c>
      <c r="C7" s="23" t="s">
        <v>538</v>
      </c>
      <c r="D7" s="42" t="str">
        <f>IFERROR(__xludf.DUMMYFUNCTION("ARRAYFORMULA(
TEXTJOIN(""|"",TRUE,
UNIQUE(TRANSPOSE(
SPLIT(TEXTJOIN("", "",TRUE,
G7
),"", "")
))
)
)"),"BACKGROUND_ROOM1_CELLAR|FOREGROUND_ROOM1_CELLAR|SPRITE_ROOM1_COLUMN")</f>
        <v>BACKGROUND_ROOM1_CELLAR|FOREGROUND_ROOM1_CELLAR|SPRITE_ROOM1_COLUMN</v>
      </c>
      <c r="E7" s="42" t="str">
        <f t="shared" si="2"/>
        <v>PHRASE_NONSENSE</v>
      </c>
      <c r="F7" s="42" t="str">
        <f>IFERROR(__xludf.DUMMYFUNCTION("ARRAYFORMULA(
TEXTJOIN(""|"",TRUE,
UNIQUE(TRANSPOSE(
SPLIT(TEXTJOIN("", "",TRUE,
H7
),"", "")
))
)
)"),"ITEM_ROOM1_DARKNESS|ITEM_ROOM1_CANDLE|ITEM_ROOM1_LOCKPICK|ITEM_ROOM1_OIL_BOTTLES|ITEM_DOOR_UNCONDITIONAL")</f>
        <v>ITEM_ROOM1_DARKNESS|ITEM_ROOM1_CANDLE|ITEM_ROOM1_LOCKPICK|ITEM_ROOM1_OIL_BOTTLES|ITEM_DOOR_UNCONDITIONAL</v>
      </c>
      <c r="G7" s="27" t="s">
        <v>822</v>
      </c>
      <c r="H7" s="27" t="s">
        <v>823</v>
      </c>
      <c r="I7" s="27" t="s">
        <v>669</v>
      </c>
    </row>
    <row r="8">
      <c r="A8" s="22">
        <f t="shared" si="1"/>
        <v>5</v>
      </c>
      <c r="B8" s="22" t="s">
        <v>824</v>
      </c>
      <c r="C8" s="23" t="s">
        <v>207</v>
      </c>
      <c r="D8" s="42" t="str">
        <f>IFERROR(__xludf.DUMMYFUNCTION("ARRAYFORMULA(
TEXTJOIN(""|"",TRUE,
UNIQUE(TRANSPOSE(
SPLIT(TEXTJOIN("", "",TRUE,
G8
),"", "")
))
)
)"),"SPRITE_LAST")</f>
        <v>SPRITE_LAST</v>
      </c>
      <c r="E8" s="42" t="str">
        <f t="shared" si="2"/>
        <v>PHRASE_NONSENSE</v>
      </c>
      <c r="F8" s="42" t="str">
        <f>IFERROR(__xludf.DUMMYFUNCTION("ARRAYFORMULA(
TEXTJOIN(""|"",TRUE,
UNIQUE(TRANSPOSE(
SPLIT(TEXTJOIN("", "",TRUE,
H8
),"", "")
))
)
)"),"ITEM_LAST")</f>
        <v>ITEM_LAST</v>
      </c>
      <c r="G8" s="27" t="s">
        <v>331</v>
      </c>
      <c r="H8" s="27" t="s">
        <v>329</v>
      </c>
      <c r="I8" s="27" t="s">
        <v>669</v>
      </c>
    </row>
  </sheetData>
  <dataValidations>
    <dataValidation type="list" allowBlank="1" sqref="G2:I8">
      <formula1>#REF!</formula1>
    </dataValidation>
    <dataValidation type="list" allowBlank="1" sqref="C2:C8">
      <formula1>#REF!</formula1>
    </dataValidation>
  </dataValidations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3" width="38.86"/>
    <col customWidth="1" min="4" max="4" width="23.29"/>
    <col customWidth="1" min="6" max="6" width="38.86"/>
    <col customWidth="1" min="8" max="8" width="34.57"/>
  </cols>
  <sheetData>
    <row r="1">
      <c r="A1" s="19" t="s">
        <v>0</v>
      </c>
      <c r="B1" s="19" t="s">
        <v>825</v>
      </c>
    </row>
    <row r="2">
      <c r="A2" s="28">
        <f>ROW()-ROW(Table_Characters[N])</f>
        <v>0</v>
      </c>
      <c r="B2" s="28" t="s">
        <v>342</v>
      </c>
    </row>
    <row r="3">
      <c r="A3" s="28">
        <f>ROW()-ROW(Table_Characters[N])</f>
        <v>1</v>
      </c>
      <c r="B3" s="28" t="s">
        <v>347</v>
      </c>
    </row>
    <row r="4">
      <c r="A4" s="28">
        <f>ROW()-ROW(Table_Characters[N])</f>
        <v>2</v>
      </c>
      <c r="B4" s="28" t="s">
        <v>826</v>
      </c>
    </row>
    <row r="5">
      <c r="A5" s="28">
        <f>ROW()-ROW(Table_Characters[N])</f>
        <v>3</v>
      </c>
      <c r="B5" s="28" t="s">
        <v>827</v>
      </c>
    </row>
    <row r="6">
      <c r="A6" s="10"/>
      <c r="B6" s="10"/>
    </row>
    <row r="7">
      <c r="A7" s="19" t="s">
        <v>0</v>
      </c>
      <c r="B7" s="19" t="s">
        <v>828</v>
      </c>
    </row>
    <row r="8">
      <c r="A8" s="28">
        <v>0.0</v>
      </c>
      <c r="B8" s="28" t="s">
        <v>344</v>
      </c>
    </row>
    <row r="9">
      <c r="A9" s="28">
        <v>1.0</v>
      </c>
      <c r="B9" s="28" t="s">
        <v>378</v>
      </c>
    </row>
    <row r="10">
      <c r="A10" s="28">
        <v>2.0</v>
      </c>
      <c r="B10" s="28" t="s">
        <v>362</v>
      </c>
    </row>
    <row r="11">
      <c r="A11" s="28">
        <v>3.0</v>
      </c>
      <c r="B11" s="28" t="s">
        <v>385</v>
      </c>
    </row>
    <row r="12">
      <c r="A12" s="28">
        <v>4.0</v>
      </c>
      <c r="B12" s="28" t="s">
        <v>829</v>
      </c>
    </row>
    <row r="13">
      <c r="A13" s="28">
        <v>5.0</v>
      </c>
      <c r="B13" s="28" t="s">
        <v>388</v>
      </c>
    </row>
    <row r="15">
      <c r="A15" s="19" t="s">
        <v>0</v>
      </c>
      <c r="B15" s="19" t="s">
        <v>830</v>
      </c>
    </row>
    <row r="16">
      <c r="A16" s="28">
        <f>ROW()-ROW(Table_Interaction[N])</f>
        <v>0</v>
      </c>
      <c r="B16" s="28" t="s">
        <v>343</v>
      </c>
    </row>
    <row r="17">
      <c r="A17" s="28">
        <f>ROW()-ROW(Table_Interaction[N])</f>
        <v>1</v>
      </c>
      <c r="B17" s="28" t="s">
        <v>831</v>
      </c>
    </row>
    <row r="18">
      <c r="A18" s="28">
        <f>ROW()-ROW(Table_Interaction[N])</f>
        <v>2</v>
      </c>
      <c r="B18" s="28" t="s">
        <v>366</v>
      </c>
    </row>
    <row r="19">
      <c r="A19" s="28">
        <f>ROW()-ROW(Table_Interaction[N])</f>
        <v>3</v>
      </c>
      <c r="B19" s="28" t="s">
        <v>361</v>
      </c>
    </row>
    <row r="20">
      <c r="A20" s="28">
        <f>ROW()-ROW(Table_Interaction[N])</f>
        <v>4</v>
      </c>
      <c r="B20" s="28" t="s">
        <v>348</v>
      </c>
    </row>
    <row r="21">
      <c r="A21" s="28">
        <f>ROW()-ROW(Table_Interaction[N])</f>
        <v>5</v>
      </c>
      <c r="B21" s="28" t="s">
        <v>352</v>
      </c>
    </row>
    <row r="22">
      <c r="A22" s="28">
        <f>ROW()-ROW(Table_Interaction[N])</f>
        <v>6</v>
      </c>
      <c r="B22" s="28" t="s">
        <v>356</v>
      </c>
    </row>
    <row r="24">
      <c r="A24" s="19" t="s">
        <v>0</v>
      </c>
      <c r="B24" s="19" t="s">
        <v>832</v>
      </c>
    </row>
    <row r="25">
      <c r="A25" s="28">
        <f>ROW()-ROW(Table_Unchain_Type[N])</f>
        <v>0</v>
      </c>
      <c r="B25" s="28" t="s">
        <v>451</v>
      </c>
    </row>
    <row r="26">
      <c r="A26" s="28">
        <f>ROW()-ROW(Table_Unchain_Type[N])</f>
        <v>1</v>
      </c>
      <c r="B26" s="28" t="s">
        <v>440</v>
      </c>
    </row>
    <row r="27">
      <c r="A27" s="28">
        <f>ROW()-ROW(Table_Unchain_Type[N])</f>
        <v>2</v>
      </c>
      <c r="B27" s="28" t="s">
        <v>464</v>
      </c>
    </row>
    <row r="28">
      <c r="A28" s="28">
        <f>ROW()-ROW(Table_Unchain_Type[N])</f>
        <v>3</v>
      </c>
      <c r="B28" s="28" t="s">
        <v>442</v>
      </c>
    </row>
    <row r="29">
      <c r="A29" s="28">
        <f>ROW()-ROW(Table_Unchain_Type[N])</f>
        <v>4</v>
      </c>
      <c r="B29" s="28" t="s">
        <v>444</v>
      </c>
    </row>
    <row r="30">
      <c r="A30" s="28">
        <f>ROW()-ROW(Table_Unchain_Type[N])</f>
        <v>5</v>
      </c>
      <c r="B30" s="28" t="s">
        <v>426</v>
      </c>
    </row>
    <row r="31">
      <c r="A31" s="28">
        <f>ROW()-ROW(Table_Unchain_Type[N])</f>
        <v>6</v>
      </c>
      <c r="B31" s="28" t="s">
        <v>833</v>
      </c>
    </row>
    <row r="32">
      <c r="A32" s="28">
        <f>ROW()-ROW(Table_Unchain_Type[N])</f>
        <v>7</v>
      </c>
      <c r="B32" s="28" t="s">
        <v>422</v>
      </c>
    </row>
    <row r="34">
      <c r="A34" s="19" t="s">
        <v>0</v>
      </c>
      <c r="B34" s="19" t="s">
        <v>834</v>
      </c>
    </row>
    <row r="35">
      <c r="A35" s="28">
        <v>0.0</v>
      </c>
      <c r="B35" s="28" t="s">
        <v>668</v>
      </c>
    </row>
    <row r="36">
      <c r="A36" s="28">
        <v>1.0</v>
      </c>
      <c r="B36" s="28" t="s">
        <v>670</v>
      </c>
    </row>
    <row r="38">
      <c r="A38" s="19" t="s">
        <v>0</v>
      </c>
      <c r="B38" s="19" t="s">
        <v>835</v>
      </c>
    </row>
    <row r="39">
      <c r="A39" s="28">
        <f>ROW()-ROW(Table_Item_Family_Type[N])</f>
        <v>0</v>
      </c>
      <c r="B39" s="28" t="s">
        <v>206</v>
      </c>
    </row>
    <row r="40">
      <c r="A40" s="28">
        <f>ROW()-ROW(Table_Item_Family_Type[N])</f>
        <v>1</v>
      </c>
      <c r="B40" s="19" t="s">
        <v>233</v>
      </c>
    </row>
    <row r="41">
      <c r="A41" s="28">
        <f>ROW()-ROW(Table_Item_Family_Type[N])</f>
        <v>2</v>
      </c>
      <c r="B41" s="19" t="s">
        <v>240</v>
      </c>
    </row>
    <row r="42">
      <c r="A42" s="28">
        <f>ROW()-ROW(Table_Item_Family_Type[N])</f>
        <v>3</v>
      </c>
      <c r="B42" s="19" t="s">
        <v>218</v>
      </c>
    </row>
    <row r="43">
      <c r="A43" s="28">
        <f>ROW()-ROW(Table_Item_Family_Type[N])</f>
        <v>4</v>
      </c>
      <c r="B43" s="19" t="s">
        <v>211</v>
      </c>
    </row>
  </sheetData>
  <drawing r:id="rId1"/>
  <tableParts count="6">
    <tablePart r:id="rId8"/>
    <tablePart r:id="rId9"/>
    <tablePart r:id="rId10"/>
    <tablePart r:id="rId11"/>
    <tablePart r:id="rId12"/>
    <tablePart r:id="rId1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5.86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9" t="s">
        <v>0</v>
      </c>
      <c r="B1" s="19" t="s">
        <v>836</v>
      </c>
    </row>
    <row r="2">
      <c r="A2" s="28">
        <f t="shared" ref="A2:A21" si="1">ROW()-ROW($A$2)</f>
        <v>0</v>
      </c>
      <c r="B2" s="28" t="s">
        <v>341</v>
      </c>
    </row>
    <row r="3">
      <c r="A3" s="28">
        <f t="shared" si="1"/>
        <v>1</v>
      </c>
      <c r="B3" s="28" t="s">
        <v>423</v>
      </c>
    </row>
    <row r="4">
      <c r="A4" s="28">
        <f t="shared" si="1"/>
        <v>2</v>
      </c>
      <c r="B4" s="28" t="s">
        <v>351</v>
      </c>
    </row>
    <row r="5">
      <c r="A5" s="28">
        <f t="shared" si="1"/>
        <v>3</v>
      </c>
      <c r="B5" s="28" t="s">
        <v>431</v>
      </c>
    </row>
    <row r="6">
      <c r="A6" s="28">
        <f t="shared" si="1"/>
        <v>4</v>
      </c>
      <c r="B6" s="28" t="s">
        <v>434</v>
      </c>
    </row>
    <row r="7">
      <c r="A7" s="28">
        <f t="shared" si="1"/>
        <v>5</v>
      </c>
      <c r="B7" s="28" t="s">
        <v>359</v>
      </c>
    </row>
    <row r="8">
      <c r="A8" s="28">
        <f t="shared" si="1"/>
        <v>6</v>
      </c>
      <c r="B8" s="28" t="s">
        <v>364</v>
      </c>
    </row>
    <row r="9">
      <c r="A9" s="28">
        <f t="shared" si="1"/>
        <v>7</v>
      </c>
      <c r="B9" s="28" t="s">
        <v>372</v>
      </c>
    </row>
    <row r="10">
      <c r="A10" s="28">
        <f t="shared" si="1"/>
        <v>8</v>
      </c>
      <c r="B10" s="28" t="s">
        <v>448</v>
      </c>
    </row>
    <row r="11">
      <c r="A11" s="28">
        <f t="shared" si="1"/>
        <v>9</v>
      </c>
      <c r="B11" s="28" t="s">
        <v>374</v>
      </c>
    </row>
    <row r="12">
      <c r="A12" s="28">
        <f t="shared" si="1"/>
        <v>10</v>
      </c>
      <c r="B12" s="28" t="s">
        <v>376</v>
      </c>
    </row>
    <row r="13">
      <c r="A13" s="28">
        <f t="shared" si="1"/>
        <v>11</v>
      </c>
      <c r="B13" s="28" t="s">
        <v>381</v>
      </c>
    </row>
    <row r="14">
      <c r="A14" s="28">
        <f t="shared" si="1"/>
        <v>12</v>
      </c>
      <c r="B14" s="28" t="s">
        <v>384</v>
      </c>
    </row>
    <row r="15">
      <c r="A15" s="28">
        <f t="shared" si="1"/>
        <v>13</v>
      </c>
      <c r="B15" s="28" t="s">
        <v>390</v>
      </c>
    </row>
    <row r="16">
      <c r="A16" s="28">
        <f t="shared" si="1"/>
        <v>14</v>
      </c>
      <c r="B16" s="28" t="s">
        <v>393</v>
      </c>
    </row>
    <row r="17">
      <c r="A17" s="28">
        <f t="shared" si="1"/>
        <v>15</v>
      </c>
      <c r="B17" s="28" t="s">
        <v>399</v>
      </c>
    </row>
    <row r="18">
      <c r="A18" s="28">
        <f t="shared" si="1"/>
        <v>16</v>
      </c>
      <c r="B18" s="28" t="s">
        <v>403</v>
      </c>
    </row>
    <row r="19">
      <c r="A19" s="28">
        <f t="shared" si="1"/>
        <v>17</v>
      </c>
      <c r="B19" s="28" t="s">
        <v>407</v>
      </c>
    </row>
    <row r="20">
      <c r="A20" s="28">
        <f t="shared" si="1"/>
        <v>18</v>
      </c>
      <c r="B20" s="28" t="s">
        <v>837</v>
      </c>
    </row>
    <row r="21">
      <c r="A21" s="28">
        <f t="shared" si="1"/>
        <v>19</v>
      </c>
      <c r="B21" s="28" t="s">
        <v>838</v>
      </c>
    </row>
    <row r="23">
      <c r="A23" s="19" t="s">
        <v>0</v>
      </c>
      <c r="B23" s="19" t="s">
        <v>839</v>
      </c>
      <c r="C23" s="43" t="s">
        <v>197</v>
      </c>
      <c r="D23" s="43" t="s">
        <v>840</v>
      </c>
      <c r="E23" s="43" t="s">
        <v>841</v>
      </c>
    </row>
    <row r="24">
      <c r="A24" s="28">
        <f>ROW()-ROW(Table_Memento_Parent[N])</f>
        <v>0</v>
      </c>
      <c r="B24" s="28" t="s">
        <v>842</v>
      </c>
      <c r="C24" s="30" t="s">
        <v>205</v>
      </c>
      <c r="D24" s="30" t="s">
        <v>207</v>
      </c>
      <c r="E24" s="44" t="str">
        <f>IFERROR(__xludf.DUMMYFUNCTION("ArrayFormula(SUBSTITUTE(SUBSTITUTE(JOIN(""|"",UNIQUE(IF(Table_Memento[Parent]=B24,Table_Memento[MEMENTO_ID],""Ñ""))),""Ñ|"",""""),""|Ñ"",""""))"),"MEMENTO_NONE")</f>
        <v>MEMENTO_NONE</v>
      </c>
    </row>
    <row r="25">
      <c r="A25" s="28">
        <f>ROW()-ROW(Table_Memento_Parent[N])</f>
        <v>1</v>
      </c>
      <c r="B25" s="28" t="s">
        <v>843</v>
      </c>
      <c r="C25" s="30" t="s">
        <v>605</v>
      </c>
      <c r="D25" s="30" t="s">
        <v>219</v>
      </c>
      <c r="E25" s="44" t="str">
        <f>IFERROR(__xludf.DUMMYFUNCTION("ArrayFormula(SUBSTITUTE(SUBSTITUTE(JOIN(""|"",UNIQUE(IF(Table_Memento[Parent]=B25,Table_Memento[MEMENTO_ID],""Ñ""))),""Ñ|"",""""),""|Ñ"",""""))"),"MEMENTO_VICTIM_CASE_0|MEMENTO_VICTIM_CASE_1|MEMENTO_VICTIM_CASE_2")</f>
        <v>MEMENTO_VICTIM_CASE_0|MEMENTO_VICTIM_CASE_1|MEMENTO_VICTIM_CASE_2</v>
      </c>
    </row>
    <row r="26">
      <c r="A26" s="28">
        <f>ROW()-ROW(Table_Memento_Parent[N])</f>
        <v>2</v>
      </c>
      <c r="B26" s="28" t="s">
        <v>844</v>
      </c>
      <c r="C26" s="30" t="s">
        <v>612</v>
      </c>
      <c r="D26" s="30" t="s">
        <v>501</v>
      </c>
      <c r="E26" s="44" t="str">
        <f>IFERROR(__xludf.DUMMYFUNCTION("ArrayFormula(SUBSTITUTE(SUBSTITUTE(JOIN(""|"",UNIQUE(IF(Table_Memento[Parent]=B26,Table_Memento[MEMENTO_ID],""Ñ""))),""Ñ|"",""""),""|Ñ"",""""))"),"MEMENTO_CHASE_0|MEMENTO_CHASE_1")</f>
        <v>MEMENTO_CHASE_0|MEMENTO_CHASE_1</v>
      </c>
    </row>
    <row r="27">
      <c r="A27" s="28">
        <f>ROW()-ROW(Table_Memento_Parent[N])</f>
        <v>3</v>
      </c>
      <c r="B27" s="28" t="s">
        <v>845</v>
      </c>
      <c r="C27" s="30" t="s">
        <v>330</v>
      </c>
      <c r="D27" s="30" t="s">
        <v>207</v>
      </c>
      <c r="E27" s="44" t="str">
        <f>IFERROR(__xludf.DUMMYFUNCTION("ArrayFormula(SUBSTITUTE(SUBSTITUTE(JOIN(""|"",UNIQUE(IF(Table_Memento[Parent]=B27,Table_Memento[MEMENTO_ID],""Ñ""))),""Ñ|"",""""),""|Ñ"",""""))"),"MEMENTO_LAST")</f>
        <v>MEMENTO_LAST</v>
      </c>
    </row>
    <row r="29">
      <c r="A29" s="19" t="s">
        <v>0</v>
      </c>
      <c r="B29" s="19" t="s">
        <v>846</v>
      </c>
      <c r="C29" s="45" t="s">
        <v>847</v>
      </c>
      <c r="D29" s="45" t="s">
        <v>848</v>
      </c>
      <c r="E29" s="43" t="s">
        <v>849</v>
      </c>
      <c r="F29" s="45" t="s">
        <v>850</v>
      </c>
    </row>
    <row r="30">
      <c r="A30" s="28">
        <f>ROW()-ROW(Table_Memento[N])</f>
        <v>0</v>
      </c>
      <c r="B30" s="28" t="s">
        <v>427</v>
      </c>
      <c r="C30" s="34" t="s">
        <v>842</v>
      </c>
      <c r="D30" s="34" t="s">
        <v>346</v>
      </c>
      <c r="E30" s="46" t="s">
        <v>851</v>
      </c>
      <c r="F30" s="47" t="b">
        <v>0</v>
      </c>
    </row>
    <row r="31">
      <c r="A31" s="28">
        <f>ROW()-ROW(Table_Memento[N])</f>
        <v>1</v>
      </c>
      <c r="B31" s="28" t="s">
        <v>424</v>
      </c>
      <c r="C31" s="34" t="s">
        <v>843</v>
      </c>
      <c r="D31" s="34" t="s">
        <v>691</v>
      </c>
      <c r="E31" s="46" t="s">
        <v>851</v>
      </c>
      <c r="F31" s="47" t="b">
        <v>0</v>
      </c>
    </row>
    <row r="32">
      <c r="A32" s="28">
        <f>ROW()-ROW(Table_Memento[N])</f>
        <v>2</v>
      </c>
      <c r="B32" s="28" t="s">
        <v>429</v>
      </c>
      <c r="C32" s="34" t="s">
        <v>843</v>
      </c>
      <c r="D32" s="34" t="s">
        <v>694</v>
      </c>
      <c r="E32" s="46" t="s">
        <v>851</v>
      </c>
      <c r="F32" s="47" t="b">
        <v>0</v>
      </c>
    </row>
    <row r="33">
      <c r="A33" s="28">
        <f>ROW()-ROW(Table_Memento[N])</f>
        <v>3</v>
      </c>
      <c r="B33" s="28" t="s">
        <v>473</v>
      </c>
      <c r="C33" s="34" t="s">
        <v>843</v>
      </c>
      <c r="D33" s="34" t="s">
        <v>782</v>
      </c>
      <c r="E33" s="46" t="s">
        <v>851</v>
      </c>
      <c r="F33" s="47" t="b">
        <v>0</v>
      </c>
    </row>
    <row r="34">
      <c r="A34" s="28">
        <f>ROW()-ROW(Table_Memento[N])</f>
        <v>4</v>
      </c>
      <c r="B34" s="28" t="s">
        <v>432</v>
      </c>
      <c r="C34" s="34" t="s">
        <v>844</v>
      </c>
      <c r="D34" s="34" t="s">
        <v>717</v>
      </c>
      <c r="E34" s="46" t="s">
        <v>851</v>
      </c>
      <c r="F34" s="47" t="b">
        <v>0</v>
      </c>
    </row>
    <row r="35">
      <c r="A35" s="28">
        <f>ROW()-ROW(Table_Memento[N])</f>
        <v>5</v>
      </c>
      <c r="B35" s="28" t="s">
        <v>438</v>
      </c>
      <c r="C35" s="34" t="s">
        <v>844</v>
      </c>
      <c r="D35" s="34" t="s">
        <v>720</v>
      </c>
      <c r="E35" s="46" t="s">
        <v>851</v>
      </c>
      <c r="F35" s="47" t="b">
        <v>0</v>
      </c>
    </row>
    <row r="36">
      <c r="A36" s="28">
        <f>ROW()-ROW(Table_Memento[N])</f>
        <v>6</v>
      </c>
      <c r="B36" s="28" t="s">
        <v>852</v>
      </c>
      <c r="C36" s="34" t="s">
        <v>845</v>
      </c>
      <c r="D36" s="34" t="s">
        <v>346</v>
      </c>
      <c r="E36" s="46" t="s">
        <v>851</v>
      </c>
      <c r="F36" s="47" t="b">
        <v>0</v>
      </c>
    </row>
    <row r="38">
      <c r="A38" s="19" t="s">
        <v>0</v>
      </c>
      <c r="B38" s="19" t="s">
        <v>853</v>
      </c>
      <c r="C38" s="21" t="s">
        <v>854</v>
      </c>
    </row>
    <row r="39">
      <c r="A39" s="28">
        <f>ROW()-ROW(Table_Memento_Combi[N])</f>
        <v>0</v>
      </c>
      <c r="B39" s="28" t="s">
        <v>851</v>
      </c>
      <c r="C39" s="48" t="s">
        <v>341</v>
      </c>
    </row>
    <row r="41">
      <c r="A41" s="19" t="s">
        <v>0</v>
      </c>
      <c r="B41" s="19" t="s">
        <v>855</v>
      </c>
    </row>
    <row r="42">
      <c r="A42" s="49">
        <f>ROW()-ROW(Table_EventsCombi[N])</f>
        <v>0</v>
      </c>
      <c r="B42" s="50" t="str">
        <f>IFERROR(__xludf.DUMMYFUNCTION("ArrayFormula(FLATTEN(Table_Events[EVENT_ID],""(NOT)""&amp;Table_Events[EVENT_ID]))"),"EVENT_NONE")</f>
        <v>EVENT_NONE</v>
      </c>
    </row>
    <row r="43">
      <c r="A43" s="49">
        <f>ROW()-ROW(Table_EventsCombi[N])</f>
        <v>1</v>
      </c>
      <c r="B43" s="50" t="str">
        <f>IFERROR(__xludf.DUMMYFUNCTION("""COMPUTED_VALUE"""),"EVENT_FIRST")</f>
        <v>EVENT_FIRST</v>
      </c>
    </row>
    <row r="44">
      <c r="A44" s="49">
        <f>ROW()-ROW(Table_EventsCombi[N])</f>
        <v>2</v>
      </c>
      <c r="B44" s="50" t="str">
        <f>IFERROR(__xludf.DUMMYFUNCTION("""COMPUTED_VALUE"""),"EVENT_ROOM1_OBSERVE_VICTIM")</f>
        <v>EVENT_ROOM1_OBSERVE_VICTIM</v>
      </c>
    </row>
    <row r="45">
      <c r="A45" s="49">
        <f>ROW()-ROW(Table_EventsCombi[N])</f>
        <v>3</v>
      </c>
      <c r="B45" s="50" t="str">
        <f>IFERROR(__xludf.DUMMYFUNCTION("""COMPUTED_VALUE"""),"EVENT_ROOM1_AWARE_CHASE_1")</f>
        <v>EVENT_ROOM1_AWARE_CHASE_1</v>
      </c>
    </row>
    <row r="46">
      <c r="A46" s="49">
        <f>ROW()-ROW(Table_EventsCombi[N])</f>
        <v>4</v>
      </c>
      <c r="B46" s="50" t="str">
        <f>IFERROR(__xludf.DUMMYFUNCTION("""COMPUTED_VALUE"""),"EVENT_ROOM1_AWARE_CHASE_2")</f>
        <v>EVENT_ROOM1_AWARE_CHASE_2</v>
      </c>
    </row>
    <row r="47">
      <c r="A47" s="49">
        <f>ROW()-ROW(Table_EventsCombi[N])</f>
        <v>5</v>
      </c>
      <c r="B47" s="50" t="str">
        <f>IFERROR(__xludf.DUMMYFUNCTION("""COMPUTED_VALUE"""),"EVENT_ROOM1_NEED_FLEE")</f>
        <v>EVENT_ROOM1_NEED_FLEE</v>
      </c>
    </row>
    <row r="48">
      <c r="A48" s="49">
        <f>ROW()-ROW(Table_EventsCombi[N])</f>
        <v>6</v>
      </c>
      <c r="B48" s="50" t="str">
        <f>IFERROR(__xludf.DUMMYFUNCTION("""COMPUTED_VALUE"""),"EVENT_ROOM1_SPOON_TAKEN")</f>
        <v>EVENT_ROOM1_SPOON_TAKEN</v>
      </c>
    </row>
    <row r="49">
      <c r="A49" s="49">
        <f>ROW()-ROW(Table_EventsCombi[N])</f>
        <v>7</v>
      </c>
      <c r="B49" s="50" t="str">
        <f>IFERROR(__xludf.DUMMYFUNCTION("""COMPUTED_VALUE"""),"EVENT_ROOM1_SPOON_WITH_POISON_TAKEN")</f>
        <v>EVENT_ROOM1_SPOON_WITH_POISON_TAKEN</v>
      </c>
    </row>
    <row r="50">
      <c r="A50" s="49">
        <f>ROW()-ROW(Table_EventsCombi[N])</f>
        <v>8</v>
      </c>
      <c r="B50" s="50" t="str">
        <f>IFERROR(__xludf.DUMMYFUNCTION("""COMPUTED_VALUE"""),"EVENT_ROOM1_OLD_KEY_TAKEN")</f>
        <v>EVENT_ROOM1_OLD_KEY_TAKEN</v>
      </c>
    </row>
    <row r="51">
      <c r="A51" s="49">
        <f>ROW()-ROW(Table_EventsCombi[N])</f>
        <v>9</v>
      </c>
      <c r="B51" s="50" t="str">
        <f>IFERROR(__xludf.DUMMYFUNCTION("""COMPUTED_VALUE"""),"EVENT_ROOM1_WINDOW_OPENED")</f>
        <v>EVENT_ROOM1_WINDOW_OPENED</v>
      </c>
    </row>
    <row r="52">
      <c r="A52" s="49">
        <f>ROW()-ROW(Table_EventsCombi[N])</f>
        <v>10</v>
      </c>
      <c r="B52" s="50" t="str">
        <f>IFERROR(__xludf.DUMMYFUNCTION("""COMPUTED_VALUE"""),"EVENT_ROOM1_TROWEL_TAKEN")</f>
        <v>EVENT_ROOM1_TROWEL_TAKEN</v>
      </c>
    </row>
    <row r="53">
      <c r="A53" s="49">
        <f>ROW()-ROW(Table_EventsCombi[N])</f>
        <v>11</v>
      </c>
      <c r="B53" s="50" t="str">
        <f>IFERROR(__xludf.DUMMYFUNCTION("""COMPUTED_VALUE"""),"EVENT_ROOM1_CAR_OPENED")</f>
        <v>EVENT_ROOM1_CAR_OPENED</v>
      </c>
    </row>
    <row r="54">
      <c r="A54" s="49">
        <f>ROW()-ROW(Table_EventsCombi[N])</f>
        <v>12</v>
      </c>
      <c r="B54" s="50" t="str">
        <f>IFERROR(__xludf.DUMMYFUNCTION("""COMPUTED_VALUE"""),"EVENT_ROOM1_MATCHES_TAKEN")</f>
        <v>EVENT_ROOM1_MATCHES_TAKEN</v>
      </c>
    </row>
    <row r="55">
      <c r="A55" s="49">
        <f>ROW()-ROW(Table_EventsCombi[N])</f>
        <v>13</v>
      </c>
      <c r="B55" s="50" t="str">
        <f>IFERROR(__xludf.DUMMYFUNCTION("""COMPUTED_VALUE"""),"EVENT_ROOM1_CANDLE_FIRE")</f>
        <v>EVENT_ROOM1_CANDLE_FIRE</v>
      </c>
    </row>
    <row r="56">
      <c r="A56" s="49">
        <f>ROW()-ROW(Table_EventsCombi[N])</f>
        <v>14</v>
      </c>
      <c r="B56" s="50" t="str">
        <f>IFERROR(__xludf.DUMMYFUNCTION("""COMPUTED_VALUE"""),"EVENT_ROOM1_TAKE_LOCKPICK")</f>
        <v>EVENT_ROOM1_TAKE_LOCKPICK</v>
      </c>
    </row>
    <row r="57">
      <c r="A57" s="49">
        <f>ROW()-ROW(Table_EventsCombi[N])</f>
        <v>15</v>
      </c>
      <c r="B57" s="50" t="str">
        <f>IFERROR(__xludf.DUMMYFUNCTION("""COMPUTED_VALUE"""),"EVENT_ROOM1_DRAWER_OPENED")</f>
        <v>EVENT_ROOM1_DRAWER_OPENED</v>
      </c>
    </row>
    <row r="58">
      <c r="A58" s="49">
        <f>ROW()-ROW(Table_EventsCombi[N])</f>
        <v>16</v>
      </c>
      <c r="B58" s="50" t="str">
        <f>IFERROR(__xludf.DUMMYFUNCTION("""COMPUTED_VALUE"""),"EVENT_ROOM1_TAKE_CONTRACT")</f>
        <v>EVENT_ROOM1_TAKE_CONTRACT</v>
      </c>
    </row>
    <row r="59">
      <c r="A59" s="49">
        <f>ROW()-ROW(Table_EventsCombi[N])</f>
        <v>17</v>
      </c>
      <c r="B59" s="50" t="str">
        <f>IFERROR(__xludf.DUMMYFUNCTION("""COMPUTED_VALUE"""),"EVENT_ROOM1_TAKE_JAR")</f>
        <v>EVENT_ROOM1_TAKE_JAR</v>
      </c>
    </row>
    <row r="60">
      <c r="A60" s="49">
        <f>ROW()-ROW(Table_EventsCombi[N])</f>
        <v>18</v>
      </c>
      <c r="B60" s="50" t="str">
        <f>IFERROR(__xludf.DUMMYFUNCTION("""COMPUTED_VALUE"""),"EVENT_ROOM1_FOUNTAIN_FULL")</f>
        <v>EVENT_ROOM1_FOUNTAIN_FULL</v>
      </c>
    </row>
    <row r="61">
      <c r="A61" s="49">
        <f>ROW()-ROW(Table_EventsCombi[N])</f>
        <v>19</v>
      </c>
      <c r="B61" s="50" t="str">
        <f>IFERROR(__xludf.DUMMYFUNCTION("""COMPUTED_VALUE"""),"EVENT_LAST")</f>
        <v>EVENT_LAST</v>
      </c>
    </row>
    <row r="62">
      <c r="A62" s="49">
        <f>ROW()-ROW(Table_EventsCombi[N])</f>
        <v>20</v>
      </c>
      <c r="B62" s="50" t="str">
        <f>IFERROR(__xludf.DUMMYFUNCTION("""COMPUTED_VALUE"""),"(NOT)EVENT_NONE")</f>
        <v>(NOT)EVENT_NONE</v>
      </c>
    </row>
    <row r="63">
      <c r="A63" s="49">
        <f>ROW()-ROW(Table_EventsCombi[N])</f>
        <v>21</v>
      </c>
      <c r="B63" s="50" t="str">
        <f>IFERROR(__xludf.DUMMYFUNCTION("""COMPUTED_VALUE"""),"(NOT)EVENT_FIRST")</f>
        <v>(NOT)EVENT_FIRST</v>
      </c>
    </row>
    <row r="64">
      <c r="A64" s="49">
        <f>ROW()-ROW(Table_EventsCombi[N])</f>
        <v>22</v>
      </c>
      <c r="B64" s="50" t="str">
        <f>IFERROR(__xludf.DUMMYFUNCTION("""COMPUTED_VALUE"""),"(NOT)EVENT_ROOM1_OBSERVE_VICTIM")</f>
        <v>(NOT)EVENT_ROOM1_OBSERVE_VICTIM</v>
      </c>
    </row>
    <row r="65">
      <c r="A65" s="49">
        <f>ROW()-ROW(Table_EventsCombi[N])</f>
        <v>23</v>
      </c>
      <c r="B65" s="50" t="str">
        <f>IFERROR(__xludf.DUMMYFUNCTION("""COMPUTED_VALUE"""),"(NOT)EVENT_ROOM1_AWARE_CHASE_1")</f>
        <v>(NOT)EVENT_ROOM1_AWARE_CHASE_1</v>
      </c>
    </row>
    <row r="66">
      <c r="A66" s="49">
        <f>ROW()-ROW(Table_EventsCombi[N])</f>
        <v>24</v>
      </c>
      <c r="B66" s="50" t="str">
        <f>IFERROR(__xludf.DUMMYFUNCTION("""COMPUTED_VALUE"""),"(NOT)EVENT_ROOM1_AWARE_CHASE_2")</f>
        <v>(NOT)EVENT_ROOM1_AWARE_CHASE_2</v>
      </c>
    </row>
    <row r="67">
      <c r="A67" s="49">
        <f>ROW()-ROW(Table_EventsCombi[N])</f>
        <v>25</v>
      </c>
      <c r="B67" s="50" t="str">
        <f>IFERROR(__xludf.DUMMYFUNCTION("""COMPUTED_VALUE"""),"(NOT)EVENT_ROOM1_NEED_FLEE")</f>
        <v>(NOT)EVENT_ROOM1_NEED_FLEE</v>
      </c>
    </row>
    <row r="68">
      <c r="A68" s="49">
        <f>ROW()-ROW(Table_EventsCombi[N])</f>
        <v>26</v>
      </c>
      <c r="B68" s="50" t="str">
        <f>IFERROR(__xludf.DUMMYFUNCTION("""COMPUTED_VALUE"""),"(NOT)EVENT_ROOM1_SPOON_TAKEN")</f>
        <v>(NOT)EVENT_ROOM1_SPOON_TAKEN</v>
      </c>
    </row>
    <row r="69">
      <c r="A69" s="49">
        <f>ROW()-ROW(Table_EventsCombi[N])</f>
        <v>27</v>
      </c>
      <c r="B69" s="50" t="str">
        <f>IFERROR(__xludf.DUMMYFUNCTION("""COMPUTED_VALUE"""),"(NOT)EVENT_ROOM1_SPOON_WITH_POISON_TAKEN")</f>
        <v>(NOT)EVENT_ROOM1_SPOON_WITH_POISON_TAKEN</v>
      </c>
    </row>
    <row r="70">
      <c r="A70" s="49">
        <f>ROW()-ROW(Table_EventsCombi[N])</f>
        <v>28</v>
      </c>
      <c r="B70" s="50" t="str">
        <f>IFERROR(__xludf.DUMMYFUNCTION("""COMPUTED_VALUE"""),"(NOT)EVENT_ROOM1_OLD_KEY_TAKEN")</f>
        <v>(NOT)EVENT_ROOM1_OLD_KEY_TAKEN</v>
      </c>
    </row>
    <row r="71">
      <c r="A71" s="49">
        <f>ROW()-ROW(Table_EventsCombi[N])</f>
        <v>29</v>
      </c>
      <c r="B71" s="50" t="str">
        <f>IFERROR(__xludf.DUMMYFUNCTION("""COMPUTED_VALUE"""),"(NOT)EVENT_ROOM1_WINDOW_OPENED")</f>
        <v>(NOT)EVENT_ROOM1_WINDOW_OPENED</v>
      </c>
    </row>
    <row r="72">
      <c r="A72" s="49">
        <f>ROW()-ROW(Table_EventsCombi[N])</f>
        <v>30</v>
      </c>
      <c r="B72" s="50" t="str">
        <f>IFERROR(__xludf.DUMMYFUNCTION("""COMPUTED_VALUE"""),"(NOT)EVENT_ROOM1_TROWEL_TAKEN")</f>
        <v>(NOT)EVENT_ROOM1_TROWEL_TAKEN</v>
      </c>
    </row>
    <row r="73">
      <c r="A73" s="49">
        <f>ROW()-ROW(Table_EventsCombi[N])</f>
        <v>31</v>
      </c>
      <c r="B73" s="50" t="str">
        <f>IFERROR(__xludf.DUMMYFUNCTION("""COMPUTED_VALUE"""),"(NOT)EVENT_ROOM1_CAR_OPENED")</f>
        <v>(NOT)EVENT_ROOM1_CAR_OPENED</v>
      </c>
    </row>
    <row r="74">
      <c r="A74" s="49">
        <f>ROW()-ROW(Table_EventsCombi[N])</f>
        <v>32</v>
      </c>
      <c r="B74" s="50" t="str">
        <f>IFERROR(__xludf.DUMMYFUNCTION("""COMPUTED_VALUE"""),"(NOT)EVENT_ROOM1_MATCHES_TAKEN")</f>
        <v>(NOT)EVENT_ROOM1_MATCHES_TAKEN</v>
      </c>
    </row>
    <row r="75">
      <c r="A75" s="49">
        <f>ROW()-ROW(Table_EventsCombi[N])</f>
        <v>33</v>
      </c>
      <c r="B75" s="50" t="str">
        <f>IFERROR(__xludf.DUMMYFUNCTION("""COMPUTED_VALUE"""),"(NOT)EVENT_ROOM1_CANDLE_FIRE")</f>
        <v>(NOT)EVENT_ROOM1_CANDLE_FIRE</v>
      </c>
    </row>
    <row r="76">
      <c r="A76" s="49">
        <f>ROW()-ROW(Table_EventsCombi[N])</f>
        <v>34</v>
      </c>
      <c r="B76" s="50" t="str">
        <f>IFERROR(__xludf.DUMMYFUNCTION("""COMPUTED_VALUE"""),"(NOT)EVENT_ROOM1_TAKE_LOCKPICK")</f>
        <v>(NOT)EVENT_ROOM1_TAKE_LOCKPICK</v>
      </c>
    </row>
    <row r="77">
      <c r="A77" s="49">
        <f>ROW()-ROW(Table_EventsCombi[N])</f>
        <v>35</v>
      </c>
      <c r="B77" s="50" t="str">
        <f>IFERROR(__xludf.DUMMYFUNCTION("""COMPUTED_VALUE"""),"(NOT)EVENT_ROOM1_DRAWER_OPENED")</f>
        <v>(NOT)EVENT_ROOM1_DRAWER_OPENED</v>
      </c>
    </row>
    <row r="78">
      <c r="A78" s="49">
        <f>ROW()-ROW(Table_EventsCombi[N])</f>
        <v>36</v>
      </c>
      <c r="B78" s="50" t="str">
        <f>IFERROR(__xludf.DUMMYFUNCTION("""COMPUTED_VALUE"""),"(NOT)EVENT_ROOM1_TAKE_CONTRACT")</f>
        <v>(NOT)EVENT_ROOM1_TAKE_CONTRACT</v>
      </c>
    </row>
    <row r="79">
      <c r="A79" s="49">
        <f>ROW()-ROW(Table_EventsCombi[N])</f>
        <v>37</v>
      </c>
      <c r="B79" s="50" t="str">
        <f>IFERROR(__xludf.DUMMYFUNCTION("""COMPUTED_VALUE"""),"(NOT)EVENT_ROOM1_TAKE_JAR")</f>
        <v>(NOT)EVENT_ROOM1_TAKE_JAR</v>
      </c>
    </row>
    <row r="80">
      <c r="A80" s="49">
        <f>ROW()-ROW(Table_EventsCombi[N])</f>
        <v>38</v>
      </c>
      <c r="B80" s="50" t="str">
        <f>IFERROR(__xludf.DUMMYFUNCTION("""COMPUTED_VALUE"""),"(NOT)EVENT_ROOM1_FOUNTAIN_FULL")</f>
        <v>(NOT)EVENT_ROOM1_FOUNTAIN_FULL</v>
      </c>
    </row>
    <row r="81">
      <c r="A81" s="49">
        <f>ROW()-ROW(Table_EventsCombi[N])</f>
        <v>39</v>
      </c>
      <c r="B81" s="50" t="str">
        <f>IFERROR(__xludf.DUMMYFUNCTION("""COMPUTED_VALUE"""),"(NOT)EVENT_LAST")</f>
        <v>(NOT)EVENT_LAST</v>
      </c>
    </row>
    <row r="82">
      <c r="A82" s="49">
        <f>ROW()-ROW(Table_EventsCombi[N])</f>
        <v>40</v>
      </c>
      <c r="B82" s="50"/>
    </row>
    <row r="83">
      <c r="A83" s="49">
        <f>ROW()-ROW(Table_EventsCombi[N])</f>
        <v>41</v>
      </c>
      <c r="B83" s="50"/>
    </row>
  </sheetData>
  <dataValidations>
    <dataValidation type="list" allowBlank="1" sqref="E30:E36">
      <formula1>#REF!</formula1>
    </dataValidation>
    <dataValidation type="list" allowBlank="1" sqref="C24:D27 C30:D36 C39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8.57"/>
    <col customWidth="1" min="3" max="3" width="21.71"/>
  </cols>
  <sheetData>
    <row r="1">
      <c r="A1" s="10" t="s">
        <v>0</v>
      </c>
      <c r="B1" s="10" t="s">
        <v>856</v>
      </c>
      <c r="C1" s="10" t="s">
        <v>857</v>
      </c>
    </row>
    <row r="2">
      <c r="A2" s="10">
        <f t="shared" ref="A2:A32" si="1">ROW()-ROW($G$2)</f>
        <v>0</v>
      </c>
      <c r="B2" s="51" t="str">
        <f t="shared" ref="B2:B32" si="2">OFFSET(#REF!,A2,0)</f>
        <v>#REF!</v>
      </c>
      <c r="C2" s="10" t="s">
        <v>858</v>
      </c>
    </row>
    <row r="3">
      <c r="A3" s="10">
        <f t="shared" si="1"/>
        <v>1</v>
      </c>
      <c r="B3" s="51" t="str">
        <f t="shared" si="2"/>
        <v>#REF!</v>
      </c>
      <c r="C3" s="10" t="s">
        <v>858</v>
      </c>
    </row>
    <row r="4">
      <c r="A4" s="10">
        <f t="shared" si="1"/>
        <v>2</v>
      </c>
      <c r="B4" s="51" t="str">
        <f t="shared" si="2"/>
        <v>#REF!</v>
      </c>
      <c r="C4" s="10" t="s">
        <v>858</v>
      </c>
    </row>
    <row r="5">
      <c r="A5" s="10">
        <f t="shared" si="1"/>
        <v>3</v>
      </c>
      <c r="B5" s="51" t="str">
        <f t="shared" si="2"/>
        <v>#REF!</v>
      </c>
      <c r="C5" s="10" t="s">
        <v>858</v>
      </c>
    </row>
    <row r="6">
      <c r="A6" s="10">
        <f t="shared" si="1"/>
        <v>4</v>
      </c>
      <c r="B6" s="51" t="str">
        <f t="shared" si="2"/>
        <v>#REF!</v>
      </c>
      <c r="C6" s="51"/>
    </row>
    <row r="7">
      <c r="A7" s="10">
        <f t="shared" si="1"/>
        <v>5</v>
      </c>
      <c r="B7" s="51" t="str">
        <f t="shared" si="2"/>
        <v>#REF!</v>
      </c>
      <c r="C7" s="51"/>
    </row>
    <row r="8">
      <c r="A8" s="10">
        <f t="shared" si="1"/>
        <v>6</v>
      </c>
      <c r="B8" s="51" t="str">
        <f t="shared" si="2"/>
        <v>#REF!</v>
      </c>
      <c r="C8" s="51"/>
    </row>
    <row r="9">
      <c r="A9" s="10">
        <f t="shared" si="1"/>
        <v>7</v>
      </c>
      <c r="B9" s="51" t="str">
        <f t="shared" si="2"/>
        <v>#REF!</v>
      </c>
      <c r="C9" s="51"/>
    </row>
    <row r="10">
      <c r="A10" s="10">
        <f t="shared" si="1"/>
        <v>8</v>
      </c>
      <c r="B10" s="51" t="str">
        <f t="shared" si="2"/>
        <v>#REF!</v>
      </c>
      <c r="C10" s="51"/>
    </row>
    <row r="11">
      <c r="A11" s="10">
        <f t="shared" si="1"/>
        <v>9</v>
      </c>
      <c r="B11" s="51" t="str">
        <f t="shared" si="2"/>
        <v>#REF!</v>
      </c>
      <c r="C11" s="51"/>
    </row>
    <row r="12">
      <c r="A12" s="10">
        <f t="shared" si="1"/>
        <v>10</v>
      </c>
      <c r="B12" s="51" t="str">
        <f t="shared" si="2"/>
        <v>#REF!</v>
      </c>
      <c r="C12" s="51"/>
    </row>
    <row r="13">
      <c r="A13" s="10">
        <f t="shared" si="1"/>
        <v>11</v>
      </c>
      <c r="B13" s="51" t="str">
        <f t="shared" si="2"/>
        <v>#REF!</v>
      </c>
      <c r="C13" s="51"/>
    </row>
    <row r="14">
      <c r="A14" s="10">
        <f t="shared" si="1"/>
        <v>12</v>
      </c>
      <c r="B14" s="51" t="str">
        <f t="shared" si="2"/>
        <v>#REF!</v>
      </c>
      <c r="C14" s="51"/>
    </row>
    <row r="15">
      <c r="A15" s="10">
        <f t="shared" si="1"/>
        <v>13</v>
      </c>
      <c r="B15" s="51" t="str">
        <f t="shared" si="2"/>
        <v>#REF!</v>
      </c>
      <c r="C15" s="51"/>
    </row>
    <row r="16">
      <c r="A16" s="10">
        <f t="shared" si="1"/>
        <v>14</v>
      </c>
      <c r="B16" s="51" t="str">
        <f t="shared" si="2"/>
        <v>#REF!</v>
      </c>
      <c r="C16" s="51"/>
    </row>
    <row r="17">
      <c r="A17" s="10">
        <f t="shared" si="1"/>
        <v>15</v>
      </c>
      <c r="B17" s="51" t="str">
        <f t="shared" si="2"/>
        <v>#REF!</v>
      </c>
      <c r="C17" s="51"/>
    </row>
    <row r="18">
      <c r="A18" s="10">
        <f t="shared" si="1"/>
        <v>16</v>
      </c>
      <c r="B18" s="51" t="str">
        <f t="shared" si="2"/>
        <v>#REF!</v>
      </c>
      <c r="C18" s="51"/>
    </row>
    <row r="19">
      <c r="A19" s="10">
        <f t="shared" si="1"/>
        <v>17</v>
      </c>
      <c r="B19" s="51" t="str">
        <f t="shared" si="2"/>
        <v>#REF!</v>
      </c>
      <c r="C19" s="51"/>
    </row>
    <row r="20">
      <c r="A20" s="10">
        <f t="shared" si="1"/>
        <v>18</v>
      </c>
      <c r="B20" s="51" t="str">
        <f t="shared" si="2"/>
        <v>#REF!</v>
      </c>
      <c r="C20" s="51"/>
    </row>
    <row r="21">
      <c r="A21" s="10">
        <f t="shared" si="1"/>
        <v>19</v>
      </c>
      <c r="B21" s="51" t="str">
        <f t="shared" si="2"/>
        <v>#REF!</v>
      </c>
      <c r="C21" s="51"/>
    </row>
    <row r="22">
      <c r="A22" s="10">
        <f t="shared" si="1"/>
        <v>20</v>
      </c>
      <c r="B22" s="51" t="str">
        <f t="shared" si="2"/>
        <v>#REF!</v>
      </c>
      <c r="C22" s="51"/>
    </row>
    <row r="23">
      <c r="A23" s="10">
        <f t="shared" si="1"/>
        <v>21</v>
      </c>
      <c r="B23" s="51" t="str">
        <f t="shared" si="2"/>
        <v>#REF!</v>
      </c>
      <c r="C23" s="51"/>
    </row>
    <row r="24">
      <c r="A24" s="10">
        <f t="shared" si="1"/>
        <v>22</v>
      </c>
      <c r="B24" s="51" t="str">
        <f t="shared" si="2"/>
        <v>#REF!</v>
      </c>
      <c r="C24" s="51"/>
    </row>
    <row r="25">
      <c r="A25" s="10">
        <f t="shared" si="1"/>
        <v>23</v>
      </c>
      <c r="B25" s="51" t="str">
        <f t="shared" si="2"/>
        <v>#REF!</v>
      </c>
      <c r="C25" s="51"/>
    </row>
    <row r="26">
      <c r="A26" s="10">
        <f t="shared" si="1"/>
        <v>24</v>
      </c>
      <c r="B26" s="51" t="str">
        <f t="shared" si="2"/>
        <v>#REF!</v>
      </c>
      <c r="C26" s="51"/>
    </row>
    <row r="27">
      <c r="A27" s="10">
        <f t="shared" si="1"/>
        <v>25</v>
      </c>
      <c r="B27" s="51" t="str">
        <f t="shared" si="2"/>
        <v>#REF!</v>
      </c>
      <c r="C27" s="51"/>
    </row>
    <row r="28">
      <c r="A28" s="10">
        <f t="shared" si="1"/>
        <v>26</v>
      </c>
      <c r="B28" s="51" t="str">
        <f t="shared" si="2"/>
        <v>#REF!</v>
      </c>
      <c r="C28" s="51"/>
    </row>
    <row r="29">
      <c r="A29" s="10">
        <f t="shared" si="1"/>
        <v>27</v>
      </c>
      <c r="B29" s="51" t="str">
        <f t="shared" si="2"/>
        <v>#REF!</v>
      </c>
      <c r="C29" s="51"/>
    </row>
    <row r="30">
      <c r="A30" s="10">
        <f t="shared" si="1"/>
        <v>28</v>
      </c>
      <c r="B30" s="51" t="str">
        <f t="shared" si="2"/>
        <v>#REF!</v>
      </c>
      <c r="C30" s="51"/>
    </row>
    <row r="31">
      <c r="A31" s="10">
        <f t="shared" si="1"/>
        <v>29</v>
      </c>
      <c r="B31" s="51" t="str">
        <f t="shared" si="2"/>
        <v>#REF!</v>
      </c>
      <c r="C31" s="51"/>
    </row>
    <row r="32">
      <c r="A32" s="10">
        <f t="shared" si="1"/>
        <v>30</v>
      </c>
      <c r="B32" s="51" t="str">
        <f t="shared" si="2"/>
        <v>#REF!</v>
      </c>
      <c r="C32" s="51"/>
    </row>
  </sheetData>
  <dataValidations>
    <dataValidation type="list" allowBlank="1" showErrorMessage="1" sqref="C2:C32">
      <formula1>"TALK,ITEM_TAKE,ITEM_USE,WALK,EVENT,ALWAYS"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9" t="s">
        <v>859</v>
      </c>
      <c r="B1" s="19" t="s">
        <v>860</v>
      </c>
      <c r="C1" s="19" t="s">
        <v>861</v>
      </c>
      <c r="D1" s="19" t="s">
        <v>862</v>
      </c>
    </row>
    <row r="2">
      <c r="A2" s="28" t="s">
        <v>863</v>
      </c>
      <c r="B2" s="52">
        <v>1.0</v>
      </c>
      <c r="C2" s="28" t="b">
        <v>1</v>
      </c>
      <c r="D2" s="28" t="b">
        <v>1</v>
      </c>
    </row>
    <row r="3">
      <c r="A3" s="28" t="s">
        <v>864</v>
      </c>
      <c r="B3" s="52">
        <v>1.0</v>
      </c>
      <c r="C3" s="28" t="b">
        <v>0</v>
      </c>
      <c r="D3" s="28" t="b">
        <v>1</v>
      </c>
    </row>
    <row r="4">
      <c r="A4" s="28" t="s">
        <v>865</v>
      </c>
      <c r="B4" s="52">
        <v>3.0</v>
      </c>
      <c r="C4" s="28" t="b">
        <v>1</v>
      </c>
      <c r="D4" s="28" t="b">
        <v>1</v>
      </c>
    </row>
    <row r="5">
      <c r="A5" s="28" t="s">
        <v>866</v>
      </c>
      <c r="B5" s="52">
        <v>1.0</v>
      </c>
      <c r="C5" s="28" t="b">
        <v>1</v>
      </c>
      <c r="D5" s="28" t="b">
        <v>1</v>
      </c>
    </row>
    <row r="6">
      <c r="A6" s="28" t="s">
        <v>867</v>
      </c>
      <c r="B6" s="52">
        <v>3.0</v>
      </c>
      <c r="C6" s="28" t="b">
        <v>1</v>
      </c>
      <c r="D6" s="28" t="b">
        <v>1</v>
      </c>
    </row>
    <row r="7">
      <c r="A7" s="28" t="s">
        <v>868</v>
      </c>
      <c r="B7" s="52">
        <v>3.0</v>
      </c>
      <c r="C7" s="28" t="b">
        <v>1</v>
      </c>
      <c r="D7" s="28" t="b">
        <v>1</v>
      </c>
    </row>
    <row r="8">
      <c r="A8" s="28" t="s">
        <v>869</v>
      </c>
      <c r="B8" s="52">
        <v>5.0</v>
      </c>
      <c r="C8" s="28" t="b">
        <v>1</v>
      </c>
      <c r="D8" s="28" t="b">
        <v>1</v>
      </c>
    </row>
    <row r="9">
      <c r="A9" s="28" t="s">
        <v>870</v>
      </c>
      <c r="B9" s="52">
        <v>4.0</v>
      </c>
      <c r="C9" s="28" t="b">
        <v>0</v>
      </c>
      <c r="D9" s="28" t="b">
        <v>1</v>
      </c>
    </row>
    <row r="10">
      <c r="A10" s="28" t="s">
        <v>871</v>
      </c>
      <c r="B10" s="52"/>
      <c r="C10" s="28" t="b">
        <v>0</v>
      </c>
      <c r="D10" s="28" t="b">
        <v>0</v>
      </c>
    </row>
    <row r="11">
      <c r="A11" s="28" t="s">
        <v>872</v>
      </c>
      <c r="B11" s="52">
        <v>4.0</v>
      </c>
      <c r="C11" s="28" t="b">
        <v>0</v>
      </c>
      <c r="D11" s="28" t="b">
        <v>0</v>
      </c>
    </row>
    <row r="12">
      <c r="A12" s="28" t="s">
        <v>873</v>
      </c>
      <c r="B12" s="52">
        <v>1.0</v>
      </c>
      <c r="C12" s="28" t="b">
        <v>1</v>
      </c>
      <c r="D12" s="28" t="b">
        <v>1</v>
      </c>
    </row>
    <row r="13">
      <c r="A13" s="28" t="s">
        <v>874</v>
      </c>
      <c r="B13" s="52">
        <v>4.0</v>
      </c>
      <c r="C13" s="28" t="b">
        <v>1</v>
      </c>
      <c r="D13" s="28" t="b">
        <v>1</v>
      </c>
    </row>
    <row r="14">
      <c r="A14" s="28" t="s">
        <v>875</v>
      </c>
      <c r="B14" s="52">
        <v>1.0</v>
      </c>
      <c r="C14" s="28" t="b">
        <v>1</v>
      </c>
      <c r="D14" s="28" t="b">
        <v>1</v>
      </c>
    </row>
    <row r="15">
      <c r="A15" s="28" t="s">
        <v>876</v>
      </c>
      <c r="B15" s="52">
        <v>2.0</v>
      </c>
      <c r="C15" s="28" t="b">
        <v>1</v>
      </c>
      <c r="D15" s="28" t="b">
        <v>1</v>
      </c>
    </row>
    <row r="16">
      <c r="A16" s="28" t="s">
        <v>877</v>
      </c>
      <c r="B16" s="52">
        <v>3.0</v>
      </c>
      <c r="C16" s="28" t="b">
        <v>1</v>
      </c>
      <c r="D16" s="28" t="b">
        <v>1</v>
      </c>
    </row>
    <row r="17">
      <c r="A17" s="28" t="s">
        <v>878</v>
      </c>
      <c r="B17" s="52">
        <v>2.0</v>
      </c>
      <c r="C17" s="28" t="b">
        <v>1</v>
      </c>
      <c r="D17" s="28" t="b">
        <v>1</v>
      </c>
    </row>
    <row r="18">
      <c r="A18" s="28" t="s">
        <v>879</v>
      </c>
      <c r="B18" s="52">
        <v>2.0</v>
      </c>
      <c r="C18" s="28" t="b">
        <v>1</v>
      </c>
      <c r="D18" s="28" t="b">
        <v>1</v>
      </c>
    </row>
    <row r="19">
      <c r="A19" s="28" t="s">
        <v>880</v>
      </c>
      <c r="B19" s="52">
        <v>2.0</v>
      </c>
      <c r="C19" s="28" t="b">
        <v>1</v>
      </c>
      <c r="D19" s="28" t="b">
        <v>1</v>
      </c>
    </row>
    <row r="20">
      <c r="A20" s="28" t="s">
        <v>881</v>
      </c>
      <c r="B20" s="52">
        <v>2.0</v>
      </c>
      <c r="C20" s="28" t="b">
        <v>1</v>
      </c>
      <c r="D20" s="28" t="b">
        <v>1</v>
      </c>
    </row>
    <row r="21">
      <c r="A21" s="28" t="s">
        <v>882</v>
      </c>
      <c r="B21" s="52">
        <v>3.0</v>
      </c>
      <c r="C21" s="28" t="b">
        <v>1</v>
      </c>
      <c r="D21" s="28" t="b">
        <v>1</v>
      </c>
    </row>
    <row r="22">
      <c r="A22" s="28" t="s">
        <v>883</v>
      </c>
      <c r="B22" s="52">
        <v>2.0</v>
      </c>
      <c r="C22" s="28" t="b">
        <v>1</v>
      </c>
      <c r="D22" s="28" t="b">
        <v>1</v>
      </c>
    </row>
    <row r="23">
      <c r="A23" s="28" t="s">
        <v>884</v>
      </c>
      <c r="B23" s="52">
        <v>2.0</v>
      </c>
      <c r="C23" s="28" t="b">
        <v>1</v>
      </c>
      <c r="D23" s="28" t="b">
        <v>1</v>
      </c>
    </row>
    <row r="24">
      <c r="A24" s="28" t="s">
        <v>885</v>
      </c>
      <c r="B24" s="52">
        <v>2.0</v>
      </c>
      <c r="C24" s="28" t="b">
        <v>1</v>
      </c>
      <c r="D24" s="28" t="b">
        <v>1</v>
      </c>
    </row>
    <row r="25">
      <c r="A25" s="28" t="s">
        <v>886</v>
      </c>
      <c r="B25" s="52">
        <v>2.0</v>
      </c>
      <c r="C25" s="28" t="b">
        <v>1</v>
      </c>
      <c r="D25" s="28" t="b">
        <v>1</v>
      </c>
    </row>
    <row r="26">
      <c r="A26" s="28" t="s">
        <v>887</v>
      </c>
      <c r="B26" s="52">
        <v>2.0</v>
      </c>
      <c r="C26" s="28" t="b">
        <v>1</v>
      </c>
      <c r="D26" s="28" t="b">
        <v>1</v>
      </c>
    </row>
    <row r="27">
      <c r="A27" s="28" t="s">
        <v>888</v>
      </c>
      <c r="B27" s="52">
        <v>2.0</v>
      </c>
      <c r="C27" s="28" t="b">
        <v>1</v>
      </c>
      <c r="D27" s="28" t="b">
        <v>1</v>
      </c>
    </row>
    <row r="28">
      <c r="A28" s="28" t="s">
        <v>660</v>
      </c>
      <c r="B28" s="52">
        <v>5.0</v>
      </c>
      <c r="C28" s="28" t="b">
        <v>0</v>
      </c>
      <c r="D28" s="28" t="b">
        <v>0</v>
      </c>
    </row>
  </sheetData>
  <conditionalFormatting sqref="B2:B28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28">
    <cfRule type="expression" dxfId="5" priority="2">
      <formula>$C2=TRUE</formula>
    </cfRule>
  </conditionalFormatting>
  <dataValidations>
    <dataValidation type="custom" allowBlank="1" showDropDown="1" sqref="B2:B28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34.0"/>
    <col customWidth="1" min="4" max="5" width="23.71"/>
  </cols>
  <sheetData>
    <row r="1" ht="22.5" customHeight="1">
      <c r="A1" s="53" t="s">
        <v>889</v>
      </c>
      <c r="B1" s="53" t="s">
        <v>890</v>
      </c>
      <c r="D1" s="53" t="s">
        <v>891</v>
      </c>
      <c r="E1" s="53" t="s">
        <v>890</v>
      </c>
    </row>
    <row r="2" ht="22.5" customHeight="1">
      <c r="A2" s="54" t="str">
        <f>IFERROR(__xludf.DUMMYFUNCTION("FILTER(Table_PickableSprites[WORK],Table_PickableSprites[WORK]&lt;&gt;"""")"),"SPRITE_PICKABLE_SPOON")</f>
        <v>SPRITE_PICKABLE_SPOON</v>
      </c>
      <c r="B2" s="54" t="str">
        <f t="array" ref="B2:B40">IF(Table_Items[SpritePickable]&lt;&gt;"SPRITE_NONE",Table_Items[SpritePickable],"")</f>
        <v/>
      </c>
      <c r="D2" s="54" t="str">
        <f>IFERROR(__xludf.DUMMYFUNCTION("FILTER(Table_PickableNames[WORK],Table_PickableNames[WORK]&lt;&gt;"""")"),"NAME_SPOON")</f>
        <v>NAME_SPOON</v>
      </c>
      <c r="E2" s="54" t="str">
        <f t="array" ref="E2:E40">IF(Table_Items[SpritePickable]&lt;&gt;"SPRITE_NONE",Table_Items[Name],"")</f>
        <v/>
      </c>
    </row>
    <row r="3" ht="22.5" customHeight="1">
      <c r="A3" s="54" t="str">
        <f>IFERROR(__xludf.DUMMYFUNCTION("""COMPUTED_VALUE"""),"SPRITE_PICKABLE_SPOON_POISON")</f>
        <v>SPRITE_PICKABLE_SPOON_POISON</v>
      </c>
      <c r="B3" s="54" t="s">
        <v>20</v>
      </c>
      <c r="D3" s="54" t="str">
        <f>IFERROR(__xludf.DUMMYFUNCTION("""COMPUTED_VALUE"""),"NAME_SPOON_POISON")</f>
        <v>NAME_SPOON_POISON</v>
      </c>
      <c r="E3" s="54" t="s">
        <v>20</v>
      </c>
    </row>
    <row r="4" ht="22.5" customHeight="1">
      <c r="A4" s="54" t="str">
        <f>IFERROR(__xludf.DUMMYFUNCTION("""COMPUTED_VALUE"""),"SPRITE_PICKABLE_OLD_HOUSE_KEY")</f>
        <v>SPRITE_PICKABLE_OLD_HOUSE_KEY</v>
      </c>
      <c r="B4" s="54" t="s">
        <v>20</v>
      </c>
      <c r="D4" s="54" t="str">
        <f>IFERROR(__xludf.DUMMYFUNCTION("""COMPUTED_VALUE"""),"NAME_OLD_HOUSE_KEY")</f>
        <v>NAME_OLD_HOUSE_KEY</v>
      </c>
      <c r="E4" s="54" t="s">
        <v>20</v>
      </c>
    </row>
    <row r="5" ht="22.5" customHeight="1">
      <c r="A5" s="54" t="str">
        <f>IFERROR(__xludf.DUMMYFUNCTION("""COMPUTED_VALUE"""),"SPRITE_PICKABLE_TROWEL")</f>
        <v>SPRITE_PICKABLE_TROWEL</v>
      </c>
      <c r="B5" s="54" t="s">
        <v>20</v>
      </c>
      <c r="D5" s="54" t="str">
        <f>IFERROR(__xludf.DUMMYFUNCTION("""COMPUTED_VALUE"""),"NAME_TROWEL")</f>
        <v>NAME_TROWEL</v>
      </c>
      <c r="E5" s="54" t="s">
        <v>20</v>
      </c>
    </row>
    <row r="6" ht="22.5" customHeight="1">
      <c r="A6" s="54" t="str">
        <f>IFERROR(__xludf.DUMMYFUNCTION("""COMPUTED_VALUE"""),"SPRITE_PICKABLE_MATCHES")</f>
        <v>SPRITE_PICKABLE_MATCHES</v>
      </c>
      <c r="B6" s="54" t="s">
        <v>20</v>
      </c>
      <c r="D6" s="54" t="str">
        <f>IFERROR(__xludf.DUMMYFUNCTION("""COMPUTED_VALUE"""),"NAME_MATCHES")</f>
        <v>NAME_MATCHES</v>
      </c>
      <c r="E6" s="54" t="s">
        <v>20</v>
      </c>
    </row>
    <row r="7" ht="22.5" customHeight="1">
      <c r="A7" s="54" t="str">
        <f>IFERROR(__xludf.DUMMYFUNCTION("""COMPUTED_VALUE"""),"SPRITE_PICKABLE_LOCKPICK")</f>
        <v>SPRITE_PICKABLE_LOCKPICK</v>
      </c>
      <c r="B7" s="54" t="s">
        <v>20</v>
      </c>
      <c r="D7" s="54" t="str">
        <f>IFERROR(__xludf.DUMMYFUNCTION("""COMPUTED_VALUE"""),"NAME_LOCKPICK")</f>
        <v>NAME_LOCKPICK</v>
      </c>
      <c r="E7" s="54" t="s">
        <v>20</v>
      </c>
    </row>
    <row r="8" ht="22.5" customHeight="1">
      <c r="A8" s="54" t="str">
        <f>IFERROR(__xludf.DUMMYFUNCTION("""COMPUTED_VALUE"""),"SPRITE_PICKABLE_CONTRACT")</f>
        <v>SPRITE_PICKABLE_CONTRACT</v>
      </c>
      <c r="B8" s="54" t="s">
        <v>20</v>
      </c>
      <c r="D8" s="54" t="str">
        <f>IFERROR(__xludf.DUMMYFUNCTION("""COMPUTED_VALUE"""),"NAME_CONTRACT")</f>
        <v>NAME_CONTRACT</v>
      </c>
      <c r="E8" s="54" t="s">
        <v>20</v>
      </c>
    </row>
    <row r="9" ht="22.5" customHeight="1">
      <c r="A9" s="54" t="str">
        <f>IFERROR(__xludf.DUMMYFUNCTION("""COMPUTED_VALUE"""),"SPRITE_PICKABLE_JAR")</f>
        <v>SPRITE_PICKABLE_JAR</v>
      </c>
      <c r="B9" s="54" t="s">
        <v>20</v>
      </c>
      <c r="D9" s="54" t="str">
        <f>IFERROR(__xludf.DUMMYFUNCTION("""COMPUTED_VALUE"""),"NAME_JAR")</f>
        <v>NAME_JAR</v>
      </c>
      <c r="E9" s="54" t="s">
        <v>20</v>
      </c>
    </row>
    <row r="10" ht="22.5" customHeight="1">
      <c r="A10" s="54" t="str">
        <f>IFERROR(__xludf.DUMMYFUNCTION("""COMPUTED_VALUE"""),"SPRITE_PICKABLE_COIN")</f>
        <v>SPRITE_PICKABLE_COIN</v>
      </c>
      <c r="B10" s="54" t="s">
        <v>20</v>
      </c>
      <c r="D10" s="54" t="str">
        <f>IFERROR(__xludf.DUMMYFUNCTION("""COMPUTED_VALUE"""),"NAME_COIN")</f>
        <v>NAME_COIN</v>
      </c>
      <c r="E10" s="54" t="s">
        <v>20</v>
      </c>
    </row>
    <row r="11" ht="22.5" customHeight="1">
      <c r="B11" s="54" t="s">
        <v>20</v>
      </c>
      <c r="E11" s="54" t="s">
        <v>20</v>
      </c>
    </row>
    <row r="12" ht="22.5" customHeight="1">
      <c r="B12" s="54" t="s">
        <v>20</v>
      </c>
      <c r="E12" s="54" t="s">
        <v>20</v>
      </c>
    </row>
    <row r="13" ht="22.5" customHeight="1">
      <c r="B13" s="54" t="s">
        <v>242</v>
      </c>
      <c r="E13" s="54" t="s">
        <v>239</v>
      </c>
    </row>
    <row r="14" ht="22.5" customHeight="1">
      <c r="B14" s="54" t="s">
        <v>20</v>
      </c>
      <c r="E14" s="54" t="s">
        <v>20</v>
      </c>
    </row>
    <row r="15" ht="22.5" customHeight="1">
      <c r="B15" s="54" t="s">
        <v>20</v>
      </c>
      <c r="E15" s="54" t="s">
        <v>20</v>
      </c>
    </row>
    <row r="16" ht="22.5" customHeight="1">
      <c r="B16" s="54" t="s">
        <v>20</v>
      </c>
      <c r="E16" s="54" t="s">
        <v>20</v>
      </c>
    </row>
    <row r="17" ht="22.5" customHeight="1">
      <c r="B17" s="54" t="s">
        <v>259</v>
      </c>
      <c r="E17" s="54" t="s">
        <v>258</v>
      </c>
    </row>
    <row r="18" ht="22.5" customHeight="1">
      <c r="B18" s="54" t="s">
        <v>262</v>
      </c>
      <c r="E18" s="54" t="s">
        <v>261</v>
      </c>
    </row>
    <row r="19" ht="22.5" customHeight="1">
      <c r="B19" s="54" t="s">
        <v>266</v>
      </c>
      <c r="E19" s="54" t="s">
        <v>264</v>
      </c>
    </row>
    <row r="20" ht="22.5" customHeight="1">
      <c r="B20" s="54" t="s">
        <v>20</v>
      </c>
      <c r="E20" s="54" t="s">
        <v>20</v>
      </c>
    </row>
    <row r="21" ht="22.5" customHeight="1">
      <c r="B21" s="54" t="s">
        <v>20</v>
      </c>
      <c r="E21" s="54" t="s">
        <v>20</v>
      </c>
    </row>
    <row r="22" ht="22.5" customHeight="1">
      <c r="B22" s="54" t="s">
        <v>20</v>
      </c>
      <c r="E22" s="54" t="s">
        <v>20</v>
      </c>
    </row>
    <row r="23" ht="22.5" customHeight="1">
      <c r="B23" s="54" t="s">
        <v>20</v>
      </c>
      <c r="E23" s="54" t="s">
        <v>20</v>
      </c>
    </row>
    <row r="24" ht="22.5" customHeight="1">
      <c r="B24" s="54" t="s">
        <v>20</v>
      </c>
      <c r="E24" s="54" t="s">
        <v>20</v>
      </c>
    </row>
    <row r="25" ht="22.5" customHeight="1">
      <c r="B25" s="54" t="s">
        <v>20</v>
      </c>
      <c r="E25" s="54" t="s">
        <v>20</v>
      </c>
    </row>
    <row r="26" ht="22.5" customHeight="1">
      <c r="B26" s="54" t="s">
        <v>20</v>
      </c>
      <c r="E26" s="54" t="s">
        <v>20</v>
      </c>
    </row>
    <row r="27" ht="22.5" customHeight="1">
      <c r="B27" s="54" t="s">
        <v>20</v>
      </c>
      <c r="E27" s="54" t="s">
        <v>20</v>
      </c>
    </row>
    <row r="28" ht="22.5" customHeight="1">
      <c r="B28" s="54" t="s">
        <v>20</v>
      </c>
      <c r="E28" s="54" t="s">
        <v>20</v>
      </c>
    </row>
    <row r="29" ht="22.5" customHeight="1">
      <c r="B29" s="54" t="s">
        <v>20</v>
      </c>
      <c r="E29" s="54" t="s">
        <v>20</v>
      </c>
    </row>
    <row r="30" ht="22.5" customHeight="1">
      <c r="B30" s="54" t="s">
        <v>297</v>
      </c>
      <c r="E30" s="54" t="s">
        <v>295</v>
      </c>
    </row>
    <row r="31" ht="22.5" customHeight="1">
      <c r="B31" s="54" t="s">
        <v>20</v>
      </c>
      <c r="E31" s="54" t="s">
        <v>20</v>
      </c>
    </row>
    <row r="32" ht="22.5" customHeight="1">
      <c r="B32" s="54" t="s">
        <v>20</v>
      </c>
      <c r="E32" s="54" t="s">
        <v>20</v>
      </c>
    </row>
    <row r="33" ht="22.5" customHeight="1">
      <c r="B33" s="54" t="s">
        <v>20</v>
      </c>
      <c r="E33" s="54" t="s">
        <v>20</v>
      </c>
    </row>
    <row r="34" ht="22.5" customHeight="1">
      <c r="B34" s="54" t="s">
        <v>20</v>
      </c>
      <c r="E34" s="54" t="s">
        <v>20</v>
      </c>
    </row>
    <row r="35" ht="22.5" customHeight="1">
      <c r="B35" s="54" t="s">
        <v>313</v>
      </c>
      <c r="E35" s="54" t="s">
        <v>311</v>
      </c>
    </row>
    <row r="36" ht="22.5" customHeight="1">
      <c r="B36" s="54" t="s">
        <v>20</v>
      </c>
      <c r="E36" s="54" t="s">
        <v>20</v>
      </c>
    </row>
    <row r="37" ht="22.5" customHeight="1">
      <c r="B37" s="54" t="s">
        <v>320</v>
      </c>
      <c r="E37" s="54" t="s">
        <v>319</v>
      </c>
    </row>
    <row r="38" ht="22.5" customHeight="1">
      <c r="B38" s="54" t="s">
        <v>323</v>
      </c>
      <c r="E38" s="54" t="s">
        <v>322</v>
      </c>
    </row>
    <row r="39" ht="22.5" customHeight="1">
      <c r="B39" s="54" t="s">
        <v>327</v>
      </c>
      <c r="E39" s="54" t="s">
        <v>325</v>
      </c>
    </row>
    <row r="40" ht="22.5" customHeight="1">
      <c r="B40" s="54" t="s">
        <v>20</v>
      </c>
      <c r="E40" s="54" t="s">
        <v>20</v>
      </c>
    </row>
    <row r="41" ht="22.5" customHeight="1"/>
    <row r="42" ht="22.5" customHeight="1"/>
    <row r="43" ht="22.5" customHeight="1"/>
    <row r="44" ht="22.5" customHeight="1"/>
    <row r="45" ht="22.5" customHeight="1"/>
    <row r="46" ht="22.5" customHeight="1"/>
    <row r="47" ht="22.5" customHeight="1"/>
    <row r="48" ht="22.5" customHeight="1"/>
    <row r="49" ht="22.5" customHeight="1"/>
    <row r="50" ht="22.5" customHeight="1"/>
    <row r="51" ht="22.5" customHeight="1"/>
    <row r="52" ht="22.5" customHeight="1"/>
    <row r="53" ht="22.5" customHeight="1"/>
    <row r="54" ht="22.5" customHeight="1"/>
    <row r="55" ht="22.5" customHeight="1"/>
    <row r="56" ht="22.5" customHeight="1"/>
    <row r="57" ht="22.5" customHeight="1"/>
    <row r="58" ht="22.5" customHeight="1"/>
    <row r="59" ht="22.5" customHeight="1"/>
    <row r="60" ht="22.5" customHeight="1"/>
    <row r="61" ht="22.5" customHeight="1"/>
    <row r="62" ht="22.5" customHeight="1"/>
    <row r="63" ht="22.5" customHeight="1"/>
    <row r="64" ht="22.5" customHeight="1"/>
    <row r="65" ht="22.5" customHeight="1"/>
    <row r="66" ht="22.5" customHeight="1"/>
    <row r="67" ht="22.5" customHeight="1"/>
    <row r="68" ht="22.5" customHeight="1"/>
    <row r="69" ht="22.5" customHeight="1"/>
    <row r="70" ht="22.5" customHeight="1"/>
    <row r="71" ht="22.5" customHeight="1"/>
    <row r="72" ht="22.5" customHeight="1"/>
    <row r="73" ht="22.5" customHeight="1"/>
    <row r="74" ht="22.5" customHeight="1"/>
    <row r="75" ht="22.5" customHeight="1"/>
    <row r="76" ht="22.5" customHeight="1"/>
    <row r="77" ht="22.5" customHeight="1"/>
    <row r="78" ht="22.5" customHeight="1"/>
    <row r="79" ht="22.5" customHeight="1"/>
    <row r="80" ht="22.5" customHeight="1"/>
    <row r="81" ht="22.5" customHeight="1"/>
    <row r="82" ht="22.5" customHeight="1"/>
    <row r="83" ht="22.5" customHeight="1"/>
    <row r="84" ht="22.5" customHeight="1"/>
    <row r="85" ht="22.5" customHeight="1"/>
    <row r="86" ht="22.5" customHeight="1"/>
    <row r="87" ht="22.5" customHeight="1"/>
    <row r="88" ht="22.5" customHeight="1"/>
    <row r="89" ht="22.5" customHeight="1"/>
    <row r="90" ht="22.5" customHeight="1"/>
    <row r="91" ht="22.5" customHeight="1"/>
    <row r="92" ht="22.5" customHeight="1"/>
    <row r="93" ht="22.5" customHeight="1"/>
    <row r="94" ht="22.5" customHeight="1"/>
    <row r="95" ht="22.5" customHeight="1"/>
    <row r="96" ht="22.5" customHeight="1"/>
    <row r="97" ht="22.5" customHeight="1"/>
    <row r="98" ht="22.5" customHeight="1"/>
    <row r="99" ht="22.5" customHeight="1"/>
    <row r="100" ht="22.5" customHeight="1"/>
    <row r="101" ht="22.5" customHeight="1"/>
    <row r="102" ht="22.5" customHeight="1"/>
    <row r="103" ht="22.5" customHeight="1"/>
    <row r="104" ht="22.5" customHeight="1"/>
    <row r="105" ht="22.5" customHeight="1"/>
    <row r="106" ht="22.5" customHeight="1"/>
    <row r="107" ht="22.5" customHeight="1"/>
    <row r="108" ht="22.5" customHeight="1"/>
    <row r="109" ht="22.5" customHeight="1"/>
    <row r="110" ht="22.5" customHeight="1"/>
    <row r="111" ht="22.5" customHeight="1"/>
    <row r="112" ht="22.5" customHeight="1"/>
    <row r="113" ht="22.5" customHeight="1"/>
    <row r="114" ht="22.5" customHeight="1"/>
    <row r="115" ht="22.5" customHeight="1"/>
    <row r="116" ht="22.5" customHeight="1"/>
    <row r="117" ht="22.5" customHeight="1"/>
    <row r="118" ht="22.5" customHeight="1"/>
    <row r="119" ht="22.5" customHeight="1"/>
    <row r="120" ht="22.5" customHeight="1"/>
    <row r="121" ht="22.5" customHeight="1"/>
    <row r="122" ht="22.5" customHeight="1"/>
    <row r="123" ht="22.5" customHeight="1"/>
    <row r="124" ht="22.5" customHeight="1"/>
    <row r="125" ht="22.5" customHeight="1"/>
    <row r="126" ht="22.5" customHeight="1"/>
    <row r="127" ht="22.5" customHeight="1"/>
    <row r="128" ht="22.5" customHeight="1"/>
  </sheetData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2022-09-30T21:42:00Z</dcterms:created>
  <dc:creator>bonh</dc:creator>
</cp:coreProperties>
</file>