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4.xml"/>
  <Override ContentType="application/vnd.openxmlformats-officedocument.spreadsheetml.table+xml" PartName="/xl/tables/table15.xml"/>
  <Override ContentType="application/vnd.openxmlformats-officedocument.spreadsheetml.table+xml" PartName="/xl/tables/table8.xml"/>
  <Override ContentType="application/vnd.openxmlformats-officedocument.spreadsheetml.table+xml" PartName="/xl/tables/table24.xml"/>
  <Override ContentType="application/vnd.openxmlformats-officedocument.spreadsheetml.table+xml" PartName="/xl/tables/table11.xml"/>
  <Override ContentType="application/vnd.openxmlformats-officedocument.spreadsheetml.table+xml" PartName="/xl/tables/table5.xml"/>
  <Override ContentType="application/vnd.openxmlformats-officedocument.spreadsheetml.table+xml" PartName="/xl/tables/table19.xml"/>
  <Override ContentType="application/vnd.openxmlformats-officedocument.spreadsheetml.table+xml" PartName="/xl/tables/table10.xml"/>
  <Override ContentType="application/vnd.openxmlformats-officedocument.spreadsheetml.table+xml" PartName="/xl/tables/table14.xml"/>
  <Override ContentType="application/vnd.openxmlformats-officedocument.spreadsheetml.table+xml" PartName="/xl/tables/table23.xml"/>
  <Override ContentType="application/vnd.openxmlformats-officedocument.spreadsheetml.table+xml" PartName="/xl/tables/table9.xml"/>
  <Override ContentType="application/vnd.openxmlformats-officedocument.spreadsheetml.table+xml" PartName="/xl/tables/table18.xml"/>
  <Override ContentType="application/vnd.openxmlformats-officedocument.spreadsheetml.table+xml" PartName="/xl/tables/table13.xml"/>
  <Override ContentType="application/vnd.openxmlformats-officedocument.spreadsheetml.table+xml" PartName="/xl/tables/table1.xml"/>
  <Override ContentType="application/vnd.openxmlformats-officedocument.spreadsheetml.table+xml" PartName="/xl/tables/table22.xml"/>
  <Override ContentType="application/vnd.openxmlformats-officedocument.spreadsheetml.table+xml" PartName="/xl/tables/table2.xml"/>
  <Override ContentType="application/vnd.openxmlformats-officedocument.spreadsheetml.table+xml" PartName="/xl/tables/table6.xml"/>
  <Override ContentType="application/vnd.openxmlformats-officedocument.spreadsheetml.table+xml" PartName="/xl/tables/table20.xml"/>
  <Override ContentType="application/vnd.openxmlformats-officedocument.spreadsheetml.table+xml" PartName="/xl/tables/table3.xml"/>
  <Override ContentType="application/vnd.openxmlformats-officedocument.spreadsheetml.table+xml" PartName="/xl/tables/table17.xml"/>
  <Override ContentType="application/vnd.openxmlformats-officedocument.spreadsheetml.table+xml" PartName="/xl/tables/table7.xml"/>
  <Override ContentType="application/vnd.openxmlformats-officedocument.spreadsheetml.table+xml" PartName="/xl/tables/table16.xml"/>
  <Override ContentType="application/vnd.openxmlformats-officedocument.spreadsheetml.table+xml" PartName="/xl/tables/table21.xml"/>
  <Override ContentType="application/vnd.openxmlformats-officedocument.spreadsheetml.table+xml" PartName="/xl/tables/table12.xml"/>
  <Override ContentType="application/vnd.openxmlformats-officedocument.spreadsheetml.table+xml" PartName="/xl/tables/table25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3.xml"/>
  <Override ContentType="application/vnd.openxmlformats-officedocument.spreadsheetml.worksheet+xml" PartName="/xl/worksheets/sheet9.xml"/>
  <Override ContentType="application/vnd.openxmlformats-officedocument.spreadsheetml.worksheet+xml" PartName="/xl/worksheets/sheet7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1.xml"/>
  <Override ContentType="application/vnd.openxmlformats-package.core-properties+xml" PartName="/docProps/core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spreadsheetml.comments+xml" PartName="/xl/comments3.xml"/>
  <Override ContentType="application/vnd.openxmlformats-officedocument.spreadsheetml.comments+xml" PartName="/xl/comments2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VARMAP" sheetId="1" r:id="rId4"/>
    <sheet state="visible" name="SERVICES" sheetId="2" r:id="rId5"/>
    <sheet state="visible" name="ITEMS" sheetId="3" r:id="rId6"/>
    <sheet state="visible" name="ACTION_CONDS" sheetId="4" r:id="rId7"/>
    <sheet state="visible" name="SPRITES" sheetId="5" r:id="rId8"/>
    <sheet state="visible" name="DIALOGS" sheetId="6" r:id="rId9"/>
    <sheet state="visible" name="NAMES" sheetId="7" r:id="rId10"/>
    <sheet state="visible" name="PHRASES" sheetId="8" r:id="rId11"/>
    <sheet state="visible" name="ROOMS" sheetId="9" r:id="rId12"/>
    <sheet state="visible" name="TYPES" sheetId="10" r:id="rId13"/>
    <sheet state="visible" name="EVENTS" sheetId="11" r:id="rId14"/>
    <sheet state="visible" name="_ITEM_AVAIL" sheetId="12" r:id="rId15"/>
    <sheet state="visible" name="_TODO" sheetId="13" r:id="rId16"/>
    <sheet state="visible" name="_CONSTANTS" sheetId="14" r:id="rId17"/>
  </sheets>
  <definedNames/>
  <calcPr/>
  <extLst>
    <ext uri="GoogleSheetsCustomDataVersion2">
      <go:sheetsCustomData xmlns:go="http://customooxmlschemas.google.com/" r:id="rId18" roundtripDataChecksum="Nd8JqOZIvfX3CGrPaUjEddhy1HuKpPIxJqVNv0wMJG4="/>
    </ext>
  </extLst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E5">
      <text>
        <t xml:space="preserve">Calculated
======</t>
      </text>
    </comment>
    <comment authorId="0" ref="E6">
      <text>
        <t xml:space="preserve">Calculated
======</t>
      </text>
    </comment>
    <comment authorId="0" ref="E7">
      <text>
        <t xml:space="preserve">Calculated
======</t>
      </text>
    </comment>
    <comment authorId="0" ref="E8">
      <text>
        <t xml:space="preserve">Calculated
======</t>
      </text>
    </comment>
    <comment authorId="0" ref="E9">
      <text>
        <t xml:space="preserve">Calculated
======</t>
      </text>
    </comment>
  </commentList>
</comments>
</file>

<file path=xl/comments2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D6">
      <text>
        <t xml:space="preserve">Event triggered after all phrases
======</t>
      </text>
    </comment>
    <comment authorId="0" ref="E6">
      <text>
        <t xml:space="preserve">New dialog shown after all phrases have been said
======</t>
      </text>
    </comment>
  </commentList>
</comments>
</file>

<file path=xl/comments3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20">
      <text>
        <t xml:space="preserve">NullReferenceException: Object reference not set to an instance of an object
Gob3AQ.GameMenu.Dialog.DialogOptionButtonClass.SetOptionText (System.String&amp; text) (at Assets/Scripts/Menu/DialogOptionButtonClass.cs:27)
Gob3AQ.GameMenu.GameMenuClass.ShowDialogueService (System.ReadOnlySpan`1[T] defaultTalkers, Gob3AQ.VARMAP.Types.DialogType dialog, Gob3AQ.VARMAP.Types.DialogPhrase phrase) (at Assets/Scripts/Master/GameMenuClass.cs:93)
Gob3AQ.GameMaster.GameMasterClass.EnableDialogueService (System.Boolean enable, System.ReadOnlySpan`1[T] talkers, Gob3AQ.VARMAP.Types.DialogType dialog, Gob3AQ.VARMAP.Types.DialogPhrase phrase) (at Assets/Scripts/Master/GameMasterClass.cs:232)
Gob3AQ.LevelMaster.LevelMasterClass.PlayerReachedWaypointService (Gob3AQ.VARMAP.Types.CharacterType character) (at Assets/Scripts/Master/LevelMasterClass.cs:183)
Gob3AQ.GameElement.PlayableChar.PlayableCharScript.StartBufferedInteraction () (at Assets/Scripts/GameElement/PlayableCharScript.cs:351)
Gob3AQ.GameElement.PlayableChar.PlayableCharScript.Execute_Walk () (at Assets/Scripts/GameElement/PlayableCharScript.cs:279)
Gob3AQ.GameElement.PlayableChar.PlayableCharScript.Execute_Play () (at Assets/Scripts/GameElement/PlayableCharScript.cs:234)
Gob3AQ.GameElement.PlayableChar.PlayableCharScript.Update () (at Assets/Scripts/GameElement/PlayableCharScript.cs:164)
======</t>
      </text>
    </comment>
  </commentList>
</comments>
</file>

<file path=xl/sharedStrings.xml><?xml version="1.0" encoding="utf-8"?>
<sst xmlns="http://schemas.openxmlformats.org/spreadsheetml/2006/main" count="1014" uniqueCount="435">
  <si>
    <t>N</t>
  </si>
  <si>
    <t>ENUM_ID</t>
  </si>
  <si>
    <t>TYPE</t>
  </si>
  <si>
    <t>SAFE</t>
  </si>
  <si>
    <t>ARRAY</t>
  </si>
  <si>
    <t>DEFVALUE</t>
  </si>
  <si>
    <t>SAVE</t>
  </si>
  <si>
    <t>Separator</t>
  </si>
  <si>
    <t>GameMaster</t>
  </si>
  <si>
    <t>InputMaster</t>
  </si>
  <si>
    <t>LevelMaster</t>
  </si>
  <si>
    <t>GraphicsMaster</t>
  </si>
  <si>
    <t>GameMenu</t>
  </si>
  <si>
    <t>PlayerMaster</t>
  </si>
  <si>
    <t>ItemMaster</t>
  </si>
  <si>
    <t>GameEventMaster</t>
  </si>
  <si>
    <t>GAME_OPTIONS</t>
  </si>
  <si>
    <t>GameOptionsStruct</t>
  </si>
  <si>
    <t>GameOptionsStruct_Default</t>
  </si>
  <si>
    <t>Y</t>
  </si>
  <si>
    <t/>
  </si>
  <si>
    <t>-</t>
  </si>
  <si>
    <t>R</t>
  </si>
  <si>
    <t>W</t>
  </si>
  <si>
    <t>ELAPSED_TIME_MS</t>
  </si>
  <si>
    <t>ulong</t>
  </si>
  <si>
    <t>0UL</t>
  </si>
  <si>
    <t>ACTUAL_ROOM</t>
  </si>
  <si>
    <t>Room</t>
  </si>
  <si>
    <t>Room.ROOM_NONE</t>
  </si>
  <si>
    <t>R E</t>
  </si>
  <si>
    <t>EVENTS_OCCURRED</t>
  </si>
  <si>
    <t>MultiBitFieldStruct</t>
  </si>
  <si>
    <t>default</t>
  </si>
  <si>
    <t>UNLOCKED_MEMENTO</t>
  </si>
  <si>
    <t>UNWATCHED_PARENT_MEMENTO</t>
  </si>
  <si>
    <t>PICKABLE_ITEM_OWNER</t>
  </si>
  <si>
    <t>CharacterType</t>
  </si>
  <si>
    <t>CharacterType.CHARACTER_NONE</t>
  </si>
  <si>
    <t>PLAYER_ACTUAL_WAYPOINT</t>
  </si>
  <si>
    <t>int</t>
  </si>
  <si>
    <t>CAMERA_DISPOSITION</t>
  </si>
  <si>
    <t>CameraDispositionStruct</t>
  </si>
  <si>
    <t>CameraDispositionStruct_Default</t>
  </si>
  <si>
    <t>GAMESTATUS</t>
  </si>
  <si>
    <t>Game_Status</t>
  </si>
  <si>
    <t>Game_Status.GAME_STATUS_STOPPED</t>
  </si>
  <si>
    <t>PRESSED_KEYS</t>
  </si>
  <si>
    <t>KeyStruct</t>
  </si>
  <si>
    <t>KeyStruct_Default</t>
  </si>
  <si>
    <t>MOUSE_PROPERTIES</t>
  </si>
  <si>
    <t>MousePropertiesStruct</t>
  </si>
  <si>
    <t>MouseProperties_Default</t>
  </si>
  <si>
    <t>PLAYER_SELECTED</t>
  </si>
  <si>
    <t>PICKABLE_ITEM_CHOSEN</t>
  </si>
  <si>
    <t>GameItem</t>
  </si>
  <si>
    <t>GameItem.ITEM_NONE</t>
  </si>
  <si>
    <t>ITEM_HOVER</t>
  </si>
  <si>
    <t>USER_INPUT_INTERACTION</t>
  </si>
  <si>
    <t>UserInputInteraction</t>
  </si>
  <si>
    <t>UserInputInteraction.INPUT_INTERACTION_TAKE</t>
  </si>
  <si>
    <t>EVENTS_BEING_PROCESSED</t>
  </si>
  <si>
    <t>bool</t>
  </si>
  <si>
    <t>false</t>
  </si>
  <si>
    <t>LAST_VARMAP_VAL</t>
  </si>
  <si>
    <t>SERVICE_ID</t>
  </si>
  <si>
    <t>SPECIAL_DELEGATE</t>
  </si>
  <si>
    <t>SERVICE_ROUTE</t>
  </si>
  <si>
    <t>Description</t>
  </si>
  <si>
    <t>START_GAME</t>
  </si>
  <si>
    <t>START_GAME_DELEGATE</t>
  </si>
  <si>
    <t>GameMasterClass.StartGameService</t>
  </si>
  <si>
    <t>Starts game from main menu</t>
  </si>
  <si>
    <t>X</t>
  </si>
  <si>
    <t>SAVE_GAME</t>
  </si>
  <si>
    <t>SAVE_GAME_DELEGATE</t>
  </si>
  <si>
    <t>GameMasterClass.SaveGameService</t>
  </si>
  <si>
    <t>Saves game at any moment</t>
  </si>
  <si>
    <t>LOAD_GAME</t>
  </si>
  <si>
    <t>LOAD_GAME_DELEGATE</t>
  </si>
  <si>
    <t>GameMasterClass.LoadGameService</t>
  </si>
  <si>
    <t>Loads game from any moment</t>
  </si>
  <si>
    <t>LOAD_ROOM</t>
  </si>
  <si>
    <t>LOAD_ROOM_DELEGATE</t>
  </si>
  <si>
    <t>GameMasterClass.LoadRoomService</t>
  </si>
  <si>
    <t>Loads a room (for example when crossing a door)</t>
  </si>
  <si>
    <t>EXIT_GAME</t>
  </si>
  <si>
    <t>EXIT_GAME_DELEGATE</t>
  </si>
  <si>
    <t>GameMasterClass.ExitGameService</t>
  </si>
  <si>
    <t>Exits games to OS</t>
  </si>
  <si>
    <t>MODULE_LOADING_COMPLETED</t>
  </si>
  <si>
    <t>LODING_COMPLETED_DELEGATE</t>
  </si>
  <si>
    <t>GameMasterClass.LoadingCompletedService</t>
  </si>
  <si>
    <t>This service is called when whole room has been loaded</t>
  </si>
  <si>
    <t>IS_MODULE_LOADED</t>
  </si>
  <si>
    <t>IS_MODULE_LOADED_DELEGATE</t>
  </si>
  <si>
    <t>GameMasterClass.IsModuleLoadedService</t>
  </si>
  <si>
    <t>This service returns a bool which tells if given module has been loaded in Room Loading Process</t>
  </si>
  <si>
    <t>ITEM_REGISTER</t>
  </si>
  <si>
    <t>ITEM_REGISTER_DELEGATE</t>
  </si>
  <si>
    <t>LevelMasterClass.ItemRegisterService</t>
  </si>
  <si>
    <t>Registers an item in system</t>
  </si>
  <si>
    <t>MONO_REGISTER</t>
  </si>
  <si>
    <t>MONO_REGISTER_DELEGATE</t>
  </si>
  <si>
    <t>LevelMasterClass.MonoRegisterService</t>
  </si>
  <si>
    <t>Registers a player in scene</t>
  </si>
  <si>
    <t>DOOR_REGISTER</t>
  </si>
  <si>
    <t>DOOR_REGISTER_DELEGATE</t>
  </si>
  <si>
    <t>LevelMasterClass.DoorRegisterService</t>
  </si>
  <si>
    <t>Registers a door in level</t>
  </si>
  <si>
    <t>OBTAIN_SCENARIO_ITEMS</t>
  </si>
  <si>
    <t>OBTAIN_SCENARIO_ITEMS_DELEGATE</t>
  </si>
  <si>
    <t>LevelMasterClass.ObtainScenarioItemsService</t>
  </si>
  <si>
    <t>Obtains dictionary of placed elements in actual Scene</t>
  </si>
  <si>
    <t>PLAYER_WAYPOINT_UPDATE</t>
  </si>
  <si>
    <t>PLAYER_WAYPOINT_UPDATE_DELEGATE</t>
  </si>
  <si>
    <t>LevelMasterClass.PlayerWaypointUpdateService</t>
  </si>
  <si>
    <t>Updates actual player waypoint when crossing or stopping on it</t>
  </si>
  <si>
    <t>GET_WP_LIST</t>
  </si>
  <si>
    <t>GET_WP_LIST_DELEGATE</t>
  </si>
  <si>
    <t>LevelMasterClass.GetWaypointListService</t>
  </si>
  <si>
    <t>Gets list of waypoints and solutions</t>
  </si>
  <si>
    <t>GAME_ELEMENT_HOVER</t>
  </si>
  <si>
    <t>GAME_ELEMENT_HOVER_DELEGATE</t>
  </si>
  <si>
    <t>LevelMasterClass.GameElementOverService</t>
  </si>
  <si>
    <t>Any of Game Elements (Player or Item or Door) will call with essential info</t>
  </si>
  <si>
    <t>GET_PLAYER_LIST</t>
  </si>
  <si>
    <t>GET_PLAYER_LIST_DELEGATE</t>
  </si>
  <si>
    <t>LevelMasterClass.GetPlayerListService</t>
  </si>
  <si>
    <t>Gets a list of actual players</t>
  </si>
  <si>
    <t>GET_NEAREST_WP</t>
  </si>
  <si>
    <t>GET_NEAREST_WP_DELEGATE</t>
  </si>
  <si>
    <t>LevelMasterClass.GetNearestWPService</t>
  </si>
  <si>
    <t>Gets nearest WP from a given coordinates of level</t>
  </si>
  <si>
    <t>IS_EVENT_COMBI_OCCURRED</t>
  </si>
  <si>
    <t>IS_EVENT_COMBI_OCCURRED_DELEGATE</t>
  </si>
  <si>
    <t>GameEventMasterClass.IsEventCombiOccurredService</t>
  </si>
  <si>
    <t>Checks if a combination of events is totally complied (event absence can also be requested)</t>
  </si>
  <si>
    <t>COMMIT_EVENT</t>
  </si>
  <si>
    <t>COMMIT_EVENT_DELEGATE</t>
  </si>
  <si>
    <t>GameEventMasterClass.CommitEventService</t>
  </si>
  <si>
    <t>Activates/Deactivates an event</t>
  </si>
  <si>
    <t>COMMIT_MEMENTO_NOTIF</t>
  </si>
  <si>
    <t>COMMIT_MEMENTO_NOTIF_DELEGATE</t>
  </si>
  <si>
    <t>GameMenuClass.CommitMementoNotifService</t>
  </si>
  <si>
    <t>Tells Memento Manager (Menu) a new memento has been unlocked</t>
  </si>
  <si>
    <t>IS_MEMENTO_UNLOCKED</t>
  </si>
  <si>
    <t>IS_MEMENTO_UNLOCKED_DELEGATE</t>
  </si>
  <si>
    <t>GameEventMasterClass.IsMementoUnlockedService</t>
  </si>
  <si>
    <t>Tells if a memento is unlocked</t>
  </si>
  <si>
    <t>MEMENTO_PARENT_WATCHED</t>
  </si>
  <si>
    <t>MEMENTO_PARENT_WATCHED_DELEGATE</t>
  </si>
  <si>
    <t>GameEventMasterClass.MementoParentWatchedService</t>
  </si>
  <si>
    <t>If a Memento has been analyzed</t>
  </si>
  <si>
    <t>INTERACT_PLAYER</t>
  </si>
  <si>
    <t>INTERACT_PLAYER_DELEGATE</t>
  </si>
  <si>
    <t>PlayerMasterClass.InteractPlayerService</t>
  </si>
  <si>
    <t>Makes player interact with usage data</t>
  </si>
  <si>
    <t>UNCHAIN_TO_ITEM</t>
  </si>
  <si>
    <t>UNCHAIN_TO_ITEM_DELEGATE</t>
  </si>
  <si>
    <t>ItemMasterClass.UnchainToItemService</t>
  </si>
  <si>
    <t>Applies an unchain event to an item such as spawn or setsprite</t>
  </si>
  <si>
    <t>PLAYER_REACHED_WAYPOINT</t>
  </si>
  <si>
    <t>PLAYER_REACHED_WAYPOINT_DELEGATE</t>
  </si>
  <si>
    <t>LevelMasterClass.PlayerReachedWaypointService</t>
  </si>
  <si>
    <t>Tells LevelMaster that player reached Waypoint to start action in case</t>
  </si>
  <si>
    <t>USE_ITEM</t>
  </si>
  <si>
    <t>USE_ITEM_DELEGATE</t>
  </si>
  <si>
    <t>ItemMasterClass.UseItemService</t>
  </si>
  <si>
    <t>Uses an item with something</t>
  </si>
  <si>
    <t>CANCEL_PICKABLE_ITEM</t>
  </si>
  <si>
    <t>CANCEL_PICKABLE_ITEM_DELEGATE</t>
  </si>
  <si>
    <t>GameMenuClass.CancelPickableItemService</t>
  </si>
  <si>
    <t>Cancels selected item</t>
  </si>
  <si>
    <t>KEY_SUBSCRIPTION</t>
  </si>
  <si>
    <t>KEY_SUBSCRIPTION_DELEGATE</t>
  </si>
  <si>
    <t>InputMasterClass.KeySubscriptionService</t>
  </si>
  <si>
    <t>Subscribe to determined key events to avoid polling</t>
  </si>
  <si>
    <t>LOCK_PLAYER</t>
  </si>
  <si>
    <t>LOCK_PLAYER_DELEGATE</t>
  </si>
  <si>
    <t>PlayerMasterClass.LockPlayerService</t>
  </si>
  <si>
    <t>Locks player so it cannot act until an action over it has been done (or removes lock)</t>
  </si>
  <si>
    <t>CHANGE_GAME_MODE</t>
  </si>
  <si>
    <t>CHANGE_GAME_MODE_DELEGATE</t>
  </si>
  <si>
    <t>GameMasterClass.ChangeGameModeService</t>
  </si>
  <si>
    <t>Asks Game Master to set game mode</t>
  </si>
  <si>
    <t>SHOW_DIALOGUE</t>
  </si>
  <si>
    <t>SHOW_DIALOGUE_DELEGATE</t>
  </si>
  <si>
    <t>GameMenuClass.ShowDialogueService</t>
  </si>
  <si>
    <t>Second part of start dialogue. Tells Game Menu to prepare menu elements</t>
  </si>
  <si>
    <t>ZOOM_SUBSCRIPTION</t>
  </si>
  <si>
    <t>ZOOM_SUBSCRIPTION_DELEGATE</t>
  </si>
  <si>
    <t>GraphicsMasterClass.ZoomSubscriptionService</t>
  </si>
  <si>
    <t>Subscribe to zoom changes</t>
  </si>
  <si>
    <t>LAST_SERVICE</t>
  </si>
  <si>
    <t>Last service</t>
  </si>
  <si>
    <t>ITEM_ID</t>
  </si>
  <si>
    <t>Name</t>
  </si>
  <si>
    <t>FamilyType</t>
  </si>
  <si>
    <t>Sprites</t>
  </si>
  <si>
    <t>DefaultSprite</t>
  </si>
  <si>
    <t>PICKABLE</t>
  </si>
  <si>
    <t>SpritePickable</t>
  </si>
  <si>
    <t>ActionConditions</t>
  </si>
  <si>
    <t>ITEM_NONE</t>
  </si>
  <si>
    <t>NAME_NONE</t>
  </si>
  <si>
    <t>ITEM_FAMILY_TYPE_NONE</t>
  </si>
  <si>
    <t>SPRITE_NONE</t>
  </si>
  <si>
    <t>COND_OK</t>
  </si>
  <si>
    <t>ITEM_PLAYER_MAIN</t>
  </si>
  <si>
    <t>NAME_CHAR_MAIN</t>
  </si>
  <si>
    <t>ITEM_FAMILY_TYPE_PLAYER</t>
  </si>
  <si>
    <t>ITEM_CARDS_PICKABLE</t>
  </si>
  <si>
    <t>NAME_ITEM_CARDS</t>
  </si>
  <si>
    <t>ITEM_FAMILY_TYPE_OBJECT</t>
  </si>
  <si>
    <t>SPRITE_ITEM_CARDS_PICKABLE</t>
  </si>
  <si>
    <t>ITEM_LAST</t>
  </si>
  <si>
    <t>NAME_NPC_LAST</t>
  </si>
  <si>
    <t>SPRITE_LAST</t>
  </si>
  <si>
    <t>ACTION_COND_ID</t>
  </si>
  <si>
    <t>NeededEvents</t>
  </si>
  <si>
    <t>srcChar</t>
  </si>
  <si>
    <t>srcItem</t>
  </si>
  <si>
    <t>Action_OK</t>
  </si>
  <si>
    <t>Animation_OK</t>
  </si>
  <si>
    <t>Dialog_OK</t>
  </si>
  <si>
    <t>Phrase_OK</t>
  </si>
  <si>
    <t>UnchainCombiEvent</t>
  </si>
  <si>
    <t>EVENT_NONE</t>
  </si>
  <si>
    <t>CHARACTER_NONE</t>
  </si>
  <si>
    <t>INTERACTION_NONE</t>
  </si>
  <si>
    <t>ITEM_USE_ANIMATION_NONE</t>
  </si>
  <si>
    <t>DIALOG_NONE</t>
  </si>
  <si>
    <t>PHRASE_NONE</t>
  </si>
  <si>
    <t>COND_LAST</t>
  </si>
  <si>
    <t>ITEM_USE_ANIMATION_TAKE</t>
  </si>
  <si>
    <t>UNCHAIN_ID</t>
  </si>
  <si>
    <t>Type</t>
  </si>
  <si>
    <t>IgnoreIfEvent</t>
  </si>
  <si>
    <t>TargetItem</t>
  </si>
  <si>
    <t>TargetSprite</t>
  </si>
  <si>
    <t>TargetCharacter</t>
  </si>
  <si>
    <t>TargetMemento</t>
  </si>
  <si>
    <t>TargetEvents</t>
  </si>
  <si>
    <t>UNCHAIN_ROOM1_INITIAL_MEMENTO</t>
  </si>
  <si>
    <t>UNCHAIN_TYPE_NOTIF</t>
  </si>
  <si>
    <t>EVENT_FIRST</t>
  </si>
  <si>
    <t>MEMENTO_NONE</t>
  </si>
  <si>
    <t>SPRITE_ID</t>
  </si>
  <si>
    <t>PATH</t>
  </si>
  <si>
    <t>SPRITE_CURSOR_NORMAL</t>
  </si>
  <si>
    <t>SPRITE_ATLAS_UI_0[SPRITE_CURSOR_NORMAL]</t>
  </si>
  <si>
    <t>SPRITE_CURSOR_USING</t>
  </si>
  <si>
    <t>SPRITE_ATLAS_UI_0[SPRITE_CURSOR_USING]</t>
  </si>
  <si>
    <t>SPRITE_CURSOR_DRAG</t>
  </si>
  <si>
    <t>SPRITE_ATLAS_UI_0[SPRITE_CURSOR_DRAG]</t>
  </si>
  <si>
    <t>SPRITE_INVENTORY</t>
  </si>
  <si>
    <t>SPRITE_ATLAS_UI_0[SPRITE_INVENTORY]</t>
  </si>
  <si>
    <t>SPRITE_UI_TAKE</t>
  </si>
  <si>
    <t>SPRITE_ATLAS_UI_0[SPRITE_ACTION_TAKE]</t>
  </si>
  <si>
    <t>SPRITE_UI_TALK</t>
  </si>
  <si>
    <t>SPRITE_ATLAS_UI_0[SPRITE_ACTION_TALK]</t>
  </si>
  <si>
    <t>SPRITE_UI_OBSERVE</t>
  </si>
  <si>
    <t>SPRITE_ATLAS_UI_0[SPRITE_ACTION_OBSERVE]</t>
  </si>
  <si>
    <t>SPRITE_UI_MOUSE_MOVE</t>
  </si>
  <si>
    <t>SPRITE_ATLAS_UI_0[SPRITE_MOUSE_MOVE]</t>
  </si>
  <si>
    <t>SPRITE_UI_CURSOR_DOOR</t>
  </si>
  <si>
    <t>SPRITE_ATLAS_UI_0[SPRITE_CURSOR_DOOR]</t>
  </si>
  <si>
    <t>BACKGROUND_HIVE1_ROOM1</t>
  </si>
  <si>
    <t>SPRITE_ATLAS_HIVE1_0[BACKGROUND_HIVE1_ROOM1]</t>
  </si>
  <si>
    <t>SPRITE_ATLAS_PICKABLE_0[SPRITE_PICKABLE_CARDS]</t>
  </si>
  <si>
    <t>DIALOG_ID</t>
  </si>
  <si>
    <t>Talkers</t>
  </si>
  <si>
    <t>Options</t>
  </si>
  <si>
    <t>DIALOG_OPTION_NONE</t>
  </si>
  <si>
    <t>DIALOG_SIMPLE</t>
  </si>
  <si>
    <t>DIALOG_OPTION_SIMPLE</t>
  </si>
  <si>
    <t>DIALOG_LAST</t>
  </si>
  <si>
    <t>DIALOG_OPTION_ID</t>
  </si>
  <si>
    <t>EventTriggered</t>
  </si>
  <si>
    <t>DialogTriggered</t>
  </si>
  <si>
    <t>Phrases</t>
  </si>
  <si>
    <t>DIALOG_OPTION_LAST</t>
  </si>
  <si>
    <t>NAME_ID</t>
  </si>
  <si>
    <t>Name_English</t>
  </si>
  <si>
    <t>Name_Spanish</t>
  </si>
  <si>
    <t>Constantino</t>
  </si>
  <si>
    <t>NAME_INTERACTION_TALK</t>
  </si>
  <si>
    <t>Talk</t>
  </si>
  <si>
    <t>Hablar</t>
  </si>
  <si>
    <t>NAME_INTERACTION_OBSERVE</t>
  </si>
  <si>
    <t>Observe</t>
  </si>
  <si>
    <t>Observar</t>
  </si>
  <si>
    <t>NAME_INTERACTION_TAKE</t>
  </si>
  <si>
    <t>Take</t>
  </si>
  <si>
    <t>Tomar</t>
  </si>
  <si>
    <t>NAME_ITEM_SECR_DESK</t>
  </si>
  <si>
    <t>Secretary desk</t>
  </si>
  <si>
    <t>Cajonera</t>
  </si>
  <si>
    <t>NAME_NPC_REME</t>
  </si>
  <si>
    <t>Remedios</t>
  </si>
  <si>
    <t>NAME_ITEM_PERFUME</t>
  </si>
  <si>
    <t>Perfum</t>
  </si>
  <si>
    <t>Perfume</t>
  </si>
  <si>
    <t>Card set</t>
  </si>
  <si>
    <t>Baraja naipes</t>
  </si>
  <si>
    <t>NAME_ITEM_MATCHES</t>
  </si>
  <si>
    <t>Matches</t>
  </si>
  <si>
    <t>Cerillas</t>
  </si>
  <si>
    <t>NAME_ITEM_DOPP</t>
  </si>
  <si>
    <t>Dopp kit</t>
  </si>
  <si>
    <t>Bolsa de aseo</t>
  </si>
  <si>
    <t>Last</t>
  </si>
  <si>
    <t>Ultimo</t>
  </si>
  <si>
    <t>PHRASE_ID</t>
  </si>
  <si>
    <t>TalkerIndex</t>
  </si>
  <si>
    <t>Sound</t>
  </si>
  <si>
    <t>CharAnimation</t>
  </si>
  <si>
    <t>Text_English</t>
  </si>
  <si>
    <t>Text_Spanish</t>
  </si>
  <si>
    <t>DIALOG_ANIMATION_NONE</t>
  </si>
  <si>
    <t>PHRASE_NONSENSE</t>
  </si>
  <si>
    <t>DIALOG_ANIMATION_TALK</t>
  </si>
  <si>
    <t>That has no sense!</t>
  </si>
  <si>
    <t>¡Eso no tiene sentido!</t>
  </si>
  <si>
    <t>PHRASE_NONSENSE_OBSERVE</t>
  </si>
  <si>
    <t>That has nothing outstanding</t>
  </si>
  <si>
    <t>No tiene nada del otro mundo</t>
  </si>
  <si>
    <t>PHRASE_NONSENSE_TALK</t>
  </si>
  <si>
    <t>Nothing to tell</t>
  </si>
  <si>
    <t>Nada que decir</t>
  </si>
  <si>
    <t>PHRASE_NONSENSE_NOT_THOUGHT</t>
  </si>
  <si>
    <t>I see no reason for doing that</t>
  </si>
  <si>
    <t>No veo razón para hacer eso</t>
  </si>
  <si>
    <t>PHRASE_NONSENSE_COMBI</t>
  </si>
  <si>
    <t>I don't get it - Too complicated</t>
  </si>
  <si>
    <t>No lo pillo - Es demasiado complicado</t>
  </si>
  <si>
    <t>PHRASE_ALREADY_COMBI</t>
  </si>
  <si>
    <t>I already thought that</t>
  </si>
  <si>
    <t>Ya le di una vuelta a aquello</t>
  </si>
  <si>
    <t>PHRASE_GREAT_IDEA_COMBI</t>
  </si>
  <si>
    <t>That is a great idea!</t>
  </si>
  <si>
    <t>Es una genial idea!</t>
  </si>
  <si>
    <t>ROOM_ID</t>
  </si>
  <si>
    <t>BackgroundSprite</t>
  </si>
  <si>
    <t>CompoundSpritesText</t>
  </si>
  <si>
    <t>CompoundPhrasesText</t>
  </si>
  <si>
    <t>CompoundItemsText</t>
  </si>
  <si>
    <t>NeededBackgrounds_Sprites</t>
  </si>
  <si>
    <t>NeededItems</t>
  </si>
  <si>
    <t>NeededPhrases</t>
  </si>
  <si>
    <t>ROOM_NONE</t>
  </si>
  <si>
    <t>ROOM_1</t>
  </si>
  <si>
    <t>ROOM_LAST</t>
  </si>
  <si>
    <t>CHARACTER_TYPE_ID</t>
  </si>
  <si>
    <t>CHARACTER_MAIN</t>
  </si>
  <si>
    <t>CHARACTER_PARROT</t>
  </si>
  <si>
    <t>CHARACTER_SNAKE</t>
  </si>
  <si>
    <t>ANIMATION_ID</t>
  </si>
  <si>
    <t>ITEM_USE_ANIMATION_NORMAL</t>
  </si>
  <si>
    <t>ITEM_USE_ANIMATION_CONFUSE</t>
  </si>
  <si>
    <t>ITEM_USE_ANIMATION_STARE_SCREEN</t>
  </si>
  <si>
    <t>ITEM_USE_ANIMATION_POUR</t>
  </si>
  <si>
    <t>INTERACTION_ID</t>
  </si>
  <si>
    <t>INTERACTION_MOVE</t>
  </si>
  <si>
    <t>INTERACTION_USE</t>
  </si>
  <si>
    <t>INTERACTION_TAKE</t>
  </si>
  <si>
    <t>INTERACTION_OBSERVE</t>
  </si>
  <si>
    <t>INTERACTION_TALK</t>
  </si>
  <si>
    <t>INTERACTION_CROSS_DOOR</t>
  </si>
  <si>
    <t>UNCHAIN_TYPE_ID</t>
  </si>
  <si>
    <t>UNCHAIN_TYPE_SPAWN</t>
  </si>
  <si>
    <t>UNCHAIN_TYPE_DESPAWN</t>
  </si>
  <si>
    <t>UNCHAIN_TYPE_SET_SPRITE</t>
  </si>
  <si>
    <t>UNCHAIN_TYPE_EARN_ITEM</t>
  </si>
  <si>
    <t>UNCHAIN_TYPE_LOSE_ITEM</t>
  </si>
  <si>
    <t>UNCHAIN_TYPE_EVENT</t>
  </si>
  <si>
    <t>UNCHAIN_TYPE_MEMENTO</t>
  </si>
  <si>
    <t>DIALOG_ANIMATION_ID</t>
  </si>
  <si>
    <t>ITEM_FAMILY_TYPE_ID</t>
  </si>
  <si>
    <t>ITEM_FAMILY_TYPE_DOOR</t>
  </si>
  <si>
    <t>ITEM_FAMILY_TYPE_NPC</t>
  </si>
  <si>
    <t>EVENT_ID</t>
  </si>
  <si>
    <t>EVENT_LAST</t>
  </si>
  <si>
    <t>MEMENTO_PARENT_ID</t>
  </si>
  <si>
    <t>Sprite</t>
  </si>
  <si>
    <t>Children</t>
  </si>
  <si>
    <t>MEMENTO_PARENT_NONE</t>
  </si>
  <si>
    <t>MEMENTO_PARENT_LAST</t>
  </si>
  <si>
    <t>MEMENTO_ID</t>
  </si>
  <si>
    <t>Parent</t>
  </si>
  <si>
    <t>Phrase</t>
  </si>
  <si>
    <t>Combinations</t>
  </si>
  <si>
    <t>Final</t>
  </si>
  <si>
    <t>MEMENTO_COMBI_NONE</t>
  </si>
  <si>
    <t>MEMENTO_LAST</t>
  </si>
  <si>
    <t>MEMENTO_COMBI_ID</t>
  </si>
  <si>
    <t>TriggeredEvent</t>
  </si>
  <si>
    <t>EVENT_COMBI_ID</t>
  </si>
  <si>
    <t>ITEM_ID (Ref)</t>
  </si>
  <si>
    <t>USABLE_AFTER_ACTION</t>
  </si>
  <si>
    <t>ALWAYS</t>
  </si>
  <si>
    <t>TASK</t>
  </si>
  <si>
    <t>PRIO</t>
  </si>
  <si>
    <t>DONE</t>
  </si>
  <si>
    <t>ONGOING</t>
  </si>
  <si>
    <t>Talk with characters</t>
  </si>
  <si>
    <t>Plot (1st part)</t>
  </si>
  <si>
    <t>Improve Waypoint Tool (naming)</t>
  </si>
  <si>
    <t>Language files</t>
  </si>
  <si>
    <t>Background objects layers</t>
  </si>
  <si>
    <t>Bug with menu of items (not selecting)</t>
  </si>
  <si>
    <t>Loading screen between rooms</t>
  </si>
  <si>
    <t>Main event list (Tomba style)</t>
  </si>
  <si>
    <t>Parry - Notifications - Max 4 queue</t>
  </si>
  <si>
    <t>Trophies</t>
  </si>
  <si>
    <t>Observe items, NPCs, trigger events</t>
  </si>
  <si>
    <t>Seealso in services. Add owner in descr</t>
  </si>
  <si>
    <t>Avoid services modifying VARMAP</t>
  </si>
  <si>
    <t>Normalize menu items with dialog opts</t>
  </si>
  <si>
    <t>Use Dictionaries for LevelManager</t>
  </si>
  <si>
    <t>State change deactivation/activation</t>
  </si>
  <si>
    <t>Adressables instead of Resources</t>
  </si>
  <si>
    <t>Sprite Atlas addressable</t>
  </si>
  <si>
    <t>Enshorten stack</t>
  </si>
  <si>
    <t>Re-think usage of ITEM_TAKE, USE_TALK</t>
  </si>
  <si>
    <t>Spawn/Despawn conditions</t>
  </si>
  <si>
    <t>Drag with mouse</t>
  </si>
  <si>
    <t>Zoom</t>
  </si>
  <si>
    <t>More upper button commands</t>
  </si>
  <si>
    <t>Waypoint numeration in Editor</t>
  </si>
  <si>
    <t>Use one raycast for all objets (Input)</t>
  </si>
  <si>
    <t>SPRITES</t>
  </si>
  <si>
    <t>WORK</t>
  </si>
  <si>
    <t>NAMES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</si>
</sst>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5">
    <font>
      <sz val="11.0"/>
      <color theme="1"/>
      <name val="Calibri"/>
      <scheme val="minor"/>
    </font>
    <font>
      <color theme="1"/>
      <name val="Calibri"/>
    </font>
    <font>
      <sz val="11.0"/>
      <color rgb="FF000000"/>
      <name val="Calibri"/>
    </font>
    <font>
      <color theme="1"/>
      <name val="Calibri"/>
      <scheme val="minor"/>
    </font>
    <font>
      <sz val="11.0"/>
      <color theme="1"/>
      <name val="Calibri"/>
    </font>
  </fonts>
  <fills count="3">
    <fill>
      <patternFill patternType="none"/>
    </fill>
    <fill>
      <patternFill patternType="lightGray"/>
    </fill>
    <fill>
      <patternFill patternType="solid">
        <fgColor rgb="FFC9DAF8"/>
        <bgColor rgb="FFC9DAF8"/>
      </patternFill>
    </fill>
  </fills>
  <borders count="2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54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left" readingOrder="0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0" fontId="2" numFmtId="0" xfId="0" applyAlignment="1" applyFont="1">
      <alignment shrinkToFit="0" vertical="center" wrapText="0"/>
    </xf>
    <xf borderId="0" fillId="0" fontId="2" numFmtId="0" xfId="0" applyAlignment="1" applyFont="1">
      <alignment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2" fontId="2" numFmtId="0" xfId="0" applyAlignment="1" applyFill="1" applyFont="1">
      <alignment shrinkToFit="0" vertical="center" wrapText="0"/>
    </xf>
    <xf borderId="0" fillId="2" fontId="2" numFmtId="0" xfId="0" applyAlignment="1" applyFont="1">
      <alignment readingOrder="0" shrinkToFit="0" vertical="center" wrapText="0"/>
    </xf>
    <xf borderId="0" fillId="0" fontId="2" numFmtId="0" xfId="0" applyAlignment="1" applyFont="1">
      <alignment shrinkToFit="0" vertical="center" wrapText="0"/>
    </xf>
    <xf quotePrefix="1" borderId="0" fillId="0" fontId="2" numFmtId="0" xfId="0" applyAlignment="1" applyFont="1">
      <alignment readingOrder="0" shrinkToFit="0" vertical="center" wrapText="0"/>
    </xf>
    <xf borderId="0" fillId="0" fontId="3" numFmtId="0" xfId="0" applyAlignment="1" applyFont="1">
      <alignment readingOrder="0"/>
    </xf>
    <xf borderId="0" fillId="0" fontId="1" numFmtId="0" xfId="0" applyAlignment="1" applyFont="1">
      <alignment horizontal="left" readingOrder="0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0" fontId="2" numFmtId="0" xfId="0" applyAlignment="1" applyFont="1">
      <alignment readingOrder="0" shrinkToFit="0" vertical="bottom" wrapText="0"/>
    </xf>
    <xf borderId="0" fillId="0" fontId="2" numFmtId="0" xfId="0" applyAlignment="1" applyFont="1">
      <alignment shrinkToFit="0" vertical="bottom" wrapText="0"/>
    </xf>
    <xf borderId="0" fillId="0" fontId="2" numFmtId="0" xfId="0" applyAlignment="1" applyFont="1">
      <alignment readingOrder="0" shrinkToFit="0" vertical="bottom" wrapText="0"/>
    </xf>
    <xf borderId="0" fillId="0" fontId="4" numFmtId="0" xfId="0" applyAlignment="1" applyFont="1">
      <alignment vertical="bottom"/>
    </xf>
    <xf borderId="0" fillId="0" fontId="2" numFmtId="0" xfId="0" applyAlignment="1" applyFont="1">
      <alignment shrinkToFit="0" vertical="bottom" wrapText="0"/>
    </xf>
    <xf borderId="0" fillId="0" fontId="2" numFmtId="0" xfId="0" applyAlignment="1" applyFont="1">
      <alignment shrinkToFit="0" vertical="bottom" wrapText="0"/>
    </xf>
    <xf borderId="0" fillId="0" fontId="3" numFmtId="0" xfId="0" applyAlignment="1" applyFont="1">
      <alignment horizontal="left" readingOrder="0" shrinkToFit="0" vertical="center" wrapText="0"/>
    </xf>
    <xf borderId="0" fillId="0" fontId="3" numFmtId="49" xfId="0" applyAlignment="1" applyFont="1" applyNumberFormat="1">
      <alignment horizontal="left" readingOrder="0" shrinkToFit="0" vertical="center" wrapText="0"/>
    </xf>
    <xf borderId="0" fillId="0" fontId="3" numFmtId="0" xfId="0" applyAlignment="1" applyFont="1">
      <alignment horizontal="left" readingOrder="0" shrinkToFit="0" vertical="center" wrapText="0"/>
    </xf>
    <xf borderId="1" fillId="0" fontId="3" numFmtId="0" xfId="0" applyAlignment="1" applyBorder="1" applyFont="1">
      <alignment readingOrder="0" shrinkToFit="0" vertical="center" wrapText="0"/>
    </xf>
    <xf borderId="1" fillId="0" fontId="3" numFmtId="0" xfId="0" applyAlignment="1" applyBorder="1" applyFont="1">
      <alignment readingOrder="0" shrinkToFit="0" vertical="center" wrapText="0"/>
    </xf>
    <xf borderId="1" fillId="0" fontId="3" numFmtId="0" xfId="0" applyAlignment="1" applyBorder="1" applyFont="1">
      <alignment readingOrder="0" shrinkToFit="0" vertical="center" wrapText="1"/>
    </xf>
    <xf borderId="1" fillId="0" fontId="3" numFmtId="0" xfId="0" applyAlignment="1" applyBorder="1" applyFont="1">
      <alignment readingOrder="0" shrinkToFit="0" vertical="center" wrapText="1"/>
    </xf>
    <xf borderId="1" fillId="0" fontId="3" numFmtId="0" xfId="0" applyAlignment="1" applyBorder="1" applyFont="1">
      <alignment horizontal="center" readingOrder="0" shrinkToFit="0" vertical="center" wrapText="0"/>
    </xf>
    <xf borderId="1" fillId="0" fontId="3" numFmtId="0" xfId="0" applyAlignment="1" applyBorder="1" applyFont="1">
      <alignment readingOrder="0" shrinkToFit="0" vertical="center" wrapText="1"/>
    </xf>
    <xf borderId="0" fillId="0" fontId="3" numFmtId="0" xfId="0" applyAlignment="1" applyFont="1">
      <alignment readingOrder="0" shrinkToFit="0" vertical="center" wrapText="0"/>
    </xf>
    <xf borderId="0" fillId="0" fontId="3" numFmtId="0" xfId="0" applyAlignment="1" applyFont="1">
      <alignment readingOrder="0" shrinkToFit="0" vertical="center" wrapText="1"/>
    </xf>
    <xf borderId="0" fillId="0" fontId="3" numFmtId="0" xfId="0" applyAlignment="1" applyFont="1">
      <alignment readingOrder="0" shrinkToFit="0" vertical="center" wrapText="0"/>
    </xf>
    <xf borderId="0" fillId="0" fontId="3" numFmtId="0" xfId="0" applyAlignment="1" applyFont="1">
      <alignment readingOrder="0" shrinkToFit="0" vertical="center" wrapText="1"/>
    </xf>
    <xf borderId="0" fillId="0" fontId="3" numFmtId="0" xfId="0" applyAlignment="1" applyFont="1">
      <alignment readingOrder="0" shrinkToFit="0" vertical="center" wrapText="0"/>
    </xf>
    <xf borderId="0" fillId="0" fontId="3" numFmtId="0" xfId="0" applyAlignment="1" applyFont="1">
      <alignment readingOrder="0" shrinkToFit="0" vertical="center" wrapText="1"/>
    </xf>
    <xf borderId="0" fillId="0" fontId="3" numFmtId="0" xfId="0" applyAlignment="1" applyFont="1">
      <alignment readingOrder="0" shrinkToFit="0" vertical="center" wrapText="1"/>
    </xf>
    <xf borderId="0" fillId="0" fontId="3" numFmtId="0" xfId="0" applyFont="1"/>
    <xf borderId="1" fillId="0" fontId="3" numFmtId="0" xfId="0" applyAlignment="1" applyBorder="1" applyFont="1">
      <alignment horizontal="left" readingOrder="0" shrinkToFit="0" vertical="center" wrapText="0"/>
    </xf>
    <xf borderId="1" fillId="0" fontId="3" numFmtId="49" xfId="0" applyAlignment="1" applyBorder="1" applyFont="1" applyNumberFormat="1">
      <alignment horizontal="left" readingOrder="0" shrinkToFit="0" vertical="center" wrapText="0"/>
    </xf>
    <xf borderId="1" fillId="0" fontId="3" numFmtId="0" xfId="0" applyAlignment="1" applyBorder="1" applyFont="1">
      <alignment shrinkToFit="0" vertical="center" wrapText="0"/>
    </xf>
    <xf borderId="0" fillId="0" fontId="3" numFmtId="49" xfId="0" applyAlignment="1" applyFont="1" applyNumberFormat="1">
      <alignment horizontal="left" readingOrder="0" shrinkToFit="0" vertical="center" wrapText="1"/>
    </xf>
    <xf borderId="0" fillId="0" fontId="3" numFmtId="0" xfId="0" applyAlignment="1" applyFont="1">
      <alignment shrinkToFit="0" vertical="center" wrapText="1"/>
    </xf>
    <xf borderId="1" fillId="2" fontId="3" numFmtId="0" xfId="0" applyAlignment="1" applyBorder="1" applyFont="1">
      <alignment shrinkToFit="0" vertical="center" wrapText="1"/>
    </xf>
    <xf borderId="0" fillId="0" fontId="3" numFmtId="49" xfId="0" applyAlignment="1" applyFont="1" applyNumberFormat="1">
      <alignment horizontal="left" readingOrder="0" shrinkToFit="0" vertical="center" wrapText="0"/>
    </xf>
    <xf borderId="0" fillId="2" fontId="3" numFmtId="0" xfId="0" applyAlignment="1" applyFont="1">
      <alignment readingOrder="0" shrinkToFit="0" vertical="center" wrapText="0"/>
    </xf>
    <xf borderId="0" fillId="0" fontId="3" numFmtId="0" xfId="0" applyAlignment="1" applyFont="1">
      <alignment horizontal="left" readingOrder="0" shrinkToFit="0" vertical="center" wrapText="0"/>
    </xf>
    <xf borderId="0" fillId="0" fontId="3" numFmtId="0" xfId="0" applyAlignment="1" applyFont="1">
      <alignment readingOrder="0" shrinkToFit="0" vertical="center" wrapText="0"/>
    </xf>
    <xf borderId="0" fillId="0" fontId="3" numFmtId="0" xfId="0" applyAlignment="1" applyFont="1">
      <alignment horizontal="center" readingOrder="0" shrinkToFit="0" vertical="center" wrapText="0"/>
    </xf>
    <xf borderId="0" fillId="0" fontId="3" numFmtId="0" xfId="0" applyAlignment="1" applyFont="1">
      <alignment readingOrder="0" shrinkToFit="0" vertical="center" wrapText="0"/>
    </xf>
    <xf borderId="0" fillId="0" fontId="3" numFmtId="0" xfId="0" applyAlignment="1" applyFont="1">
      <alignment readingOrder="0" shrinkToFit="0" vertical="center" wrapText="0"/>
    </xf>
    <xf borderId="0" fillId="0" fontId="3" numFmtId="0" xfId="0" applyAlignment="1" applyFont="1">
      <alignment shrinkToFit="0" vertical="center" wrapText="0"/>
    </xf>
    <xf borderId="0" fillId="0" fontId="3" numFmtId="0" xfId="0" applyFont="1"/>
    <xf borderId="0" fillId="0" fontId="3" numFmtId="0" xfId="0" applyAlignment="1" applyFont="1">
      <alignment readingOrder="0" shrinkToFit="0" vertical="center" wrapText="0"/>
    </xf>
    <xf borderId="0" fillId="0" fontId="3" numFmtId="0" xfId="0" applyAlignment="1" applyFont="1">
      <alignment horizontal="left" readingOrder="0" shrinkToFit="0" vertical="center" wrapText="0"/>
    </xf>
    <xf borderId="0" fillId="0" fontId="3" numFmtId="0" xfId="0" applyAlignment="1" applyFont="1">
      <alignment shrinkToFit="0" vertical="center" wrapText="0"/>
    </xf>
  </cellXfs>
  <cellStyles count="1">
    <cellStyle xfId="0" name="Normal" builtinId="0"/>
  </cellStyles>
  <dxfs count="6"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ont>
        <strike/>
      </font>
      <fill>
        <patternFill patternType="solid">
          <fgColor rgb="FFB7E1CD"/>
          <bgColor rgb="FFB7E1CD"/>
        </patternFill>
      </fill>
      <border/>
    </dxf>
  </dxfs>
  <tableStyles count="25">
    <tableStyle count="4" pivot="0" name="VARMAP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SERVICES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ITEMS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ACTION_CONDS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ACTION_CONDS-style 2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SPRITES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DIALOGS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DIALOGS-style 2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NAMES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PHRASES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ROOMS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TYPES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TYPES-style 2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TYPES-style 3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TYPES-style 4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TYPES-style 5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TYPES-style 6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EVENTS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EVENTS-style 2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EVENTS-style 3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EVENTS-style 4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EVENTS-style 5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_TODO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_CONSTANTS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_CONSTANTS-style 2">
      <tableStyleElement dxfId="1" type="headerRow"/>
      <tableStyleElement dxfId="2" type="firstRowStripe"/>
      <tableStyleElement dxfId="3" type="secondRowStripe"/>
      <tableStyleElement dxfId="4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11" Type="http://schemas.openxmlformats.org/officeDocument/2006/relationships/worksheet" Target="worksheets/sheet8.xml"/><Relationship Id="rId10" Type="http://schemas.openxmlformats.org/officeDocument/2006/relationships/worksheet" Target="worksheets/sheet7.xml"/><Relationship Id="rId13" Type="http://schemas.openxmlformats.org/officeDocument/2006/relationships/worksheet" Target="worksheets/sheet10.xml"/><Relationship Id="rId12" Type="http://schemas.openxmlformats.org/officeDocument/2006/relationships/worksheet" Target="worksheets/sheet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9" Type="http://schemas.openxmlformats.org/officeDocument/2006/relationships/worksheet" Target="worksheets/sheet6.xml"/><Relationship Id="rId15" Type="http://schemas.openxmlformats.org/officeDocument/2006/relationships/worksheet" Target="worksheets/sheet12.xml"/><Relationship Id="rId14" Type="http://schemas.openxmlformats.org/officeDocument/2006/relationships/worksheet" Target="worksheets/sheet11.xml"/><Relationship Id="rId17" Type="http://schemas.openxmlformats.org/officeDocument/2006/relationships/worksheet" Target="worksheets/sheet14.xml"/><Relationship Id="rId16" Type="http://schemas.openxmlformats.org/officeDocument/2006/relationships/worksheet" Target="worksheets/sheet13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18" Type="http://customschemas.google.com/relationships/workbookmetadata" Target="metadata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ables/table1.xml><?xml version="1.0" encoding="utf-8"?>
<table xmlns="http://schemas.openxmlformats.org/spreadsheetml/2006/main" ref="A1:P19" displayName="Table_Varmap" name="Table_Varmap" id="1">
  <tableColumns count="16">
    <tableColumn name="N" id="1"/>
    <tableColumn name="ENUM_ID" id="2"/>
    <tableColumn name="TYPE" id="3"/>
    <tableColumn name="SAFE" id="4"/>
    <tableColumn name="ARRAY" id="5"/>
    <tableColumn name="DEFVALUE" id="6"/>
    <tableColumn name="SAVE" id="7"/>
    <tableColumn name="Separator" id="8"/>
    <tableColumn name="GameMaster" id="9"/>
    <tableColumn name="InputMaster" id="10"/>
    <tableColumn name="LevelMaster" id="11"/>
    <tableColumn name="GraphicsMaster" id="12"/>
    <tableColumn name="GameMenu" id="13"/>
    <tableColumn name="PlayerMaster" id="14"/>
    <tableColumn name="ItemMaster" id="15"/>
    <tableColumn name="GameEventMaster" id="16"/>
  </tableColumns>
  <tableStyleInfo name="VARMAP-style" showColumnStripes="0" showFirstColumn="1" showLastColumn="1" showRowStripes="1"/>
</table>
</file>

<file path=xl/tables/table2.xml><?xml version="1.0" encoding="utf-8"?>
<table xmlns="http://schemas.openxmlformats.org/spreadsheetml/2006/main" ref="A1:N33" displayName="Table_Services" name="Table_Services" id="2">
  <tableColumns count="14">
    <tableColumn name="N" id="1"/>
    <tableColumn name="SERVICE_ID" id="2"/>
    <tableColumn name="SPECIAL_DELEGATE" id="3"/>
    <tableColumn name="SERVICE_ROUTE" id="4"/>
    <tableColumn name="Description" id="5"/>
    <tableColumn name="Separator" id="6"/>
    <tableColumn name="GameMaster" id="7"/>
    <tableColumn name="InputMaster" id="8"/>
    <tableColumn name="LevelMaster" id="9"/>
    <tableColumn name="GraphicsMaster" id="10"/>
    <tableColumn name="GameMenu" id="11"/>
    <tableColumn name="PlayerMaster" id="12"/>
    <tableColumn name="ItemMaster" id="13"/>
    <tableColumn name="GameEventMaster" id="14"/>
  </tableColumns>
  <tableStyleInfo name="SERVICES-style" showColumnStripes="0" showFirstColumn="1" showLastColumn="1" showRowStripes="1"/>
</table>
</file>

<file path=xl/tables/table3.xml><?xml version="1.0" encoding="utf-8"?>
<table xmlns="http://schemas.openxmlformats.org/spreadsheetml/2006/main" ref="A1:I5" displayName="Table_Items" name="Table_Items" id="3">
  <tableColumns count="9">
    <tableColumn name="N" id="1"/>
    <tableColumn name="ITEM_ID" id="2"/>
    <tableColumn name="Name" id="3"/>
    <tableColumn name="FamilyType" id="4"/>
    <tableColumn name="Sprites" id="5"/>
    <tableColumn name="DefaultSprite" id="6"/>
    <tableColumn name="PICKABLE" id="7"/>
    <tableColumn name="SpritePickable" id="8"/>
    <tableColumn name="ActionConditions" id="9"/>
  </tableColumns>
  <tableStyleInfo name="ITEMS-style" showColumnStripes="0" showFirstColumn="1" showLastColumn="1" showRowStripes="1"/>
</table>
</file>

<file path=xl/tables/table4.xml><?xml version="1.0" encoding="utf-8"?>
<table xmlns="http://schemas.openxmlformats.org/spreadsheetml/2006/main" ref="A1:J3" displayName="Table_Action_Conditions" name="Table_Action_Conditions" id="4">
  <tableColumns count="10">
    <tableColumn name="N" id="1"/>
    <tableColumn name="ACTION_COND_ID" id="2"/>
    <tableColumn name="NeededEvents" id="3"/>
    <tableColumn name="srcChar" id="4"/>
    <tableColumn name="srcItem" id="5"/>
    <tableColumn name="Action_OK" id="6"/>
    <tableColumn name="Animation_OK" id="7"/>
    <tableColumn name="Dialog_OK" id="8"/>
    <tableColumn name="Phrase_OK" id="9"/>
    <tableColumn name="UnchainCombiEvent" id="10"/>
  </tableColumns>
  <tableStyleInfo name="ACTION_CONDS-style" showColumnStripes="0" showFirstColumn="1" showLastColumn="1" showRowStripes="1"/>
</table>
</file>

<file path=xl/tables/table5.xml><?xml version="1.0" encoding="utf-8"?>
<table xmlns="http://schemas.openxmlformats.org/spreadsheetml/2006/main" ref="A5:J6" displayName="Table_Unchain_Conditions" name="Table_Unchain_Conditions" id="5">
  <tableColumns count="10">
    <tableColumn name="N" id="1"/>
    <tableColumn name="UNCHAIN_ID" id="2"/>
    <tableColumn name="Type" id="3"/>
    <tableColumn name="IgnoreIfEvent" id="4"/>
    <tableColumn name="NeededEvents" id="5"/>
    <tableColumn name="TargetItem" id="6"/>
    <tableColumn name="TargetSprite" id="7"/>
    <tableColumn name="TargetCharacter" id="8"/>
    <tableColumn name="TargetMemento" id="9"/>
    <tableColumn name="TargetEvents" id="10"/>
  </tableColumns>
  <tableStyleInfo name="ACTION_CONDS-style 2" showColumnStripes="0" showFirstColumn="1" showLastColumn="1" showRowStripes="1"/>
</table>
</file>

<file path=xl/tables/table6.xml><?xml version="1.0" encoding="utf-8"?>
<table xmlns="http://schemas.openxmlformats.org/spreadsheetml/2006/main" ref="A1:C14" displayName="Table_sprites" name="Table_sprites" id="6">
  <tableColumns count="3">
    <tableColumn name="N" id="1"/>
    <tableColumn name="SPRITE_ID" id="2"/>
    <tableColumn name="PATH" id="3"/>
  </tableColumns>
  <tableStyleInfo name="SPRITES-style" showColumnStripes="0" showFirstColumn="1" showLastColumn="1" showRowStripes="1"/>
</table>
</file>

<file path=xl/tables/table7.xml><?xml version="1.0" encoding="utf-8"?>
<table xmlns="http://schemas.openxmlformats.org/spreadsheetml/2006/main" ref="A1:D4" displayName="Table_Dialogs" name="Table_Dialogs" id="7">
  <tableColumns count="4">
    <tableColumn name="N" id="1"/>
    <tableColumn name="DIALOG_ID" id="2"/>
    <tableColumn name="Talkers" id="3"/>
    <tableColumn name="Options" id="4"/>
  </tableColumns>
  <tableStyleInfo name="DIALOGS-style" showColumnStripes="0" showFirstColumn="1" showLastColumn="1" showRowStripes="1"/>
</table>
</file>

<file path=xl/tables/table8.xml><?xml version="1.0" encoding="utf-8"?>
<table xmlns="http://schemas.openxmlformats.org/spreadsheetml/2006/main" ref="A6:F9" displayName="Table_Dialog_Options" name="Table_Dialog_Options" id="8">
  <tableColumns count="6">
    <tableColumn name="N" id="1"/>
    <tableColumn name="DIALOG_OPTION_ID" id="2"/>
    <tableColumn name="NeededEvents" id="3"/>
    <tableColumn name="EventTriggered" id="4"/>
    <tableColumn name="DialogTriggered" id="5"/>
    <tableColumn name="Phrases" id="6"/>
  </tableColumns>
  <tableStyleInfo name="DIALOGS-style 2" showColumnStripes="0" showFirstColumn="1" showLastColumn="1" showRowStripes="1"/>
</table>
</file>

<file path=xl/tables/table9.xml><?xml version="1.0" encoding="utf-8"?>
<table xmlns="http://schemas.openxmlformats.org/spreadsheetml/2006/main" ref="A1:D13" displayName="Table_Name" name="Table_Name" id="9">
  <tableColumns count="4">
    <tableColumn name="N" id="1"/>
    <tableColumn name="NAME_ID" id="2"/>
    <tableColumn name="Name_English" id="3"/>
    <tableColumn name="Name_Spanish" id="4"/>
  </tableColumns>
  <tableStyleInfo name="NAMES-style" showColumnStripes="0" showFirstColumn="1" showLastColumn="1" showRowStripes="1"/>
</table>
</file>

<file path=xl/tables/table10.xml><?xml version="1.0" encoding="utf-8"?>
<table xmlns="http://schemas.openxmlformats.org/spreadsheetml/2006/main" ref="A1:G9" displayName="Table_Phrases" name="Table_Phrases" id="10">
  <tableColumns count="7">
    <tableColumn name="N" id="1"/>
    <tableColumn name="PHRASE_ID" id="2"/>
    <tableColumn name="TalkerIndex" id="3"/>
    <tableColumn name="Sound" id="4"/>
    <tableColumn name="CharAnimation" id="5"/>
    <tableColumn name="Text_English" id="6"/>
    <tableColumn name="Text_Spanish" id="7"/>
  </tableColumns>
  <tableStyleInfo name="PHRASES-style" showColumnStripes="0" showFirstColumn="1" showLastColumn="1" showRowStripes="1"/>
</table>
</file>

<file path=xl/tables/table11.xml><?xml version="1.0" encoding="utf-8"?>
<table xmlns="http://schemas.openxmlformats.org/spreadsheetml/2006/main" ref="A1:I4" displayName="Table_Rooms" name="Table_Rooms" id="11">
  <tableColumns count="9">
    <tableColumn name="N" id="1"/>
    <tableColumn name="ROOM_ID" id="2"/>
    <tableColumn name="BackgroundSprite" id="3"/>
    <tableColumn name="CompoundSpritesText" id="4"/>
    <tableColumn name="CompoundPhrasesText" id="5"/>
    <tableColumn name="CompoundItemsText" id="6"/>
    <tableColumn name="NeededBackgrounds_Sprites" id="7"/>
    <tableColumn name="NeededItems" id="8"/>
    <tableColumn name="NeededPhrases" id="9"/>
  </tableColumns>
  <tableStyleInfo name="ROOMS-style" showColumnStripes="0" showFirstColumn="1" showLastColumn="1" showRowStripes="1"/>
</table>
</file>

<file path=xl/tables/table12.xml><?xml version="1.0" encoding="utf-8"?>
<table xmlns="http://schemas.openxmlformats.org/spreadsheetml/2006/main" ref="A1:B5" displayName="Table_Characters" name="Table_Characters" id="12">
  <tableColumns count="2">
    <tableColumn name="N" id="1"/>
    <tableColumn name="CHARACTER_TYPE_ID" id="2"/>
  </tableColumns>
  <tableStyleInfo name="TYPES-style" showColumnStripes="0" showFirstColumn="1" showLastColumn="1" showRowStripes="1"/>
</table>
</file>

<file path=xl/tables/table13.xml><?xml version="1.0" encoding="utf-8"?>
<table xmlns="http://schemas.openxmlformats.org/spreadsheetml/2006/main" ref="A7:B13" displayName="Table_ItemUse_Animation" name="Table_ItemUse_Animation" id="13">
  <tableColumns count="2">
    <tableColumn name="N" id="1"/>
    <tableColumn name="ANIMATION_ID" id="2"/>
  </tableColumns>
  <tableStyleInfo name="TYPES-style 2" showColumnStripes="0" showFirstColumn="1" showLastColumn="1" showRowStripes="1"/>
</table>
</file>

<file path=xl/tables/table14.xml><?xml version="1.0" encoding="utf-8"?>
<table xmlns="http://schemas.openxmlformats.org/spreadsheetml/2006/main" ref="A15:B22" displayName="Table_Interaction" name="Table_Interaction" id="14">
  <tableColumns count="2">
    <tableColumn name="N" id="1"/>
    <tableColumn name="INTERACTION_ID" id="2"/>
  </tableColumns>
  <tableStyleInfo name="TYPES-style 3" showColumnStripes="0" showFirstColumn="1" showLastColumn="1" showRowStripes="1"/>
</table>
</file>

<file path=xl/tables/table15.xml><?xml version="1.0" encoding="utf-8"?>
<table xmlns="http://schemas.openxmlformats.org/spreadsheetml/2006/main" ref="A24:B32" displayName="Table_Unchain_Type" name="Table_Unchain_Type" id="15">
  <tableColumns count="2">
    <tableColumn name="N" id="1"/>
    <tableColumn name="UNCHAIN_TYPE_ID" id="2"/>
  </tableColumns>
  <tableStyleInfo name="TYPES-style 4" showColumnStripes="0" showFirstColumn="1" showLastColumn="1" showRowStripes="1"/>
</table>
</file>

<file path=xl/tables/table16.xml><?xml version="1.0" encoding="utf-8"?>
<table xmlns="http://schemas.openxmlformats.org/spreadsheetml/2006/main" ref="A34:B36" displayName="Table_Dialog_Animation" name="Table_Dialog_Animation" id="16">
  <tableColumns count="2">
    <tableColumn name="N" id="1"/>
    <tableColumn name="DIALOG_ANIMATION_ID" id="2"/>
  </tableColumns>
  <tableStyleInfo name="TYPES-style 5" showColumnStripes="0" showFirstColumn="1" showLastColumn="1" showRowStripes="1"/>
</table>
</file>

<file path=xl/tables/table17.xml><?xml version="1.0" encoding="utf-8"?>
<table xmlns="http://schemas.openxmlformats.org/spreadsheetml/2006/main" ref="A38:B43" displayName="Table_Item_Family_Type" name="Table_Item_Family_Type" id="17">
  <tableColumns count="2">
    <tableColumn name="N" id="1"/>
    <tableColumn name="ITEM_FAMILY_TYPE_ID" id="2"/>
  </tableColumns>
  <tableStyleInfo name="TYPES-style 6" showColumnStripes="0" showFirstColumn="1" showLastColumn="1" showRowStripes="1"/>
</table>
</file>

<file path=xl/tables/table18.xml><?xml version="1.0" encoding="utf-8"?>
<table xmlns="http://schemas.openxmlformats.org/spreadsheetml/2006/main" ref="A1:B4" displayName="Table_Events" name="Table_Events" id="18">
  <tableColumns count="2">
    <tableColumn name="N" id="1"/>
    <tableColumn name="EVENT_ID" id="2"/>
  </tableColumns>
  <tableStyleInfo name="EVENTS-style" showColumnStripes="0" showFirstColumn="1" showLastColumn="1" showRowStripes="1"/>
</table>
</file>

<file path=xl/tables/table19.xml><?xml version="1.0" encoding="utf-8"?>
<table xmlns="http://schemas.openxmlformats.org/spreadsheetml/2006/main" ref="A6:E8" displayName="Table_Memento_Parent" name="Table_Memento_Parent" id="19">
  <tableColumns count="5">
    <tableColumn name="N" id="1"/>
    <tableColumn name="MEMENTO_PARENT_ID" id="2"/>
    <tableColumn name="Name" id="3"/>
    <tableColumn name="Sprite" id="4"/>
    <tableColumn name="Children" id="5"/>
  </tableColumns>
  <tableStyleInfo name="EVENTS-style 2" showColumnStripes="0" showFirstColumn="1" showLastColumn="1" showRowStripes="1"/>
</table>
</file>

<file path=xl/tables/table20.xml><?xml version="1.0" encoding="utf-8"?>
<table xmlns="http://schemas.openxmlformats.org/spreadsheetml/2006/main" ref="A10:F12" displayName="Table_Memento" name="Table_Memento" id="20">
  <tableColumns count="6">
    <tableColumn name="N" id="1"/>
    <tableColumn name="MEMENTO_ID" id="2"/>
    <tableColumn name="Parent" id="3"/>
    <tableColumn name="Phrase" id="4"/>
    <tableColumn name="Combinations" id="5"/>
    <tableColumn name="Final" id="6"/>
  </tableColumns>
  <tableStyleInfo name="EVENTS-style 3" showColumnStripes="0" showFirstColumn="1" showLastColumn="1" showRowStripes="1"/>
</table>
</file>

<file path=xl/tables/table21.xml><?xml version="1.0" encoding="utf-8"?>
<table xmlns="http://schemas.openxmlformats.org/spreadsheetml/2006/main" ref="A14:C15" displayName="Table_Memento_Combi" name="Table_Memento_Combi" id="21">
  <tableColumns count="3">
    <tableColumn name="N" id="1"/>
    <tableColumn name="MEMENTO_COMBI_ID" id="2"/>
    <tableColumn name="TriggeredEvent" id="3"/>
  </tableColumns>
  <tableStyleInfo name="EVENTS-style 4" showColumnStripes="0" showFirstColumn="1" showLastColumn="1" showRowStripes="1"/>
</table>
</file>

<file path=xl/tables/table22.xml><?xml version="1.0" encoding="utf-8"?>
<table xmlns="http://schemas.openxmlformats.org/spreadsheetml/2006/main" ref="A17:B59" displayName="Table_EventsCombi" name="Table_EventsCombi" id="22">
  <tableColumns count="2">
    <tableColumn name="N" id="1"/>
    <tableColumn name="EVENT_COMBI_ID" id="2"/>
  </tableColumns>
  <tableStyleInfo name="EVENTS-style 5" showColumnStripes="0" showFirstColumn="1" showLastColumn="1" showRowStripes="1"/>
</table>
</file>

<file path=xl/tables/table23.xml><?xml version="1.0" encoding="utf-8"?>
<table xmlns="http://schemas.openxmlformats.org/spreadsheetml/2006/main" ref="A1:D28" displayName="Table_TODO" name="Table_TODO" id="23">
  <tableColumns count="4">
    <tableColumn name="TASK" id="1"/>
    <tableColumn name="PRIO" id="2"/>
    <tableColumn name="DONE" id="3"/>
    <tableColumn name="ONGOING" id="4"/>
  </tableColumns>
  <tableStyleInfo name="_TODO-style" showColumnStripes="0" showFirstColumn="1" showLastColumn="1" showRowStripes="1"/>
</table>
</file>

<file path=xl/tables/table24.xml><?xml version="1.0" encoding="utf-8"?>
<table xmlns="http://schemas.openxmlformats.org/spreadsheetml/2006/main" ref="A1:B128" displayName="Table_PickableSprites" name="Table_PickableSprites" id="24">
  <tableColumns count="2">
    <tableColumn name="SPRITES" id="1"/>
    <tableColumn name="WORK" id="2"/>
  </tableColumns>
  <tableStyleInfo name="_CONSTANTS-style" showColumnStripes="0" showFirstColumn="1" showLastColumn="1" showRowStripes="1"/>
</table>
</file>

<file path=xl/tables/table25.xml><?xml version="1.0" encoding="utf-8"?>
<table xmlns="http://schemas.openxmlformats.org/spreadsheetml/2006/main" ref="D1:E128" displayName="Table_PickableNames" name="Table_PickableNames" id="25">
  <tableColumns count="2">
    <tableColumn name="NAMES" id="1"/>
    <tableColumn name="WORK" id="2"/>
  </tableColumns>
  <tableStyleInfo name="_CONSTANTS-style 2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1.xml"/><Relationship Id="rId3" Type="http://schemas.openxmlformats.org/officeDocument/2006/relationships/vmlDrawing" Target="../drawings/vmlDrawing1.vml"/><Relationship Id="rId5" Type="http://schemas.openxmlformats.org/officeDocument/2006/relationships/table" Target="../tables/table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Relationship Id="rId3" Type="http://schemas.openxmlformats.org/officeDocument/2006/relationships/table" Target="../tables/table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Relationship Id="rId3" Type="http://schemas.openxmlformats.org/officeDocument/2006/relationships/table" Target="../tables/table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Relationship Id="rId4" Type="http://schemas.openxmlformats.org/officeDocument/2006/relationships/table" Target="../tables/table4.xml"/><Relationship Id="rId5" Type="http://schemas.openxmlformats.org/officeDocument/2006/relationships/table" Target="../tables/table5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Relationship Id="rId3" Type="http://schemas.openxmlformats.org/officeDocument/2006/relationships/table" Target="../tables/table6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drawing" Target="../drawings/drawing6.xml"/><Relationship Id="rId3" Type="http://schemas.openxmlformats.org/officeDocument/2006/relationships/vmlDrawing" Target="../drawings/vmlDrawing2.vml"/><Relationship Id="rId6" Type="http://schemas.openxmlformats.org/officeDocument/2006/relationships/table" Target="../tables/table7.xml"/><Relationship Id="rId7" Type="http://schemas.openxmlformats.org/officeDocument/2006/relationships/table" Target="../tables/table8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Relationship Id="rId3" Type="http://schemas.openxmlformats.org/officeDocument/2006/relationships/table" Target="../tables/table9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Relationship Id="rId3" Type="http://schemas.openxmlformats.org/officeDocument/2006/relationships/table" Target="../tables/table10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Relationship Id="rId3" Type="http://schemas.openxmlformats.org/officeDocument/2006/relationships/table" Target="../tables/table11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Relationship Id="rId11" Type="http://schemas.openxmlformats.org/officeDocument/2006/relationships/table" Target="../tables/table15.xml"/><Relationship Id="rId10" Type="http://schemas.openxmlformats.org/officeDocument/2006/relationships/table" Target="../tables/table14.xml"/><Relationship Id="rId13" Type="http://schemas.openxmlformats.org/officeDocument/2006/relationships/table" Target="../tables/table17.xml"/><Relationship Id="rId12" Type="http://schemas.openxmlformats.org/officeDocument/2006/relationships/table" Target="../tables/table16.xml"/><Relationship Id="rId9" Type="http://schemas.openxmlformats.org/officeDocument/2006/relationships/table" Target="../tables/table13.xml"/><Relationship Id="rId8" Type="http://schemas.openxmlformats.org/officeDocument/2006/relationships/table" Target="../tables/table12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Relationship Id="rId11" Type="http://schemas.openxmlformats.org/officeDocument/2006/relationships/table" Target="../tables/table22.xml"/><Relationship Id="rId10" Type="http://schemas.openxmlformats.org/officeDocument/2006/relationships/table" Target="../tables/table21.xml"/><Relationship Id="rId9" Type="http://schemas.openxmlformats.org/officeDocument/2006/relationships/table" Target="../tables/table20.xml"/><Relationship Id="rId7" Type="http://schemas.openxmlformats.org/officeDocument/2006/relationships/table" Target="../tables/table18.xml"/><Relationship Id="rId8" Type="http://schemas.openxmlformats.org/officeDocument/2006/relationships/table" Target="../tables/table19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comments" Target="../comments3.xml"/><Relationship Id="rId2" Type="http://schemas.openxmlformats.org/officeDocument/2006/relationships/drawing" Target="../drawings/drawing13.xml"/><Relationship Id="rId3" Type="http://schemas.openxmlformats.org/officeDocument/2006/relationships/vmlDrawing" Target="../drawings/vmlDrawing3.vml"/><Relationship Id="rId5" Type="http://schemas.openxmlformats.org/officeDocument/2006/relationships/table" Target="../tables/table2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Relationship Id="rId4" Type="http://schemas.openxmlformats.org/officeDocument/2006/relationships/table" Target="../tables/table24.xml"/><Relationship Id="rId5" Type="http://schemas.openxmlformats.org/officeDocument/2006/relationships/table" Target="../tables/table25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00"/>
    <pageSetUpPr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0.71"/>
    <col customWidth="1" min="2" max="2" width="34.29"/>
    <col customWidth="1" min="3" max="3" width="23.57"/>
    <col customWidth="1" min="4" max="4" width="14.14"/>
    <col customWidth="1" min="5" max="5" width="11.86"/>
    <col customWidth="1" min="6" max="6" width="42.71"/>
    <col customWidth="1" min="7" max="7" width="14.29"/>
    <col customWidth="1" min="8" max="8" width="4.29"/>
    <col customWidth="1" min="9" max="9" width="21.14"/>
    <col customWidth="1" min="10" max="10" width="20.57"/>
    <col customWidth="1" min="11" max="11" width="20.43"/>
    <col customWidth="1" min="12" max="12" width="23.43"/>
    <col customWidth="1" min="13" max="13" width="20.14"/>
    <col customWidth="1" min="14" max="14" width="21.29"/>
    <col customWidth="1" min="15" max="15" width="19.57"/>
    <col customWidth="1" min="16" max="16" width="20.0"/>
    <col customWidth="1" min="17" max="17" width="25.86"/>
    <col customWidth="1" min="18" max="24" width="10.71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</row>
    <row r="2">
      <c r="A2" s="2">
        <f t="shared" ref="A2:A19" si="1">ROW()-ROW($A$2)</f>
        <v>0</v>
      </c>
      <c r="B2" s="3" t="s">
        <v>16</v>
      </c>
      <c r="C2" s="3" t="s">
        <v>17</v>
      </c>
      <c r="D2" s="4">
        <v>2.0</v>
      </c>
      <c r="E2" s="3">
        <v>0.0</v>
      </c>
      <c r="F2" s="3" t="s">
        <v>18</v>
      </c>
      <c r="G2" s="4" t="s">
        <v>19</v>
      </c>
      <c r="H2" s="3" t="s">
        <v>20</v>
      </c>
      <c r="I2" s="5" t="s">
        <v>21</v>
      </c>
      <c r="J2" s="5" t="s">
        <v>22</v>
      </c>
      <c r="K2" s="4" t="s">
        <v>22</v>
      </c>
      <c r="L2" s="4" t="s">
        <v>22</v>
      </c>
      <c r="M2" s="4" t="s">
        <v>23</v>
      </c>
      <c r="N2" s="5" t="s">
        <v>21</v>
      </c>
      <c r="O2" s="5" t="s">
        <v>21</v>
      </c>
      <c r="P2" s="5" t="s">
        <v>21</v>
      </c>
    </row>
    <row r="3">
      <c r="A3" s="2">
        <f t="shared" si="1"/>
        <v>1</v>
      </c>
      <c r="B3" s="3" t="s">
        <v>24</v>
      </c>
      <c r="C3" s="3" t="s">
        <v>25</v>
      </c>
      <c r="D3" s="4">
        <v>2.0</v>
      </c>
      <c r="E3" s="3">
        <v>0.0</v>
      </c>
      <c r="F3" s="3" t="s">
        <v>26</v>
      </c>
      <c r="G3" s="4" t="s">
        <v>19</v>
      </c>
      <c r="H3" s="3" t="s">
        <v>20</v>
      </c>
      <c r="I3" s="4" t="s">
        <v>23</v>
      </c>
      <c r="J3" s="4" t="s">
        <v>22</v>
      </c>
      <c r="K3" s="4" t="s">
        <v>22</v>
      </c>
      <c r="L3" s="4" t="s">
        <v>22</v>
      </c>
      <c r="M3" s="4" t="s">
        <v>22</v>
      </c>
      <c r="N3" s="5" t="s">
        <v>21</v>
      </c>
      <c r="O3" s="5" t="s">
        <v>21</v>
      </c>
      <c r="P3" s="5" t="s">
        <v>21</v>
      </c>
    </row>
    <row r="4">
      <c r="A4" s="2">
        <f t="shared" si="1"/>
        <v>2</v>
      </c>
      <c r="B4" s="3" t="s">
        <v>27</v>
      </c>
      <c r="C4" s="3" t="s">
        <v>28</v>
      </c>
      <c r="D4" s="4">
        <v>2.0</v>
      </c>
      <c r="E4" s="3">
        <v>0.0</v>
      </c>
      <c r="F4" s="2" t="s">
        <v>29</v>
      </c>
      <c r="G4" s="4" t="s">
        <v>19</v>
      </c>
      <c r="H4" s="3" t="s">
        <v>20</v>
      </c>
      <c r="I4" s="4" t="s">
        <v>23</v>
      </c>
      <c r="J4" s="5" t="s">
        <v>21</v>
      </c>
      <c r="K4" s="4" t="s">
        <v>22</v>
      </c>
      <c r="L4" s="5" t="s">
        <v>22</v>
      </c>
      <c r="M4" s="5" t="s">
        <v>30</v>
      </c>
      <c r="N4" s="5" t="s">
        <v>21</v>
      </c>
      <c r="O4" s="5" t="s">
        <v>21</v>
      </c>
      <c r="P4" s="5" t="s">
        <v>22</v>
      </c>
    </row>
    <row r="5">
      <c r="A5" s="2">
        <f t="shared" si="1"/>
        <v>3</v>
      </c>
      <c r="B5" s="3" t="s">
        <v>31</v>
      </c>
      <c r="C5" s="2" t="s">
        <v>32</v>
      </c>
      <c r="D5" s="4">
        <v>2.0</v>
      </c>
      <c r="E5" s="6">
        <f>CEILING((COUNT(Table_Events[N])-1)/64,1)</f>
        <v>1</v>
      </c>
      <c r="F5" s="2" t="s">
        <v>33</v>
      </c>
      <c r="G5" s="4" t="s">
        <v>19</v>
      </c>
      <c r="H5" s="3" t="s">
        <v>20</v>
      </c>
      <c r="I5" s="5" t="s">
        <v>21</v>
      </c>
      <c r="J5" s="5" t="s">
        <v>21</v>
      </c>
      <c r="K5" s="5" t="s">
        <v>21</v>
      </c>
      <c r="L5" s="5" t="s">
        <v>21</v>
      </c>
      <c r="M5" s="5" t="s">
        <v>21</v>
      </c>
      <c r="N5" s="5" t="s">
        <v>21</v>
      </c>
      <c r="O5" s="5" t="s">
        <v>21</v>
      </c>
      <c r="P5" s="5" t="s">
        <v>23</v>
      </c>
    </row>
    <row r="6">
      <c r="A6" s="2">
        <f t="shared" si="1"/>
        <v>4</v>
      </c>
      <c r="B6" s="2" t="s">
        <v>34</v>
      </c>
      <c r="C6" s="2" t="s">
        <v>32</v>
      </c>
      <c r="D6" s="5">
        <v>2.0</v>
      </c>
      <c r="E6" s="7">
        <f>CEILING((COUNT(Table_Memento[N])-1)/64,1)</f>
        <v>1</v>
      </c>
      <c r="F6" s="2" t="s">
        <v>33</v>
      </c>
      <c r="G6" s="5" t="s">
        <v>19</v>
      </c>
      <c r="H6" s="3"/>
      <c r="I6" s="5" t="s">
        <v>21</v>
      </c>
      <c r="J6" s="5" t="s">
        <v>21</v>
      </c>
      <c r="K6" s="5" t="s">
        <v>21</v>
      </c>
      <c r="L6" s="5" t="s">
        <v>21</v>
      </c>
      <c r="M6" s="5" t="s">
        <v>21</v>
      </c>
      <c r="N6" s="5" t="s">
        <v>21</v>
      </c>
      <c r="O6" s="5" t="s">
        <v>21</v>
      </c>
      <c r="P6" s="5" t="s">
        <v>23</v>
      </c>
    </row>
    <row r="7">
      <c r="A7" s="2">
        <f t="shared" si="1"/>
        <v>5</v>
      </c>
      <c r="B7" s="2" t="s">
        <v>35</v>
      </c>
      <c r="C7" s="2" t="s">
        <v>32</v>
      </c>
      <c r="D7" s="5">
        <v>0.0</v>
      </c>
      <c r="E7" s="7">
        <f>CEILING((COUNT(Table_Memento_Parent[N])-1)/64,1)</f>
        <v>1</v>
      </c>
      <c r="F7" s="2" t="s">
        <v>33</v>
      </c>
      <c r="G7" s="5" t="s">
        <v>19</v>
      </c>
      <c r="H7" s="3"/>
      <c r="I7" s="5" t="s">
        <v>21</v>
      </c>
      <c r="J7" s="5" t="s">
        <v>21</v>
      </c>
      <c r="K7" s="5" t="s">
        <v>22</v>
      </c>
      <c r="L7" s="5" t="s">
        <v>21</v>
      </c>
      <c r="M7" s="5" t="s">
        <v>21</v>
      </c>
      <c r="N7" s="5" t="s">
        <v>21</v>
      </c>
      <c r="O7" s="5" t="s">
        <v>21</v>
      </c>
      <c r="P7" s="5" t="s">
        <v>23</v>
      </c>
    </row>
    <row r="8">
      <c r="A8" s="2">
        <f t="shared" si="1"/>
        <v>6</v>
      </c>
      <c r="B8" s="2" t="s">
        <v>36</v>
      </c>
      <c r="C8" s="2" t="s">
        <v>37</v>
      </c>
      <c r="D8" s="5">
        <v>2.0</v>
      </c>
      <c r="E8" s="7">
        <f>COUNTIF(Table_Items[PICKABLE],"=TRUE")</f>
        <v>1</v>
      </c>
      <c r="F8" s="2" t="s">
        <v>38</v>
      </c>
      <c r="G8" s="5" t="s">
        <v>19</v>
      </c>
      <c r="H8" s="3"/>
      <c r="I8" s="5" t="s">
        <v>21</v>
      </c>
      <c r="J8" s="5" t="s">
        <v>21</v>
      </c>
      <c r="K8" s="5" t="s">
        <v>22</v>
      </c>
      <c r="L8" s="5" t="s">
        <v>21</v>
      </c>
      <c r="M8" s="5" t="s">
        <v>30</v>
      </c>
      <c r="N8" s="5" t="s">
        <v>21</v>
      </c>
      <c r="O8" s="5" t="s">
        <v>23</v>
      </c>
      <c r="P8" s="5" t="s">
        <v>21</v>
      </c>
    </row>
    <row r="9">
      <c r="A9" s="2">
        <f t="shared" si="1"/>
        <v>7</v>
      </c>
      <c r="B9" s="2" t="s">
        <v>39</v>
      </c>
      <c r="C9" s="2" t="s">
        <v>40</v>
      </c>
      <c r="D9" s="5">
        <v>2.0</v>
      </c>
      <c r="E9" s="7">
        <f>COUNT(Table_Characters[N])-1</f>
        <v>3</v>
      </c>
      <c r="F9" s="2">
        <v>-1.0</v>
      </c>
      <c r="G9" s="5" t="s">
        <v>19</v>
      </c>
      <c r="H9" s="3"/>
      <c r="I9" s="5" t="s">
        <v>21</v>
      </c>
      <c r="J9" s="5" t="s">
        <v>21</v>
      </c>
      <c r="K9" s="5" t="s">
        <v>23</v>
      </c>
      <c r="L9" s="5" t="s">
        <v>21</v>
      </c>
      <c r="M9" s="5" t="s">
        <v>21</v>
      </c>
      <c r="N9" s="5" t="s">
        <v>22</v>
      </c>
      <c r="O9" s="5" t="s">
        <v>21</v>
      </c>
      <c r="P9" s="5" t="s">
        <v>21</v>
      </c>
    </row>
    <row r="10">
      <c r="A10" s="2">
        <f t="shared" si="1"/>
        <v>8</v>
      </c>
      <c r="B10" s="2" t="s">
        <v>41</v>
      </c>
      <c r="C10" s="2" t="s">
        <v>42</v>
      </c>
      <c r="D10" s="5">
        <v>0.0</v>
      </c>
      <c r="E10" s="2">
        <v>0.0</v>
      </c>
      <c r="F10" s="2" t="s">
        <v>43</v>
      </c>
      <c r="G10" s="5" t="s">
        <v>19</v>
      </c>
      <c r="H10" s="3"/>
      <c r="I10" s="5" t="s">
        <v>21</v>
      </c>
      <c r="J10" s="5" t="s">
        <v>21</v>
      </c>
      <c r="K10" s="5" t="s">
        <v>21</v>
      </c>
      <c r="L10" s="5" t="s">
        <v>23</v>
      </c>
      <c r="M10" s="5" t="s">
        <v>21</v>
      </c>
      <c r="N10" s="5" t="s">
        <v>21</v>
      </c>
      <c r="O10" s="5" t="s">
        <v>21</v>
      </c>
      <c r="P10" s="5" t="s">
        <v>21</v>
      </c>
    </row>
    <row r="11">
      <c r="A11" s="2">
        <f t="shared" si="1"/>
        <v>9</v>
      </c>
      <c r="B11" s="3" t="s">
        <v>44</v>
      </c>
      <c r="C11" s="3" t="s">
        <v>45</v>
      </c>
      <c r="D11" s="4">
        <v>0.0</v>
      </c>
      <c r="E11" s="3">
        <v>0.0</v>
      </c>
      <c r="F11" s="3" t="s">
        <v>46</v>
      </c>
      <c r="G11" s="4" t="s">
        <v>0</v>
      </c>
      <c r="H11" s="3" t="s">
        <v>20</v>
      </c>
      <c r="I11" s="4" t="s">
        <v>23</v>
      </c>
      <c r="J11" s="5" t="s">
        <v>30</v>
      </c>
      <c r="K11" s="4" t="s">
        <v>30</v>
      </c>
      <c r="L11" s="4" t="s">
        <v>30</v>
      </c>
      <c r="M11" s="4" t="s">
        <v>30</v>
      </c>
      <c r="N11" s="4" t="s">
        <v>30</v>
      </c>
      <c r="O11" s="5" t="s">
        <v>30</v>
      </c>
      <c r="P11" s="5" t="s">
        <v>30</v>
      </c>
    </row>
    <row r="12">
      <c r="A12" s="2">
        <f t="shared" si="1"/>
        <v>10</v>
      </c>
      <c r="B12" s="3" t="s">
        <v>47</v>
      </c>
      <c r="C12" s="3" t="s">
        <v>48</v>
      </c>
      <c r="D12" s="4">
        <v>0.0</v>
      </c>
      <c r="E12" s="3">
        <v>0.0</v>
      </c>
      <c r="F12" s="3" t="s">
        <v>49</v>
      </c>
      <c r="G12" s="4" t="s">
        <v>0</v>
      </c>
      <c r="H12" s="3" t="s">
        <v>20</v>
      </c>
      <c r="I12" s="4" t="s">
        <v>22</v>
      </c>
      <c r="J12" s="5" t="s">
        <v>23</v>
      </c>
      <c r="K12" s="5" t="s">
        <v>22</v>
      </c>
      <c r="L12" s="5" t="s">
        <v>22</v>
      </c>
      <c r="M12" s="4" t="s">
        <v>22</v>
      </c>
      <c r="N12" s="5" t="s">
        <v>21</v>
      </c>
      <c r="O12" s="5" t="s">
        <v>21</v>
      </c>
      <c r="P12" s="5" t="s">
        <v>21</v>
      </c>
    </row>
    <row r="13">
      <c r="A13" s="2">
        <f t="shared" si="1"/>
        <v>11</v>
      </c>
      <c r="B13" s="3" t="s">
        <v>50</v>
      </c>
      <c r="C13" s="3" t="s">
        <v>51</v>
      </c>
      <c r="D13" s="4">
        <v>0.0</v>
      </c>
      <c r="E13" s="3">
        <v>0.0</v>
      </c>
      <c r="F13" s="3" t="s">
        <v>52</v>
      </c>
      <c r="G13" s="4" t="s">
        <v>0</v>
      </c>
      <c r="H13" s="3" t="s">
        <v>20</v>
      </c>
      <c r="I13" s="5" t="s">
        <v>21</v>
      </c>
      <c r="J13" s="4" t="s">
        <v>23</v>
      </c>
      <c r="K13" s="5" t="s">
        <v>22</v>
      </c>
      <c r="L13" s="4" t="s">
        <v>22</v>
      </c>
      <c r="M13" s="4" t="s">
        <v>22</v>
      </c>
      <c r="N13" s="5" t="s">
        <v>21</v>
      </c>
      <c r="O13" s="5" t="s">
        <v>21</v>
      </c>
      <c r="P13" s="5" t="s">
        <v>21</v>
      </c>
    </row>
    <row r="14">
      <c r="A14" s="2">
        <f t="shared" si="1"/>
        <v>12</v>
      </c>
      <c r="B14" s="2" t="s">
        <v>53</v>
      </c>
      <c r="C14" s="2" t="s">
        <v>37</v>
      </c>
      <c r="D14" s="5">
        <v>0.0</v>
      </c>
      <c r="E14" s="2">
        <v>0.0</v>
      </c>
      <c r="F14" s="2" t="s">
        <v>38</v>
      </c>
      <c r="G14" s="5" t="s">
        <v>0</v>
      </c>
      <c r="H14" s="8"/>
      <c r="I14" s="5" t="s">
        <v>21</v>
      </c>
      <c r="J14" s="5" t="s">
        <v>21</v>
      </c>
      <c r="K14" s="5" t="s">
        <v>23</v>
      </c>
      <c r="L14" s="5" t="s">
        <v>21</v>
      </c>
      <c r="M14" s="5" t="s">
        <v>22</v>
      </c>
      <c r="N14" s="5" t="s">
        <v>30</v>
      </c>
      <c r="O14" s="5" t="s">
        <v>22</v>
      </c>
      <c r="P14" s="5" t="s">
        <v>21</v>
      </c>
    </row>
    <row r="15" ht="15.75" customHeight="1">
      <c r="A15" s="2">
        <f t="shared" si="1"/>
        <v>13</v>
      </c>
      <c r="B15" s="2" t="s">
        <v>54</v>
      </c>
      <c r="C15" s="2" t="s">
        <v>55</v>
      </c>
      <c r="D15" s="5">
        <v>1.0</v>
      </c>
      <c r="E15" s="2">
        <v>0.0</v>
      </c>
      <c r="F15" s="2" t="s">
        <v>56</v>
      </c>
      <c r="G15" s="5" t="s">
        <v>0</v>
      </c>
      <c r="H15" s="8"/>
      <c r="I15" s="5" t="s">
        <v>21</v>
      </c>
      <c r="J15" s="5" t="s">
        <v>21</v>
      </c>
      <c r="K15" s="5" t="s">
        <v>22</v>
      </c>
      <c r="L15" s="5" t="s">
        <v>30</v>
      </c>
      <c r="M15" s="5" t="s">
        <v>23</v>
      </c>
      <c r="N15" s="5" t="s">
        <v>21</v>
      </c>
      <c r="O15" s="5" t="s">
        <v>22</v>
      </c>
      <c r="P15" s="5" t="s">
        <v>21</v>
      </c>
    </row>
    <row r="16" ht="15.75" customHeight="1">
      <c r="A16" s="2">
        <f t="shared" si="1"/>
        <v>14</v>
      </c>
      <c r="B16" s="2" t="s">
        <v>57</v>
      </c>
      <c r="C16" s="2" t="s">
        <v>55</v>
      </c>
      <c r="D16" s="5">
        <v>0.0</v>
      </c>
      <c r="E16" s="2">
        <v>0.0</v>
      </c>
      <c r="F16" s="2" t="s">
        <v>56</v>
      </c>
      <c r="G16" s="5" t="s">
        <v>0</v>
      </c>
      <c r="H16" s="8"/>
      <c r="I16" s="5" t="s">
        <v>21</v>
      </c>
      <c r="J16" s="5" t="s">
        <v>21</v>
      </c>
      <c r="K16" s="5" t="s">
        <v>23</v>
      </c>
      <c r="L16" s="5" t="s">
        <v>30</v>
      </c>
      <c r="M16" s="5" t="s">
        <v>21</v>
      </c>
      <c r="N16" s="5" t="s">
        <v>21</v>
      </c>
      <c r="O16" s="5" t="s">
        <v>21</v>
      </c>
      <c r="P16" s="5" t="s">
        <v>21</v>
      </c>
    </row>
    <row r="17" ht="15.75" customHeight="1">
      <c r="A17" s="2">
        <f t="shared" si="1"/>
        <v>15</v>
      </c>
      <c r="B17" s="2" t="s">
        <v>58</v>
      </c>
      <c r="C17" s="2" t="s">
        <v>59</v>
      </c>
      <c r="D17" s="5">
        <v>0.0</v>
      </c>
      <c r="E17" s="2">
        <v>0.0</v>
      </c>
      <c r="F17" s="2" t="s">
        <v>60</v>
      </c>
      <c r="G17" s="5" t="s">
        <v>0</v>
      </c>
      <c r="H17" s="8"/>
      <c r="I17" s="5" t="s">
        <v>21</v>
      </c>
      <c r="J17" s="5" t="s">
        <v>21</v>
      </c>
      <c r="K17" s="5" t="s">
        <v>22</v>
      </c>
      <c r="L17" s="5" t="s">
        <v>30</v>
      </c>
      <c r="M17" s="5" t="s">
        <v>23</v>
      </c>
      <c r="N17" s="5" t="s">
        <v>21</v>
      </c>
      <c r="O17" s="5" t="s">
        <v>21</v>
      </c>
      <c r="P17" s="5" t="s">
        <v>21</v>
      </c>
    </row>
    <row r="18" ht="15.75" customHeight="1">
      <c r="A18" s="2">
        <f t="shared" si="1"/>
        <v>16</v>
      </c>
      <c r="B18" s="2" t="s">
        <v>61</v>
      </c>
      <c r="C18" s="2" t="s">
        <v>62</v>
      </c>
      <c r="D18" s="5">
        <v>0.0</v>
      </c>
      <c r="E18" s="2">
        <v>0.0</v>
      </c>
      <c r="F18" s="9" t="s">
        <v>63</v>
      </c>
      <c r="G18" s="5" t="s">
        <v>0</v>
      </c>
      <c r="H18" s="8"/>
      <c r="I18" s="5" t="s">
        <v>22</v>
      </c>
      <c r="J18" s="5" t="s">
        <v>21</v>
      </c>
      <c r="K18" s="5" t="s">
        <v>22</v>
      </c>
      <c r="L18" s="5" t="s">
        <v>21</v>
      </c>
      <c r="M18" s="5" t="s">
        <v>21</v>
      </c>
      <c r="N18" s="5" t="s">
        <v>21</v>
      </c>
      <c r="O18" s="5" t="s">
        <v>21</v>
      </c>
      <c r="P18" s="5" t="s">
        <v>23</v>
      </c>
    </row>
    <row r="19" ht="15.75" customHeight="1">
      <c r="A19" s="2">
        <f t="shared" si="1"/>
        <v>17</v>
      </c>
      <c r="B19" s="2" t="s">
        <v>64</v>
      </c>
      <c r="C19" s="2" t="s">
        <v>62</v>
      </c>
      <c r="D19" s="5">
        <v>0.0</v>
      </c>
      <c r="E19" s="2">
        <v>0.0</v>
      </c>
      <c r="F19" s="9" t="s">
        <v>63</v>
      </c>
      <c r="G19" s="5" t="s">
        <v>0</v>
      </c>
      <c r="H19" s="8"/>
      <c r="I19" s="5" t="s">
        <v>23</v>
      </c>
      <c r="J19" s="5" t="s">
        <v>21</v>
      </c>
      <c r="K19" s="5" t="s">
        <v>21</v>
      </c>
      <c r="L19" s="5" t="s">
        <v>21</v>
      </c>
      <c r="M19" s="5" t="s">
        <v>21</v>
      </c>
      <c r="N19" s="5" t="s">
        <v>21</v>
      </c>
      <c r="O19" s="5" t="s">
        <v>21</v>
      </c>
      <c r="P19" s="5" t="s">
        <v>21</v>
      </c>
    </row>
    <row r="20" ht="15.75" customHeight="1"/>
    <row r="21" ht="15.75" customHeight="1"/>
    <row r="22" ht="15.75" customHeight="1"/>
    <row r="23" ht="15.75" customHeight="1"/>
    <row r="24" ht="15.75" customHeight="1"/>
    <row r="25" ht="15.75" customHeight="1"/>
    <row r="26" ht="15.75" customHeight="1">
      <c r="I26" s="10"/>
    </row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dataValidations>
    <dataValidation type="list" allowBlank="1" showErrorMessage="1" sqref="G2:G19">
      <formula1>"N,Y"</formula1>
    </dataValidation>
    <dataValidation type="list" allowBlank="1" showErrorMessage="1" sqref="D2:D19">
      <formula1>"0,1,2"</formula1>
    </dataValidation>
    <dataValidation type="list" allowBlank="1" showErrorMessage="1" sqref="I2:P19">
      <formula1>"R,R E,W,W E,-"</formula1>
    </dataValidation>
  </dataValidations>
  <printOptions/>
  <pageMargins bottom="0.75" footer="0.0" header="0.0" left="0.7" right="0.7" top="0.75"/>
  <pageSetup orientation="landscape"/>
  <drawing r:id="rId2"/>
  <legacyDrawing r:id="rId3"/>
  <tableParts count="1">
    <tablePart r:id="rId5"/>
  </tableParts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FFFF"/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29"/>
    <col customWidth="1" min="2" max="2" width="30.14"/>
    <col customWidth="1" min="3" max="3" width="41.0"/>
    <col customWidth="1" min="4" max="4" width="49.57"/>
    <col customWidth="1" min="5" max="5" width="8.86"/>
    <col customWidth="1" min="6" max="6" width="5.29"/>
    <col customWidth="1" min="7" max="7" width="21.14"/>
    <col customWidth="1" min="8" max="8" width="20.57"/>
    <col customWidth="1" min="9" max="9" width="20.43"/>
    <col customWidth="1" min="10" max="10" width="23.43"/>
    <col customWidth="1" min="11" max="11" width="20.14"/>
    <col customWidth="1" min="12" max="12" width="21.29"/>
    <col customWidth="1" min="13" max="13" width="19.57"/>
    <col customWidth="1" min="14" max="14" width="20.0"/>
    <col customWidth="1" min="15" max="15" width="25.86"/>
  </cols>
  <sheetData>
    <row r="1">
      <c r="A1" s="11" t="s">
        <v>0</v>
      </c>
      <c r="B1" s="1" t="s">
        <v>65</v>
      </c>
      <c r="C1" s="1" t="s">
        <v>66</v>
      </c>
      <c r="D1" s="1" t="s">
        <v>67</v>
      </c>
      <c r="E1" s="11" t="s">
        <v>68</v>
      </c>
      <c r="F1" s="1" t="s">
        <v>7</v>
      </c>
      <c r="G1" s="1" t="s">
        <v>8</v>
      </c>
      <c r="H1" s="1" t="s">
        <v>9</v>
      </c>
      <c r="I1" s="1" t="s">
        <v>10</v>
      </c>
      <c r="J1" s="1" t="s">
        <v>11</v>
      </c>
      <c r="K1" s="1" t="s">
        <v>12</v>
      </c>
      <c r="L1" s="1" t="s">
        <v>13</v>
      </c>
      <c r="M1" s="1" t="s">
        <v>14</v>
      </c>
      <c r="N1" s="1" t="s">
        <v>15</v>
      </c>
    </row>
    <row r="2">
      <c r="A2" s="12">
        <f t="shared" ref="A2:A33" si="1">ROW()-ROW($A$2)</f>
        <v>0</v>
      </c>
      <c r="B2" s="3" t="s">
        <v>69</v>
      </c>
      <c r="C2" s="3" t="s">
        <v>70</v>
      </c>
      <c r="D2" s="3" t="s">
        <v>71</v>
      </c>
      <c r="E2" s="2" t="s">
        <v>72</v>
      </c>
      <c r="F2" s="3" t="s">
        <v>20</v>
      </c>
      <c r="G2" s="4" t="s">
        <v>23</v>
      </c>
      <c r="H2" s="5" t="s">
        <v>21</v>
      </c>
      <c r="I2" s="5" t="s">
        <v>21</v>
      </c>
      <c r="J2" s="5" t="s">
        <v>21</v>
      </c>
      <c r="K2" s="4" t="s">
        <v>73</v>
      </c>
      <c r="L2" s="5" t="s">
        <v>21</v>
      </c>
      <c r="M2" s="5" t="s">
        <v>21</v>
      </c>
      <c r="N2" s="5" t="s">
        <v>21</v>
      </c>
    </row>
    <row r="3">
      <c r="A3" s="12">
        <f t="shared" si="1"/>
        <v>1</v>
      </c>
      <c r="B3" s="2" t="s">
        <v>74</v>
      </c>
      <c r="C3" s="2" t="s">
        <v>75</v>
      </c>
      <c r="D3" s="2" t="s">
        <v>76</v>
      </c>
      <c r="E3" s="2" t="s">
        <v>77</v>
      </c>
      <c r="F3" s="3"/>
      <c r="G3" s="5" t="s">
        <v>23</v>
      </c>
      <c r="H3" s="5" t="s">
        <v>21</v>
      </c>
      <c r="I3" s="5" t="s">
        <v>73</v>
      </c>
      <c r="J3" s="5" t="s">
        <v>21</v>
      </c>
      <c r="K3" s="5" t="s">
        <v>73</v>
      </c>
      <c r="L3" s="5" t="s">
        <v>21</v>
      </c>
      <c r="M3" s="5" t="s">
        <v>21</v>
      </c>
      <c r="N3" s="5" t="s">
        <v>21</v>
      </c>
    </row>
    <row r="4">
      <c r="A4" s="12">
        <f t="shared" si="1"/>
        <v>2</v>
      </c>
      <c r="B4" s="2" t="s">
        <v>78</v>
      </c>
      <c r="C4" s="2" t="s">
        <v>79</v>
      </c>
      <c r="D4" s="2" t="s">
        <v>80</v>
      </c>
      <c r="E4" s="2" t="s">
        <v>81</v>
      </c>
      <c r="F4" s="3"/>
      <c r="G4" s="5" t="s">
        <v>23</v>
      </c>
      <c r="H4" s="5" t="s">
        <v>21</v>
      </c>
      <c r="I4" s="5" t="s">
        <v>21</v>
      </c>
      <c r="J4" s="5" t="s">
        <v>21</v>
      </c>
      <c r="K4" s="5" t="s">
        <v>73</v>
      </c>
      <c r="L4" s="5" t="s">
        <v>21</v>
      </c>
      <c r="M4" s="5" t="s">
        <v>21</v>
      </c>
      <c r="N4" s="5" t="s">
        <v>21</v>
      </c>
    </row>
    <row r="5">
      <c r="A5" s="12">
        <f t="shared" si="1"/>
        <v>3</v>
      </c>
      <c r="B5" s="3" t="s">
        <v>82</v>
      </c>
      <c r="C5" s="3" t="s">
        <v>83</v>
      </c>
      <c r="D5" s="3" t="s">
        <v>84</v>
      </c>
      <c r="E5" s="2" t="s">
        <v>85</v>
      </c>
      <c r="F5" s="3" t="s">
        <v>20</v>
      </c>
      <c r="G5" s="4" t="s">
        <v>23</v>
      </c>
      <c r="H5" s="5" t="s">
        <v>21</v>
      </c>
      <c r="I5" s="4" t="s">
        <v>73</v>
      </c>
      <c r="J5" s="5" t="s">
        <v>21</v>
      </c>
      <c r="K5" s="5" t="s">
        <v>21</v>
      </c>
      <c r="L5" s="5" t="s">
        <v>21</v>
      </c>
      <c r="M5" s="5" t="s">
        <v>21</v>
      </c>
      <c r="N5" s="5" t="s">
        <v>21</v>
      </c>
    </row>
    <row r="6">
      <c r="A6" s="12">
        <f t="shared" si="1"/>
        <v>4</v>
      </c>
      <c r="B6" s="3" t="s">
        <v>86</v>
      </c>
      <c r="C6" s="3" t="s">
        <v>87</v>
      </c>
      <c r="D6" s="3" t="s">
        <v>88</v>
      </c>
      <c r="E6" s="2" t="s">
        <v>89</v>
      </c>
      <c r="F6" s="3" t="s">
        <v>20</v>
      </c>
      <c r="G6" s="4" t="s">
        <v>23</v>
      </c>
      <c r="H6" s="5" t="s">
        <v>21</v>
      </c>
      <c r="I6" s="5" t="s">
        <v>21</v>
      </c>
      <c r="J6" s="5" t="s">
        <v>21</v>
      </c>
      <c r="K6" s="4" t="s">
        <v>73</v>
      </c>
      <c r="L6" s="5" t="s">
        <v>21</v>
      </c>
      <c r="M6" s="5" t="s">
        <v>21</v>
      </c>
      <c r="N6" s="5" t="s">
        <v>21</v>
      </c>
    </row>
    <row r="7">
      <c r="A7" s="12">
        <f t="shared" si="1"/>
        <v>5</v>
      </c>
      <c r="B7" s="2" t="s">
        <v>90</v>
      </c>
      <c r="C7" s="3" t="s">
        <v>91</v>
      </c>
      <c r="D7" s="3" t="s">
        <v>92</v>
      </c>
      <c r="E7" s="2" t="s">
        <v>93</v>
      </c>
      <c r="F7" s="3" t="s">
        <v>20</v>
      </c>
      <c r="G7" s="4" t="s">
        <v>23</v>
      </c>
      <c r="H7" s="5" t="s">
        <v>73</v>
      </c>
      <c r="I7" s="4" t="s">
        <v>73</v>
      </c>
      <c r="J7" s="5" t="s">
        <v>73</v>
      </c>
      <c r="K7" s="5" t="s">
        <v>73</v>
      </c>
      <c r="L7" s="5" t="s">
        <v>73</v>
      </c>
      <c r="M7" s="5" t="s">
        <v>73</v>
      </c>
      <c r="N7" s="5" t="s">
        <v>73</v>
      </c>
    </row>
    <row r="8">
      <c r="A8" s="12">
        <f t="shared" si="1"/>
        <v>6</v>
      </c>
      <c r="B8" s="2" t="s">
        <v>94</v>
      </c>
      <c r="C8" s="2" t="s">
        <v>95</v>
      </c>
      <c r="D8" s="2" t="s">
        <v>96</v>
      </c>
      <c r="E8" s="2" t="s">
        <v>97</v>
      </c>
      <c r="F8" s="3"/>
      <c r="G8" s="5" t="s">
        <v>23</v>
      </c>
      <c r="H8" s="5" t="s">
        <v>73</v>
      </c>
      <c r="I8" s="5" t="s">
        <v>73</v>
      </c>
      <c r="J8" s="5" t="s">
        <v>73</v>
      </c>
      <c r="K8" s="5" t="s">
        <v>73</v>
      </c>
      <c r="L8" s="5" t="s">
        <v>73</v>
      </c>
      <c r="M8" s="5" t="s">
        <v>73</v>
      </c>
      <c r="N8" s="5" t="s">
        <v>73</v>
      </c>
    </row>
    <row r="9">
      <c r="A9" s="12">
        <f t="shared" si="1"/>
        <v>7</v>
      </c>
      <c r="B9" s="2" t="s">
        <v>98</v>
      </c>
      <c r="C9" s="2" t="s">
        <v>99</v>
      </c>
      <c r="D9" s="2" t="s">
        <v>100</v>
      </c>
      <c r="E9" s="2" t="s">
        <v>101</v>
      </c>
      <c r="F9" s="8"/>
      <c r="G9" s="5" t="s">
        <v>21</v>
      </c>
      <c r="H9" s="5" t="s">
        <v>21</v>
      </c>
      <c r="I9" s="5" t="s">
        <v>23</v>
      </c>
      <c r="J9" s="5" t="s">
        <v>21</v>
      </c>
      <c r="K9" s="5" t="s">
        <v>21</v>
      </c>
      <c r="L9" s="5" t="s">
        <v>73</v>
      </c>
      <c r="M9" s="5" t="s">
        <v>73</v>
      </c>
      <c r="N9" s="5" t="s">
        <v>21</v>
      </c>
    </row>
    <row r="10">
      <c r="A10" s="12">
        <f t="shared" si="1"/>
        <v>8</v>
      </c>
      <c r="B10" s="3" t="s">
        <v>102</v>
      </c>
      <c r="C10" s="2" t="s">
        <v>103</v>
      </c>
      <c r="D10" s="3" t="s">
        <v>104</v>
      </c>
      <c r="E10" s="2" t="s">
        <v>105</v>
      </c>
      <c r="F10" s="8"/>
      <c r="G10" s="5" t="s">
        <v>21</v>
      </c>
      <c r="H10" s="5" t="s">
        <v>21</v>
      </c>
      <c r="I10" s="4" t="s">
        <v>23</v>
      </c>
      <c r="J10" s="5" t="s">
        <v>21</v>
      </c>
      <c r="K10" s="5" t="s">
        <v>21</v>
      </c>
      <c r="L10" s="4" t="s">
        <v>73</v>
      </c>
      <c r="M10" s="5" t="s">
        <v>21</v>
      </c>
      <c r="N10" s="5" t="s">
        <v>21</v>
      </c>
    </row>
    <row r="11">
      <c r="A11" s="12">
        <f t="shared" si="1"/>
        <v>9</v>
      </c>
      <c r="B11" s="2" t="s">
        <v>106</v>
      </c>
      <c r="C11" s="2" t="s">
        <v>107</v>
      </c>
      <c r="D11" s="2" t="s">
        <v>108</v>
      </c>
      <c r="E11" s="2" t="s">
        <v>109</v>
      </c>
      <c r="F11" s="8"/>
      <c r="G11" s="5" t="s">
        <v>21</v>
      </c>
      <c r="H11" s="5" t="s">
        <v>21</v>
      </c>
      <c r="I11" s="5" t="s">
        <v>23</v>
      </c>
      <c r="J11" s="5" t="s">
        <v>21</v>
      </c>
      <c r="K11" s="5" t="s">
        <v>21</v>
      </c>
      <c r="L11" s="5" t="s">
        <v>21</v>
      </c>
      <c r="M11" s="5" t="s">
        <v>73</v>
      </c>
      <c r="N11" s="5" t="s">
        <v>21</v>
      </c>
    </row>
    <row r="12">
      <c r="A12" s="12">
        <f t="shared" si="1"/>
        <v>10</v>
      </c>
      <c r="B12" s="2" t="s">
        <v>110</v>
      </c>
      <c r="C12" s="2" t="s">
        <v>111</v>
      </c>
      <c r="D12" s="2" t="s">
        <v>112</v>
      </c>
      <c r="E12" s="2" t="s">
        <v>113</v>
      </c>
      <c r="F12" s="8"/>
      <c r="G12" s="5" t="s">
        <v>21</v>
      </c>
      <c r="H12" s="5" t="s">
        <v>21</v>
      </c>
      <c r="I12" s="5" t="s">
        <v>23</v>
      </c>
      <c r="J12" s="5" t="s">
        <v>21</v>
      </c>
      <c r="K12" s="5" t="s">
        <v>21</v>
      </c>
      <c r="L12" s="5" t="s">
        <v>21</v>
      </c>
      <c r="M12" s="5" t="s">
        <v>73</v>
      </c>
      <c r="N12" s="5" t="s">
        <v>21</v>
      </c>
    </row>
    <row r="13">
      <c r="A13" s="12">
        <f t="shared" si="1"/>
        <v>11</v>
      </c>
      <c r="B13" s="2" t="s">
        <v>114</v>
      </c>
      <c r="C13" s="2" t="s">
        <v>115</v>
      </c>
      <c r="D13" s="2" t="s">
        <v>116</v>
      </c>
      <c r="E13" s="2" t="s">
        <v>117</v>
      </c>
      <c r="F13" s="8"/>
      <c r="G13" s="5" t="s">
        <v>21</v>
      </c>
      <c r="H13" s="5" t="s">
        <v>21</v>
      </c>
      <c r="I13" s="5" t="s">
        <v>23</v>
      </c>
      <c r="J13" s="5" t="s">
        <v>21</v>
      </c>
      <c r="K13" s="5" t="s">
        <v>21</v>
      </c>
      <c r="L13" s="5" t="s">
        <v>73</v>
      </c>
      <c r="M13" s="5" t="s">
        <v>21</v>
      </c>
      <c r="N13" s="5" t="s">
        <v>21</v>
      </c>
    </row>
    <row r="14">
      <c r="A14" s="12">
        <f t="shared" si="1"/>
        <v>12</v>
      </c>
      <c r="B14" s="2" t="s">
        <v>118</v>
      </c>
      <c r="C14" s="2" t="s">
        <v>119</v>
      </c>
      <c r="D14" s="2" t="s">
        <v>120</v>
      </c>
      <c r="E14" s="2" t="s">
        <v>121</v>
      </c>
      <c r="F14" s="8"/>
      <c r="G14" s="5" t="s">
        <v>21</v>
      </c>
      <c r="H14" s="5" t="s">
        <v>21</v>
      </c>
      <c r="I14" s="5" t="s">
        <v>23</v>
      </c>
      <c r="J14" s="5" t="s">
        <v>21</v>
      </c>
      <c r="K14" s="5" t="s">
        <v>21</v>
      </c>
      <c r="L14" s="5" t="s">
        <v>73</v>
      </c>
      <c r="M14" s="5" t="s">
        <v>21</v>
      </c>
      <c r="N14" s="5" t="s">
        <v>21</v>
      </c>
    </row>
    <row r="15">
      <c r="A15" s="12">
        <f t="shared" si="1"/>
        <v>13</v>
      </c>
      <c r="B15" s="2" t="s">
        <v>122</v>
      </c>
      <c r="C15" s="2" t="s">
        <v>123</v>
      </c>
      <c r="D15" s="2" t="s">
        <v>124</v>
      </c>
      <c r="E15" s="2" t="s">
        <v>125</v>
      </c>
      <c r="F15" s="8"/>
      <c r="G15" s="5" t="s">
        <v>21</v>
      </c>
      <c r="H15" s="5" t="s">
        <v>21</v>
      </c>
      <c r="I15" s="5" t="s">
        <v>23</v>
      </c>
      <c r="J15" s="5" t="s">
        <v>21</v>
      </c>
      <c r="K15" s="5" t="s">
        <v>73</v>
      </c>
      <c r="L15" s="5" t="s">
        <v>21</v>
      </c>
      <c r="M15" s="5" t="s">
        <v>73</v>
      </c>
      <c r="N15" s="5" t="s">
        <v>21</v>
      </c>
    </row>
    <row r="16">
      <c r="A16" s="12">
        <f t="shared" si="1"/>
        <v>14</v>
      </c>
      <c r="B16" s="2" t="s">
        <v>126</v>
      </c>
      <c r="C16" s="2" t="s">
        <v>127</v>
      </c>
      <c r="D16" s="2" t="s">
        <v>128</v>
      </c>
      <c r="E16" s="2" t="s">
        <v>129</v>
      </c>
      <c r="F16" s="8"/>
      <c r="G16" s="5" t="s">
        <v>21</v>
      </c>
      <c r="H16" s="5" t="s">
        <v>21</v>
      </c>
      <c r="I16" s="5" t="s">
        <v>23</v>
      </c>
      <c r="J16" s="5" t="s">
        <v>73</v>
      </c>
      <c r="K16" s="5" t="s">
        <v>21</v>
      </c>
      <c r="L16" s="5" t="s">
        <v>73</v>
      </c>
      <c r="M16" s="5" t="s">
        <v>21</v>
      </c>
      <c r="N16" s="5" t="s">
        <v>21</v>
      </c>
    </row>
    <row r="17">
      <c r="A17" s="12">
        <f t="shared" si="1"/>
        <v>15</v>
      </c>
      <c r="B17" s="2" t="s">
        <v>130</v>
      </c>
      <c r="C17" s="2" t="s">
        <v>131</v>
      </c>
      <c r="D17" s="2" t="s">
        <v>132</v>
      </c>
      <c r="E17" s="2" t="s">
        <v>133</v>
      </c>
      <c r="F17" s="8"/>
      <c r="G17" s="5" t="s">
        <v>21</v>
      </c>
      <c r="H17" s="5" t="s">
        <v>21</v>
      </c>
      <c r="I17" s="5" t="s">
        <v>23</v>
      </c>
      <c r="J17" s="5" t="s">
        <v>21</v>
      </c>
      <c r="K17" s="5" t="s">
        <v>21</v>
      </c>
      <c r="L17" s="5" t="s">
        <v>73</v>
      </c>
      <c r="M17" s="5" t="s">
        <v>73</v>
      </c>
      <c r="N17" s="5" t="s">
        <v>21</v>
      </c>
    </row>
    <row r="18">
      <c r="A18" s="12">
        <f t="shared" si="1"/>
        <v>16</v>
      </c>
      <c r="B18" s="13" t="s">
        <v>134</v>
      </c>
      <c r="C18" s="13" t="s">
        <v>135</v>
      </c>
      <c r="D18" s="13" t="s">
        <v>136</v>
      </c>
      <c r="E18" s="13" t="s">
        <v>137</v>
      </c>
      <c r="F18" s="14"/>
      <c r="G18" s="15" t="s">
        <v>21</v>
      </c>
      <c r="H18" s="15" t="s">
        <v>21</v>
      </c>
      <c r="I18" s="15" t="s">
        <v>73</v>
      </c>
      <c r="J18" s="15" t="s">
        <v>21</v>
      </c>
      <c r="K18" s="15" t="s">
        <v>73</v>
      </c>
      <c r="L18" s="15" t="s">
        <v>73</v>
      </c>
      <c r="M18" s="15" t="s">
        <v>73</v>
      </c>
      <c r="N18" s="15" t="s">
        <v>23</v>
      </c>
      <c r="O18" s="16"/>
      <c r="P18" s="16"/>
      <c r="Q18" s="16"/>
      <c r="R18" s="16"/>
      <c r="S18" s="16"/>
      <c r="T18" s="16"/>
      <c r="U18" s="16"/>
      <c r="V18" s="16"/>
      <c r="W18" s="16"/>
      <c r="X18" s="16"/>
    </row>
    <row r="19">
      <c r="A19" s="12">
        <f t="shared" si="1"/>
        <v>17</v>
      </c>
      <c r="B19" s="2" t="s">
        <v>138</v>
      </c>
      <c r="C19" s="2" t="s">
        <v>139</v>
      </c>
      <c r="D19" s="2" t="s">
        <v>140</v>
      </c>
      <c r="E19" s="2" t="s">
        <v>141</v>
      </c>
      <c r="F19" s="8"/>
      <c r="G19" s="5" t="s">
        <v>21</v>
      </c>
      <c r="H19" s="5" t="s">
        <v>21</v>
      </c>
      <c r="I19" s="5" t="s">
        <v>73</v>
      </c>
      <c r="J19" s="5" t="s">
        <v>21</v>
      </c>
      <c r="K19" s="5" t="s">
        <v>73</v>
      </c>
      <c r="L19" s="5" t="s">
        <v>73</v>
      </c>
      <c r="M19" s="5" t="s">
        <v>73</v>
      </c>
      <c r="N19" s="5" t="s">
        <v>23</v>
      </c>
    </row>
    <row r="20">
      <c r="A20" s="12">
        <f t="shared" si="1"/>
        <v>18</v>
      </c>
      <c r="B20" s="13" t="s">
        <v>142</v>
      </c>
      <c r="C20" s="13" t="s">
        <v>143</v>
      </c>
      <c r="D20" s="13" t="s">
        <v>144</v>
      </c>
      <c r="E20" s="13" t="s">
        <v>145</v>
      </c>
      <c r="F20" s="14"/>
      <c r="G20" s="15" t="s">
        <v>21</v>
      </c>
      <c r="H20" s="15" t="s">
        <v>21</v>
      </c>
      <c r="I20" s="15" t="s">
        <v>21</v>
      </c>
      <c r="J20" s="15" t="s">
        <v>21</v>
      </c>
      <c r="K20" s="15" t="s">
        <v>23</v>
      </c>
      <c r="L20" s="15" t="s">
        <v>21</v>
      </c>
      <c r="M20" s="15" t="s">
        <v>21</v>
      </c>
      <c r="N20" s="15" t="s">
        <v>73</v>
      </c>
      <c r="O20" s="16"/>
      <c r="P20" s="16"/>
      <c r="Q20" s="16"/>
      <c r="R20" s="16"/>
      <c r="S20" s="16"/>
      <c r="T20" s="16"/>
      <c r="U20" s="16"/>
      <c r="V20" s="16"/>
      <c r="W20" s="16"/>
      <c r="X20" s="16"/>
    </row>
    <row r="21">
      <c r="A21" s="12">
        <f t="shared" si="1"/>
        <v>19</v>
      </c>
      <c r="B21" s="13" t="s">
        <v>146</v>
      </c>
      <c r="C21" s="13" t="s">
        <v>147</v>
      </c>
      <c r="D21" s="13" t="s">
        <v>148</v>
      </c>
      <c r="E21" s="13" t="s">
        <v>149</v>
      </c>
      <c r="F21" s="14"/>
      <c r="G21" s="15" t="s">
        <v>21</v>
      </c>
      <c r="H21" s="15" t="s">
        <v>21</v>
      </c>
      <c r="I21" s="15" t="s">
        <v>21</v>
      </c>
      <c r="J21" s="15" t="s">
        <v>21</v>
      </c>
      <c r="K21" s="15" t="s">
        <v>73</v>
      </c>
      <c r="L21" s="15" t="s">
        <v>21</v>
      </c>
      <c r="M21" s="15" t="s">
        <v>21</v>
      </c>
      <c r="N21" s="15" t="s">
        <v>23</v>
      </c>
      <c r="O21" s="16"/>
      <c r="P21" s="16"/>
      <c r="Q21" s="16"/>
      <c r="R21" s="16"/>
      <c r="S21" s="16"/>
      <c r="T21" s="16"/>
      <c r="U21" s="16"/>
      <c r="V21" s="16"/>
      <c r="W21" s="16"/>
      <c r="X21" s="16"/>
    </row>
    <row r="22">
      <c r="A22" s="12">
        <f t="shared" si="1"/>
        <v>20</v>
      </c>
      <c r="B22" s="13" t="s">
        <v>150</v>
      </c>
      <c r="C22" s="13" t="s">
        <v>151</v>
      </c>
      <c r="D22" s="13" t="s">
        <v>152</v>
      </c>
      <c r="E22" s="13" t="s">
        <v>153</v>
      </c>
      <c r="F22" s="14"/>
      <c r="G22" s="15" t="s">
        <v>21</v>
      </c>
      <c r="H22" s="15" t="s">
        <v>21</v>
      </c>
      <c r="I22" s="15" t="s">
        <v>21</v>
      </c>
      <c r="J22" s="15" t="s">
        <v>21</v>
      </c>
      <c r="K22" s="15" t="s">
        <v>73</v>
      </c>
      <c r="L22" s="15" t="s">
        <v>21</v>
      </c>
      <c r="M22" s="15" t="s">
        <v>21</v>
      </c>
      <c r="N22" s="15" t="s">
        <v>23</v>
      </c>
      <c r="O22" s="16"/>
      <c r="P22" s="16"/>
      <c r="Q22" s="16"/>
      <c r="R22" s="16"/>
      <c r="S22" s="16"/>
      <c r="T22" s="16"/>
      <c r="U22" s="16"/>
      <c r="V22" s="16"/>
      <c r="W22" s="16"/>
      <c r="X22" s="16"/>
    </row>
    <row r="23">
      <c r="A23" s="12">
        <f t="shared" si="1"/>
        <v>21</v>
      </c>
      <c r="B23" s="13" t="s">
        <v>154</v>
      </c>
      <c r="C23" s="13" t="s">
        <v>155</v>
      </c>
      <c r="D23" s="13" t="s">
        <v>156</v>
      </c>
      <c r="E23" s="13" t="s">
        <v>157</v>
      </c>
      <c r="F23" s="14"/>
      <c r="G23" s="15" t="s">
        <v>21</v>
      </c>
      <c r="H23" s="15" t="s">
        <v>21</v>
      </c>
      <c r="I23" s="15" t="s">
        <v>73</v>
      </c>
      <c r="J23" s="15" t="s">
        <v>21</v>
      </c>
      <c r="K23" s="15" t="s">
        <v>21</v>
      </c>
      <c r="L23" s="15" t="s">
        <v>23</v>
      </c>
      <c r="M23" s="15" t="s">
        <v>21</v>
      </c>
      <c r="N23" s="15" t="s">
        <v>21</v>
      </c>
      <c r="O23" s="16"/>
      <c r="P23" s="16"/>
      <c r="Q23" s="16"/>
      <c r="R23" s="16"/>
      <c r="S23" s="16"/>
      <c r="T23" s="16"/>
      <c r="U23" s="16"/>
      <c r="V23" s="16"/>
      <c r="W23" s="16"/>
      <c r="X23" s="16"/>
    </row>
    <row r="24">
      <c r="A24" s="12">
        <f t="shared" si="1"/>
        <v>22</v>
      </c>
      <c r="B24" s="13" t="s">
        <v>158</v>
      </c>
      <c r="C24" s="13" t="s">
        <v>159</v>
      </c>
      <c r="D24" s="13" t="s">
        <v>160</v>
      </c>
      <c r="E24" s="13" t="s">
        <v>161</v>
      </c>
      <c r="F24" s="14"/>
      <c r="G24" s="15" t="s">
        <v>21</v>
      </c>
      <c r="H24" s="15" t="s">
        <v>21</v>
      </c>
      <c r="I24" s="15" t="s">
        <v>21</v>
      </c>
      <c r="J24" s="15" t="s">
        <v>21</v>
      </c>
      <c r="K24" s="15" t="s">
        <v>21</v>
      </c>
      <c r="L24" s="15" t="s">
        <v>21</v>
      </c>
      <c r="M24" s="15" t="s">
        <v>23</v>
      </c>
      <c r="N24" s="15" t="s">
        <v>73</v>
      </c>
      <c r="O24" s="16"/>
      <c r="P24" s="16"/>
      <c r="Q24" s="16"/>
      <c r="R24" s="16"/>
      <c r="S24" s="16"/>
      <c r="T24" s="16"/>
      <c r="U24" s="16"/>
      <c r="V24" s="16"/>
      <c r="W24" s="16"/>
      <c r="X24" s="16"/>
    </row>
    <row r="25">
      <c r="A25" s="12">
        <f t="shared" si="1"/>
        <v>23</v>
      </c>
      <c r="B25" s="13" t="s">
        <v>162</v>
      </c>
      <c r="C25" s="13" t="s">
        <v>163</v>
      </c>
      <c r="D25" s="13" t="s">
        <v>164</v>
      </c>
      <c r="E25" s="13" t="s">
        <v>165</v>
      </c>
      <c r="F25" s="14"/>
      <c r="G25" s="15" t="s">
        <v>21</v>
      </c>
      <c r="H25" s="15" t="s">
        <v>21</v>
      </c>
      <c r="I25" s="15" t="s">
        <v>23</v>
      </c>
      <c r="J25" s="15" t="s">
        <v>21</v>
      </c>
      <c r="K25" s="15" t="s">
        <v>21</v>
      </c>
      <c r="L25" s="15" t="s">
        <v>73</v>
      </c>
      <c r="M25" s="15" t="s">
        <v>21</v>
      </c>
      <c r="N25" s="15" t="s">
        <v>21</v>
      </c>
      <c r="O25" s="16"/>
      <c r="P25" s="16"/>
      <c r="Q25" s="16"/>
      <c r="R25" s="16"/>
      <c r="S25" s="16"/>
      <c r="T25" s="16"/>
      <c r="U25" s="16"/>
      <c r="V25" s="16"/>
      <c r="W25" s="16"/>
      <c r="X25" s="16"/>
    </row>
    <row r="26">
      <c r="A26" s="12">
        <f t="shared" si="1"/>
        <v>24</v>
      </c>
      <c r="B26" s="17" t="s">
        <v>166</v>
      </c>
      <c r="C26" s="17" t="s">
        <v>167</v>
      </c>
      <c r="D26" s="17" t="s">
        <v>168</v>
      </c>
      <c r="E26" s="13" t="s">
        <v>169</v>
      </c>
      <c r="F26" s="14"/>
      <c r="G26" s="18" t="s">
        <v>21</v>
      </c>
      <c r="H26" s="18" t="s">
        <v>21</v>
      </c>
      <c r="I26" s="15" t="s">
        <v>73</v>
      </c>
      <c r="J26" s="18" t="s">
        <v>21</v>
      </c>
      <c r="K26" s="18" t="s">
        <v>21</v>
      </c>
      <c r="L26" s="15" t="s">
        <v>21</v>
      </c>
      <c r="M26" s="18" t="s">
        <v>23</v>
      </c>
      <c r="N26" s="18" t="s">
        <v>21</v>
      </c>
      <c r="O26" s="16"/>
      <c r="P26" s="16"/>
      <c r="Q26" s="16"/>
      <c r="R26" s="16"/>
      <c r="S26" s="16"/>
      <c r="T26" s="16"/>
      <c r="U26" s="16"/>
      <c r="V26" s="16"/>
      <c r="W26" s="16"/>
      <c r="X26" s="16"/>
    </row>
    <row r="27">
      <c r="A27" s="12">
        <f t="shared" si="1"/>
        <v>25</v>
      </c>
      <c r="B27" s="2" t="s">
        <v>170</v>
      </c>
      <c r="C27" s="2" t="s">
        <v>171</v>
      </c>
      <c r="D27" s="2" t="s">
        <v>172</v>
      </c>
      <c r="E27" s="2" t="s">
        <v>173</v>
      </c>
      <c r="F27" s="8"/>
      <c r="G27" s="5" t="s">
        <v>21</v>
      </c>
      <c r="H27" s="5" t="s">
        <v>21</v>
      </c>
      <c r="I27" s="5" t="s">
        <v>73</v>
      </c>
      <c r="J27" s="5" t="s">
        <v>21</v>
      </c>
      <c r="K27" s="5" t="s">
        <v>23</v>
      </c>
      <c r="L27" s="5" t="s">
        <v>21</v>
      </c>
      <c r="M27" s="5" t="s">
        <v>73</v>
      </c>
      <c r="N27" s="5" t="s">
        <v>21</v>
      </c>
    </row>
    <row r="28">
      <c r="A28" s="12">
        <f t="shared" si="1"/>
        <v>26</v>
      </c>
      <c r="B28" s="2" t="s">
        <v>174</v>
      </c>
      <c r="C28" s="2" t="s">
        <v>175</v>
      </c>
      <c r="D28" s="2" t="s">
        <v>176</v>
      </c>
      <c r="E28" s="2" t="s">
        <v>177</v>
      </c>
      <c r="F28" s="2"/>
      <c r="G28" s="5" t="s">
        <v>21</v>
      </c>
      <c r="H28" s="5" t="s">
        <v>23</v>
      </c>
      <c r="I28" s="5" t="s">
        <v>21</v>
      </c>
      <c r="J28" s="5" t="s">
        <v>21</v>
      </c>
      <c r="K28" s="5" t="s">
        <v>73</v>
      </c>
      <c r="L28" s="5" t="s">
        <v>21</v>
      </c>
      <c r="M28" s="5" t="s">
        <v>21</v>
      </c>
      <c r="N28" s="5" t="s">
        <v>21</v>
      </c>
    </row>
    <row r="29">
      <c r="A29" s="12">
        <f t="shared" si="1"/>
        <v>27</v>
      </c>
      <c r="B29" s="2" t="s">
        <v>178</v>
      </c>
      <c r="C29" s="2" t="s">
        <v>179</v>
      </c>
      <c r="D29" s="2" t="s">
        <v>180</v>
      </c>
      <c r="E29" s="2" t="s">
        <v>181</v>
      </c>
      <c r="F29" s="8"/>
      <c r="G29" s="5" t="s">
        <v>21</v>
      </c>
      <c r="H29" s="5" t="s">
        <v>21</v>
      </c>
      <c r="I29" s="5" t="s">
        <v>73</v>
      </c>
      <c r="J29" s="5" t="s">
        <v>21</v>
      </c>
      <c r="K29" s="5" t="s">
        <v>21</v>
      </c>
      <c r="L29" s="5" t="s">
        <v>23</v>
      </c>
      <c r="M29" s="5" t="s">
        <v>21</v>
      </c>
      <c r="N29" s="5" t="s">
        <v>21</v>
      </c>
    </row>
    <row r="30">
      <c r="A30" s="12">
        <f t="shared" si="1"/>
        <v>28</v>
      </c>
      <c r="B30" s="2" t="s">
        <v>182</v>
      </c>
      <c r="C30" s="2" t="s">
        <v>183</v>
      </c>
      <c r="D30" s="2" t="s">
        <v>184</v>
      </c>
      <c r="E30" s="2" t="s">
        <v>185</v>
      </c>
      <c r="F30" s="8"/>
      <c r="G30" s="5" t="s">
        <v>23</v>
      </c>
      <c r="H30" s="5" t="s">
        <v>21</v>
      </c>
      <c r="I30" s="5" t="s">
        <v>73</v>
      </c>
      <c r="J30" s="5" t="s">
        <v>21</v>
      </c>
      <c r="K30" s="5" t="s">
        <v>73</v>
      </c>
      <c r="L30" s="5" t="s">
        <v>21</v>
      </c>
      <c r="M30" s="5" t="s">
        <v>21</v>
      </c>
      <c r="N30" s="5" t="s">
        <v>21</v>
      </c>
    </row>
    <row r="31">
      <c r="A31" s="12">
        <f t="shared" si="1"/>
        <v>29</v>
      </c>
      <c r="B31" s="2" t="s">
        <v>186</v>
      </c>
      <c r="C31" s="2" t="s">
        <v>187</v>
      </c>
      <c r="D31" s="2" t="s">
        <v>188</v>
      </c>
      <c r="E31" s="2" t="s">
        <v>189</v>
      </c>
      <c r="F31" s="8"/>
      <c r="G31" s="5" t="s">
        <v>21</v>
      </c>
      <c r="H31" s="5" t="s">
        <v>21</v>
      </c>
      <c r="I31" s="5" t="s">
        <v>73</v>
      </c>
      <c r="J31" s="5" t="s">
        <v>21</v>
      </c>
      <c r="K31" s="5" t="s">
        <v>23</v>
      </c>
      <c r="L31" s="5" t="s">
        <v>21</v>
      </c>
      <c r="M31" s="5" t="s">
        <v>21</v>
      </c>
      <c r="N31" s="5" t="s">
        <v>21</v>
      </c>
    </row>
    <row r="32">
      <c r="A32" s="12">
        <f t="shared" si="1"/>
        <v>30</v>
      </c>
      <c r="B32" s="2" t="s">
        <v>190</v>
      </c>
      <c r="C32" s="2" t="s">
        <v>191</v>
      </c>
      <c r="D32" s="2" t="s">
        <v>192</v>
      </c>
      <c r="E32" s="2" t="s">
        <v>193</v>
      </c>
      <c r="F32" s="8"/>
      <c r="G32" s="5" t="s">
        <v>21</v>
      </c>
      <c r="H32" s="5" t="s">
        <v>21</v>
      </c>
      <c r="I32" s="5" t="s">
        <v>21</v>
      </c>
      <c r="J32" s="5" t="s">
        <v>23</v>
      </c>
      <c r="K32" s="5" t="s">
        <v>21</v>
      </c>
      <c r="L32" s="5" t="s">
        <v>21</v>
      </c>
      <c r="M32" s="5" t="s">
        <v>73</v>
      </c>
      <c r="N32" s="5" t="s">
        <v>21</v>
      </c>
    </row>
    <row r="33">
      <c r="A33" s="12">
        <f t="shared" si="1"/>
        <v>31</v>
      </c>
      <c r="B33" s="2" t="s">
        <v>194</v>
      </c>
      <c r="C33" s="3" t="s">
        <v>87</v>
      </c>
      <c r="D33" s="3" t="s">
        <v>88</v>
      </c>
      <c r="E33" s="2" t="s">
        <v>195</v>
      </c>
      <c r="F33" s="8"/>
      <c r="G33" s="5" t="s">
        <v>23</v>
      </c>
      <c r="H33" s="5" t="s">
        <v>21</v>
      </c>
      <c r="I33" s="5" t="s">
        <v>21</v>
      </c>
      <c r="J33" s="5" t="s">
        <v>21</v>
      </c>
      <c r="K33" s="5" t="s">
        <v>21</v>
      </c>
      <c r="L33" s="5" t="s">
        <v>21</v>
      </c>
      <c r="M33" s="5" t="s">
        <v>21</v>
      </c>
      <c r="N33" s="5" t="s">
        <v>21</v>
      </c>
    </row>
  </sheetData>
  <dataValidations>
    <dataValidation type="custom" allowBlank="1" showDropDown="1" sqref="A2:A33">
      <formula1>AND(ISNUMBER(A2),(NOT(OR(NOT(ISERROR(DATEVALUE(A2))), AND(ISNUMBER(A2), LEFT(CELL("format", A2))="D")))))</formula1>
    </dataValidation>
    <dataValidation type="list" allowBlank="1" showErrorMessage="1" sqref="G2:N33">
      <formula1>"W,X,-"</formula1>
    </dataValidation>
  </dataValidations>
  <drawing r:id="rId1"/>
  <tableParts count="1"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9900"/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7.71"/>
    <col customWidth="1" min="2" max="2" width="35.57"/>
    <col customWidth="1" min="3" max="3" width="32.86"/>
    <col customWidth="1" min="4" max="4" width="36.29"/>
    <col customWidth="1" min="5" max="5" width="34.29"/>
    <col customWidth="1" min="6" max="6" width="31.43"/>
    <col customWidth="1" min="7" max="7" width="28.0"/>
    <col customWidth="1" min="8" max="8" width="38.0"/>
    <col customWidth="1" min="9" max="9" width="52.71"/>
    <col customWidth="1" min="10" max="15" width="12.43"/>
  </cols>
  <sheetData>
    <row r="1">
      <c r="A1" s="19" t="s">
        <v>0</v>
      </c>
      <c r="B1" s="19" t="s">
        <v>196</v>
      </c>
      <c r="C1" s="20" t="s">
        <v>197</v>
      </c>
      <c r="D1" s="20" t="s">
        <v>198</v>
      </c>
      <c r="E1" s="20" t="s">
        <v>199</v>
      </c>
      <c r="F1" s="20" t="s">
        <v>200</v>
      </c>
      <c r="G1" s="19" t="s">
        <v>201</v>
      </c>
      <c r="H1" s="20" t="s">
        <v>202</v>
      </c>
      <c r="I1" s="21" t="s">
        <v>203</v>
      </c>
    </row>
    <row r="2">
      <c r="A2" s="22">
        <f t="shared" ref="A2:A5" si="1">ROW()-ROW($A$2)</f>
        <v>0</v>
      </c>
      <c r="B2" s="22" t="s">
        <v>204</v>
      </c>
      <c r="C2" s="23" t="s">
        <v>205</v>
      </c>
      <c r="D2" s="24" t="s">
        <v>206</v>
      </c>
      <c r="E2" s="25" t="s">
        <v>207</v>
      </c>
      <c r="F2" s="23" t="s">
        <v>207</v>
      </c>
      <c r="G2" s="26" t="b">
        <v>0</v>
      </c>
      <c r="H2" s="23" t="s">
        <v>207</v>
      </c>
      <c r="I2" s="27" t="s">
        <v>208</v>
      </c>
    </row>
    <row r="3">
      <c r="A3" s="22">
        <f t="shared" si="1"/>
        <v>1</v>
      </c>
      <c r="B3" s="22" t="s">
        <v>209</v>
      </c>
      <c r="C3" s="23" t="s">
        <v>210</v>
      </c>
      <c r="D3" s="24" t="s">
        <v>211</v>
      </c>
      <c r="E3" s="25" t="s">
        <v>207</v>
      </c>
      <c r="F3" s="23" t="s">
        <v>207</v>
      </c>
      <c r="G3" s="26" t="b">
        <v>0</v>
      </c>
      <c r="H3" s="23" t="s">
        <v>207</v>
      </c>
      <c r="I3" s="27" t="s">
        <v>208</v>
      </c>
    </row>
    <row r="4">
      <c r="A4" s="22">
        <f t="shared" si="1"/>
        <v>2</v>
      </c>
      <c r="B4" s="22" t="s">
        <v>212</v>
      </c>
      <c r="C4" s="23" t="s">
        <v>213</v>
      </c>
      <c r="D4" s="24" t="s">
        <v>214</v>
      </c>
      <c r="E4" s="25" t="s">
        <v>215</v>
      </c>
      <c r="F4" s="23" t="s">
        <v>215</v>
      </c>
      <c r="G4" s="26" t="b">
        <v>1</v>
      </c>
      <c r="H4" s="23" t="s">
        <v>215</v>
      </c>
      <c r="I4" s="27" t="s">
        <v>208</v>
      </c>
    </row>
    <row r="5">
      <c r="A5" s="22">
        <f t="shared" si="1"/>
        <v>3</v>
      </c>
      <c r="B5" s="22" t="s">
        <v>216</v>
      </c>
      <c r="C5" s="23" t="s">
        <v>217</v>
      </c>
      <c r="D5" s="24" t="s">
        <v>206</v>
      </c>
      <c r="E5" s="25" t="s">
        <v>218</v>
      </c>
      <c r="F5" s="23" t="s">
        <v>218</v>
      </c>
      <c r="G5" s="26" t="b">
        <v>0</v>
      </c>
      <c r="H5" s="23" t="s">
        <v>207</v>
      </c>
      <c r="I5" s="27" t="s">
        <v>208</v>
      </c>
    </row>
  </sheetData>
  <dataValidations>
    <dataValidation type="list" allowBlank="1" sqref="E2:E5 I2:I5">
      <formula1>#REF!</formula1>
    </dataValidation>
    <dataValidation type="list" allowBlank="1" sqref="C2:D5 F2:F5 H2:H5">
      <formula1>#REF!</formula1>
    </dataValidation>
  </dataValidations>
  <drawing r:id="rId1"/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9CB9C"/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6.29"/>
    <col customWidth="1" min="2" max="2" width="43.0"/>
    <col customWidth="1" min="3" max="3" width="40.29"/>
    <col customWidth="1" min="4" max="4" width="39.14"/>
    <col customWidth="1" min="5" max="5" width="46.14"/>
    <col customWidth="1" min="6" max="6" width="49.29"/>
    <col customWidth="1" min="7" max="7" width="44.57"/>
    <col customWidth="1" min="8" max="8" width="38.86"/>
    <col customWidth="1" min="9" max="9" width="48.29"/>
    <col customWidth="1" min="10" max="10" width="41.0"/>
    <col customWidth="1" min="11" max="12" width="22.57"/>
    <col customWidth="1" min="13" max="13" width="30.0"/>
    <col customWidth="1" min="14" max="14" width="18.0"/>
  </cols>
  <sheetData>
    <row r="1">
      <c r="A1" s="19" t="s">
        <v>0</v>
      </c>
      <c r="B1" s="19" t="s">
        <v>219</v>
      </c>
      <c r="C1" s="19" t="s">
        <v>220</v>
      </c>
      <c r="D1" s="20" t="s">
        <v>221</v>
      </c>
      <c r="E1" s="20" t="s">
        <v>222</v>
      </c>
      <c r="F1" s="20" t="s">
        <v>223</v>
      </c>
      <c r="G1" s="19" t="s">
        <v>224</v>
      </c>
      <c r="H1" s="19" t="s">
        <v>225</v>
      </c>
      <c r="I1" s="20" t="s">
        <v>226</v>
      </c>
      <c r="J1" s="21" t="s">
        <v>227</v>
      </c>
    </row>
    <row r="2">
      <c r="A2" s="28">
        <f>ROW()-ROW(Table_Action_Conditions[N])</f>
        <v>0</v>
      </c>
      <c r="B2" s="28" t="s">
        <v>208</v>
      </c>
      <c r="C2" s="29" t="s">
        <v>228</v>
      </c>
      <c r="D2" s="30" t="s">
        <v>229</v>
      </c>
      <c r="E2" s="30" t="s">
        <v>204</v>
      </c>
      <c r="F2" s="30" t="s">
        <v>230</v>
      </c>
      <c r="G2" s="30" t="s">
        <v>231</v>
      </c>
      <c r="H2" s="30" t="s">
        <v>232</v>
      </c>
      <c r="I2" s="30" t="s">
        <v>233</v>
      </c>
      <c r="J2" s="31" t="s">
        <v>228</v>
      </c>
    </row>
    <row r="3">
      <c r="A3" s="28">
        <f>ROW()-ROW(Table_Action_Conditions[N])</f>
        <v>1</v>
      </c>
      <c r="B3" s="28" t="s">
        <v>234</v>
      </c>
      <c r="C3" s="29" t="s">
        <v>228</v>
      </c>
      <c r="D3" s="30" t="s">
        <v>229</v>
      </c>
      <c r="E3" s="30" t="s">
        <v>204</v>
      </c>
      <c r="F3" s="30" t="s">
        <v>230</v>
      </c>
      <c r="G3" s="30" t="s">
        <v>235</v>
      </c>
      <c r="H3" s="30" t="s">
        <v>232</v>
      </c>
      <c r="I3" s="30" t="s">
        <v>233</v>
      </c>
      <c r="J3" s="31" t="s">
        <v>228</v>
      </c>
    </row>
    <row r="5">
      <c r="A5" s="19" t="s">
        <v>0</v>
      </c>
      <c r="B5" s="19" t="s">
        <v>236</v>
      </c>
      <c r="C5" s="19" t="s">
        <v>237</v>
      </c>
      <c r="D5" s="21" t="s">
        <v>238</v>
      </c>
      <c r="E5" s="21" t="s">
        <v>220</v>
      </c>
      <c r="F5" s="21" t="s">
        <v>239</v>
      </c>
      <c r="G5" s="21" t="s">
        <v>240</v>
      </c>
      <c r="H5" s="21" t="s">
        <v>241</v>
      </c>
      <c r="I5" s="21" t="s">
        <v>242</v>
      </c>
      <c r="J5" s="21" t="s">
        <v>243</v>
      </c>
    </row>
    <row r="6">
      <c r="A6" s="28">
        <f>ROW()-ROW(Table_Unchain_Conditions[N])</f>
        <v>0</v>
      </c>
      <c r="B6" s="28" t="s">
        <v>244</v>
      </c>
      <c r="C6" s="30" t="s">
        <v>245</v>
      </c>
      <c r="D6" s="32" t="s">
        <v>246</v>
      </c>
      <c r="E6" s="33" t="s">
        <v>228</v>
      </c>
      <c r="F6" s="32" t="s">
        <v>204</v>
      </c>
      <c r="G6" s="32" t="s">
        <v>207</v>
      </c>
      <c r="H6" s="34" t="s">
        <v>229</v>
      </c>
      <c r="I6" s="32" t="s">
        <v>247</v>
      </c>
      <c r="J6" s="33" t="s">
        <v>228</v>
      </c>
    </row>
  </sheetData>
  <dataValidations>
    <dataValidation type="list" allowBlank="1" sqref="J2:J3">
      <formula1>#REF!</formula1>
    </dataValidation>
    <dataValidation type="list" allowBlank="1" sqref="H2:H3">
      <formula1>#REF!</formula1>
    </dataValidation>
    <dataValidation type="list" allowBlank="1" sqref="C2:C3">
      <formula1>#REF!</formula1>
    </dataValidation>
    <dataValidation type="list" allowBlank="1" sqref="J6">
      <formula1>#REF!</formula1>
    </dataValidation>
    <dataValidation type="list" allowBlank="1" sqref="D6">
      <formula1>#REF!</formula1>
    </dataValidation>
    <dataValidation type="list" allowBlank="1" sqref="E6">
      <formula1>#REF!</formula1>
    </dataValidation>
    <dataValidation type="list" allowBlank="1" sqref="D2:G3 C6 F6:I6">
      <formula1>#REF!</formula1>
    </dataValidation>
    <dataValidation type="list" allowBlank="1" sqref="I2:I3">
      <formula1>#REF!</formula1>
    </dataValidation>
  </dataValidations>
  <drawing r:id="rId1"/>
  <tableParts count="2">
    <tablePart r:id="rId4"/>
    <tablePart r:id="rId5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93C47D"/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2" max="2" width="36.71"/>
    <col customWidth="1" min="3" max="3" width="73.0"/>
    <col customWidth="1" min="4" max="4" width="26.0"/>
  </cols>
  <sheetData>
    <row r="1">
      <c r="A1" s="19" t="s">
        <v>0</v>
      </c>
      <c r="B1" s="19" t="s">
        <v>248</v>
      </c>
      <c r="C1" s="19" t="s">
        <v>249</v>
      </c>
    </row>
    <row r="2">
      <c r="A2" s="28">
        <f>ROW()-ROW(Table_sprites[N])</f>
        <v>0</v>
      </c>
      <c r="B2" s="28" t="s">
        <v>207</v>
      </c>
    </row>
    <row r="3">
      <c r="A3" s="28">
        <f>ROW()-ROW(Table_sprites[N])</f>
        <v>1</v>
      </c>
      <c r="B3" s="28" t="s">
        <v>250</v>
      </c>
      <c r="C3" s="28" t="s">
        <v>251</v>
      </c>
    </row>
    <row r="4">
      <c r="A4" s="28">
        <f>ROW()-ROW(Table_sprites[N])</f>
        <v>2</v>
      </c>
      <c r="B4" s="28" t="s">
        <v>252</v>
      </c>
      <c r="C4" s="28" t="s">
        <v>253</v>
      </c>
    </row>
    <row r="5">
      <c r="A5" s="28">
        <f>ROW()-ROW(Table_sprites[N])</f>
        <v>3</v>
      </c>
      <c r="B5" s="28" t="s">
        <v>254</v>
      </c>
      <c r="C5" s="28" t="s">
        <v>255</v>
      </c>
    </row>
    <row r="6">
      <c r="A6" s="28">
        <f>ROW()-ROW(Table_sprites[N])</f>
        <v>4</v>
      </c>
      <c r="B6" s="28" t="s">
        <v>256</v>
      </c>
      <c r="C6" s="28" t="s">
        <v>257</v>
      </c>
    </row>
    <row r="7">
      <c r="A7" s="28">
        <f>ROW()-ROW(Table_sprites[N])</f>
        <v>5</v>
      </c>
      <c r="B7" s="28" t="s">
        <v>258</v>
      </c>
      <c r="C7" s="28" t="s">
        <v>259</v>
      </c>
    </row>
    <row r="8">
      <c r="A8" s="28">
        <f>ROW()-ROW(Table_sprites[N])</f>
        <v>6</v>
      </c>
      <c r="B8" s="28" t="s">
        <v>260</v>
      </c>
      <c r="C8" s="28" t="s">
        <v>261</v>
      </c>
    </row>
    <row r="9">
      <c r="A9" s="28">
        <f>ROW()-ROW(Table_sprites[N])</f>
        <v>7</v>
      </c>
      <c r="B9" s="28" t="s">
        <v>262</v>
      </c>
      <c r="C9" s="28" t="s">
        <v>263</v>
      </c>
    </row>
    <row r="10">
      <c r="A10" s="28">
        <f>ROW()-ROW(Table_sprites[N])</f>
        <v>8</v>
      </c>
      <c r="B10" s="28" t="s">
        <v>264</v>
      </c>
      <c r="C10" s="28" t="s">
        <v>265</v>
      </c>
    </row>
    <row r="11">
      <c r="A11" s="28">
        <f>ROW()-ROW(Table_sprites[N])</f>
        <v>9</v>
      </c>
      <c r="B11" s="28" t="s">
        <v>266</v>
      </c>
      <c r="C11" s="28" t="s">
        <v>267</v>
      </c>
    </row>
    <row r="12">
      <c r="A12" s="28">
        <f>ROW()-ROW(Table_sprites[N])</f>
        <v>10</v>
      </c>
      <c r="B12" s="28" t="s">
        <v>268</v>
      </c>
      <c r="C12" s="28" t="s">
        <v>269</v>
      </c>
    </row>
    <row r="13">
      <c r="A13" s="28">
        <f>ROW()-ROW(Table_sprites[N])</f>
        <v>11</v>
      </c>
      <c r="B13" s="28" t="s">
        <v>215</v>
      </c>
      <c r="C13" s="28" t="s">
        <v>270</v>
      </c>
    </row>
    <row r="14">
      <c r="A14" s="28">
        <f>ROW()-ROW(Table_sprites[N])</f>
        <v>12</v>
      </c>
      <c r="B14" s="28" t="s">
        <v>218</v>
      </c>
      <c r="C14" s="28" t="s">
        <v>218</v>
      </c>
    </row>
  </sheetData>
  <drawing r:id="rId1"/>
  <tableParts count="1">
    <tablePart r:id="rId3"/>
  </tableParts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9900FF"/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2" max="2" width="39.0"/>
    <col customWidth="1" min="3" max="3" width="43.71"/>
    <col customWidth="1" min="4" max="4" width="46.71"/>
    <col customWidth="1" min="5" max="5" width="31.29"/>
    <col customWidth="1" min="6" max="6" width="50.57"/>
    <col customWidth="1" min="7" max="8" width="21.29"/>
    <col customWidth="1" min="9" max="10" width="32.57"/>
  </cols>
  <sheetData>
    <row r="1">
      <c r="A1" s="19" t="s">
        <v>0</v>
      </c>
      <c r="B1" s="19" t="s">
        <v>271</v>
      </c>
      <c r="C1" s="21" t="s">
        <v>272</v>
      </c>
      <c r="D1" s="21" t="s">
        <v>273</v>
      </c>
    </row>
    <row r="2">
      <c r="A2" s="28">
        <f>ROW()-ROW(Table_Dialogs[N])</f>
        <v>0</v>
      </c>
      <c r="B2" s="28" t="s">
        <v>232</v>
      </c>
      <c r="C2" s="33" t="s">
        <v>204</v>
      </c>
      <c r="D2" s="31" t="s">
        <v>274</v>
      </c>
    </row>
    <row r="3">
      <c r="A3" s="28">
        <f>ROW()-ROW(Table_Dialogs[N])</f>
        <v>1</v>
      </c>
      <c r="B3" s="28" t="s">
        <v>275</v>
      </c>
      <c r="C3" s="33" t="s">
        <v>204</v>
      </c>
      <c r="D3" s="31" t="s">
        <v>276</v>
      </c>
    </row>
    <row r="4">
      <c r="A4" s="28">
        <f>ROW()-ROW(Table_Dialogs[N])</f>
        <v>2</v>
      </c>
      <c r="B4" s="28" t="s">
        <v>277</v>
      </c>
      <c r="C4" s="33" t="s">
        <v>204</v>
      </c>
      <c r="D4" s="31" t="s">
        <v>274</v>
      </c>
    </row>
    <row r="6">
      <c r="A6" s="19" t="s">
        <v>0</v>
      </c>
      <c r="B6" s="19" t="s">
        <v>278</v>
      </c>
      <c r="C6" s="19" t="s">
        <v>220</v>
      </c>
      <c r="D6" s="21" t="s">
        <v>279</v>
      </c>
      <c r="E6" s="21" t="s">
        <v>280</v>
      </c>
      <c r="F6" s="21" t="s">
        <v>281</v>
      </c>
    </row>
    <row r="7">
      <c r="A7" s="28">
        <f>ROW()-ROW(Table_Dialog_Options[N])</f>
        <v>0</v>
      </c>
      <c r="B7" s="28" t="s">
        <v>274</v>
      </c>
      <c r="C7" s="29" t="s">
        <v>228</v>
      </c>
      <c r="D7" s="29" t="s">
        <v>228</v>
      </c>
      <c r="E7" s="30" t="s">
        <v>232</v>
      </c>
      <c r="F7" s="29" t="s">
        <v>233</v>
      </c>
    </row>
    <row r="8">
      <c r="A8" s="28">
        <f>ROW()-ROW(Table_Dialog_Options[N])</f>
        <v>1</v>
      </c>
      <c r="B8" s="28" t="s">
        <v>276</v>
      </c>
      <c r="C8" s="29" t="s">
        <v>228</v>
      </c>
      <c r="D8" s="29" t="s">
        <v>228</v>
      </c>
      <c r="E8" s="30" t="s">
        <v>232</v>
      </c>
      <c r="F8" s="29" t="s">
        <v>233</v>
      </c>
    </row>
    <row r="9">
      <c r="A9" s="28">
        <f>ROW()-ROW(Table_Dialog_Options[N])</f>
        <v>2</v>
      </c>
      <c r="B9" s="28" t="s">
        <v>282</v>
      </c>
      <c r="C9" s="29" t="s">
        <v>228</v>
      </c>
      <c r="D9" s="29" t="s">
        <v>228</v>
      </c>
      <c r="E9" s="30" t="s">
        <v>232</v>
      </c>
      <c r="F9" s="29" t="s">
        <v>233</v>
      </c>
    </row>
    <row r="11">
      <c r="A11" s="35"/>
      <c r="B11" s="35"/>
      <c r="C11" s="35"/>
      <c r="D11" s="35"/>
      <c r="E11" s="35"/>
      <c r="F11" s="35"/>
    </row>
    <row r="12">
      <c r="A12" s="35"/>
      <c r="B12" s="35"/>
      <c r="C12" s="35"/>
      <c r="D12" s="35"/>
      <c r="E12" s="35"/>
      <c r="F12" s="35"/>
    </row>
    <row r="13">
      <c r="A13" s="35"/>
      <c r="B13" s="35"/>
      <c r="C13" s="35"/>
      <c r="D13" s="35"/>
      <c r="E13" s="35"/>
      <c r="F13" s="35"/>
    </row>
    <row r="14">
      <c r="A14" s="35"/>
      <c r="B14" s="35"/>
      <c r="C14" s="35"/>
      <c r="D14" s="35"/>
      <c r="E14" s="35"/>
      <c r="F14" s="35"/>
    </row>
    <row r="15">
      <c r="A15" s="35"/>
      <c r="B15" s="35"/>
      <c r="C15" s="35"/>
      <c r="D15" s="35"/>
      <c r="E15" s="35"/>
      <c r="F15" s="35"/>
    </row>
    <row r="16">
      <c r="A16" s="35"/>
      <c r="B16" s="35"/>
      <c r="C16" s="35"/>
      <c r="D16" s="35"/>
      <c r="E16" s="35"/>
      <c r="F16" s="35"/>
    </row>
  </sheetData>
  <dataValidations>
    <dataValidation type="list" allowBlank="1" sqref="E7:E9">
      <formula1>Table_Dialogs[DIALOG_ID]</formula1>
    </dataValidation>
    <dataValidation type="list" allowBlank="1" sqref="C2:C4">
      <formula1>#REF!</formula1>
    </dataValidation>
    <dataValidation type="list" allowBlank="1" sqref="F7:F9">
      <formula1>#REF!</formula1>
    </dataValidation>
    <dataValidation type="list" allowBlank="1" sqref="C7:C9">
      <formula1>#REF!</formula1>
    </dataValidation>
    <dataValidation type="list" allowBlank="1" sqref="D2:D4">
      <formula1>#REF!</formula1>
    </dataValidation>
    <dataValidation type="list" allowBlank="1" sqref="D7:D9">
      <formula1>#REF!</formula1>
    </dataValidation>
  </dataValidations>
  <drawing r:id="rId2"/>
  <legacyDrawing r:id="rId3"/>
  <tableParts count="2">
    <tablePart r:id="rId6"/>
    <tablePart r:id="rId7"/>
  </tableParts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20124D"/>
    <outlinePr summaryBelow="0" summaryRight="0"/>
  </sheetPr>
  <sheetViews>
    <sheetView workbookViewId="0"/>
  </sheetViews>
  <sheetFormatPr customHeight="1" defaultColWidth="14.43" defaultRowHeight="15.0"/>
  <cols>
    <col customWidth="1" min="2" max="2" width="31.14"/>
    <col customWidth="1" min="3" max="3" width="26.43"/>
    <col customWidth="1" min="4" max="4" width="29.29"/>
  </cols>
  <sheetData>
    <row r="1">
      <c r="A1" s="36" t="s">
        <v>0</v>
      </c>
      <c r="B1" s="37" t="s">
        <v>283</v>
      </c>
      <c r="C1" s="36" t="s">
        <v>284</v>
      </c>
      <c r="D1" s="36" t="s">
        <v>285</v>
      </c>
    </row>
    <row r="2">
      <c r="A2" s="22">
        <f>ROW()-ROW(Table_Name[NAME_ID])</f>
        <v>0</v>
      </c>
      <c r="B2" s="22" t="s">
        <v>205</v>
      </c>
      <c r="C2" s="38"/>
      <c r="D2" s="38"/>
    </row>
    <row r="3">
      <c r="A3" s="22">
        <f>ROW()-ROW(Table_Name[NAME_ID])</f>
        <v>1</v>
      </c>
      <c r="B3" s="22" t="s">
        <v>210</v>
      </c>
      <c r="C3" s="22" t="s">
        <v>286</v>
      </c>
      <c r="D3" s="22" t="s">
        <v>286</v>
      </c>
    </row>
    <row r="4">
      <c r="A4" s="22">
        <f>ROW()-ROW(Table_Name[NAME_ID])</f>
        <v>2</v>
      </c>
      <c r="B4" s="22" t="s">
        <v>287</v>
      </c>
      <c r="C4" s="22" t="s">
        <v>288</v>
      </c>
      <c r="D4" s="22" t="s">
        <v>289</v>
      </c>
    </row>
    <row r="5">
      <c r="A5" s="22">
        <f>ROW()-ROW(Table_Name[NAME_ID])</f>
        <v>3</v>
      </c>
      <c r="B5" s="22" t="s">
        <v>290</v>
      </c>
      <c r="C5" s="22" t="s">
        <v>291</v>
      </c>
      <c r="D5" s="22" t="s">
        <v>292</v>
      </c>
    </row>
    <row r="6">
      <c r="A6" s="22">
        <f>ROW()-ROW(Table_Name[NAME_ID])</f>
        <v>4</v>
      </c>
      <c r="B6" s="22" t="s">
        <v>293</v>
      </c>
      <c r="C6" s="22" t="s">
        <v>294</v>
      </c>
      <c r="D6" s="22" t="s">
        <v>295</v>
      </c>
    </row>
    <row r="7">
      <c r="A7" s="22">
        <f>ROW()-ROW(Table_Name[NAME_ID])</f>
        <v>5</v>
      </c>
      <c r="B7" s="22" t="s">
        <v>296</v>
      </c>
      <c r="C7" s="22" t="s">
        <v>297</v>
      </c>
      <c r="D7" s="22" t="s">
        <v>298</v>
      </c>
    </row>
    <row r="8">
      <c r="A8" s="22">
        <f>ROW()-ROW(Table_Name[NAME_ID])</f>
        <v>6</v>
      </c>
      <c r="B8" s="22" t="s">
        <v>299</v>
      </c>
      <c r="C8" s="22" t="s">
        <v>300</v>
      </c>
      <c r="D8" s="22" t="s">
        <v>300</v>
      </c>
    </row>
    <row r="9">
      <c r="A9" s="22">
        <f>ROW()-ROW(Table_Name[NAME_ID])</f>
        <v>7</v>
      </c>
      <c r="B9" s="22" t="s">
        <v>301</v>
      </c>
      <c r="C9" s="22" t="s">
        <v>302</v>
      </c>
      <c r="D9" s="22" t="s">
        <v>303</v>
      </c>
    </row>
    <row r="10">
      <c r="A10" s="22">
        <f>ROW()-ROW(Table_Name[NAME_ID])</f>
        <v>8</v>
      </c>
      <c r="B10" s="22" t="s">
        <v>213</v>
      </c>
      <c r="C10" s="22" t="s">
        <v>304</v>
      </c>
      <c r="D10" s="22" t="s">
        <v>305</v>
      </c>
    </row>
    <row r="11">
      <c r="A11" s="22">
        <f>ROW()-ROW(Table_Name[NAME_ID])</f>
        <v>9</v>
      </c>
      <c r="B11" s="22" t="s">
        <v>306</v>
      </c>
      <c r="C11" s="22" t="s">
        <v>307</v>
      </c>
      <c r="D11" s="22" t="s">
        <v>308</v>
      </c>
    </row>
    <row r="12">
      <c r="A12" s="22">
        <f>ROW()-ROW(Table_Name[NAME_ID])</f>
        <v>10</v>
      </c>
      <c r="B12" s="22" t="s">
        <v>309</v>
      </c>
      <c r="C12" s="22" t="s">
        <v>310</v>
      </c>
      <c r="D12" s="22" t="s">
        <v>311</v>
      </c>
    </row>
    <row r="13">
      <c r="A13" s="22">
        <f>ROW()-ROW(Table_Name[NAME_ID])</f>
        <v>11</v>
      </c>
      <c r="B13" s="22" t="s">
        <v>217</v>
      </c>
      <c r="C13" s="22" t="s">
        <v>312</v>
      </c>
      <c r="D13" s="22" t="s">
        <v>313</v>
      </c>
    </row>
  </sheetData>
  <drawing r:id="rId1"/>
  <tableParts count="1">
    <tablePart r:id="rId3"/>
  </tableParts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674EA7"/>
    <outlinePr summaryBelow="0" summaryRight="0"/>
  </sheetPr>
  <sheetViews>
    <sheetView workbookViewId="0"/>
  </sheetViews>
  <sheetFormatPr customHeight="1" defaultColWidth="14.43" defaultRowHeight="15.0"/>
  <cols>
    <col customWidth="1" min="2" max="2" width="42.57"/>
    <col customWidth="1" min="3" max="3" width="15.57"/>
    <col customWidth="1" min="4" max="4" width="10.86"/>
    <col customWidth="1" min="5" max="5" width="32.86"/>
    <col customWidth="1" min="6" max="6" width="50.29"/>
    <col customWidth="1" min="7" max="7" width="58.43"/>
    <col customWidth="1" min="8" max="8" width="32.86"/>
    <col customWidth="1" min="9" max="9" width="24.14"/>
  </cols>
  <sheetData>
    <row r="1">
      <c r="A1" s="19" t="s">
        <v>0</v>
      </c>
      <c r="B1" s="19" t="s">
        <v>314</v>
      </c>
      <c r="C1" s="20" t="s">
        <v>315</v>
      </c>
      <c r="D1" s="19" t="s">
        <v>316</v>
      </c>
      <c r="E1" s="21" t="s">
        <v>317</v>
      </c>
      <c r="F1" s="19" t="s">
        <v>318</v>
      </c>
      <c r="G1" s="39" t="s">
        <v>319</v>
      </c>
    </row>
    <row r="2">
      <c r="A2" s="28">
        <f>ROW()-ROW(Table_Phrases[N])</f>
        <v>0</v>
      </c>
      <c r="B2" s="28" t="s">
        <v>233</v>
      </c>
      <c r="C2" s="28">
        <v>0.0</v>
      </c>
      <c r="D2" s="28">
        <v>0.0</v>
      </c>
      <c r="E2" s="32" t="s">
        <v>320</v>
      </c>
      <c r="F2" s="40"/>
      <c r="G2" s="29"/>
    </row>
    <row r="3">
      <c r="A3" s="28">
        <f>ROW()-ROW(Table_Phrases[N])</f>
        <v>1</v>
      </c>
      <c r="B3" s="28" t="s">
        <v>321</v>
      </c>
      <c r="C3" s="28">
        <v>0.0</v>
      </c>
      <c r="D3" s="28">
        <v>0.0</v>
      </c>
      <c r="E3" s="32" t="s">
        <v>322</v>
      </c>
      <c r="F3" s="29" t="s">
        <v>323</v>
      </c>
      <c r="G3" s="29" t="s">
        <v>324</v>
      </c>
    </row>
    <row r="4">
      <c r="A4" s="28">
        <f>ROW()-ROW(Table_Phrases[N])</f>
        <v>2</v>
      </c>
      <c r="B4" s="28" t="s">
        <v>325</v>
      </c>
      <c r="C4" s="28">
        <v>0.0</v>
      </c>
      <c r="D4" s="28">
        <v>0.0</v>
      </c>
      <c r="E4" s="32" t="s">
        <v>322</v>
      </c>
      <c r="F4" s="29" t="s">
        <v>326</v>
      </c>
      <c r="G4" s="29" t="s">
        <v>327</v>
      </c>
    </row>
    <row r="5">
      <c r="A5" s="28">
        <f>ROW()-ROW(Table_Phrases[N])</f>
        <v>3</v>
      </c>
      <c r="B5" s="28" t="s">
        <v>328</v>
      </c>
      <c r="C5" s="28">
        <v>0.0</v>
      </c>
      <c r="D5" s="28">
        <v>0.0</v>
      </c>
      <c r="E5" s="32" t="s">
        <v>322</v>
      </c>
      <c r="F5" s="29" t="s">
        <v>329</v>
      </c>
      <c r="G5" s="29" t="s">
        <v>330</v>
      </c>
    </row>
    <row r="6">
      <c r="A6" s="28">
        <f>ROW()-ROW(Table_Phrases[N])</f>
        <v>4</v>
      </c>
      <c r="B6" s="28" t="s">
        <v>331</v>
      </c>
      <c r="C6" s="28">
        <v>0.0</v>
      </c>
      <c r="D6" s="28">
        <v>0.0</v>
      </c>
      <c r="E6" s="32" t="s">
        <v>322</v>
      </c>
      <c r="F6" s="29" t="s">
        <v>332</v>
      </c>
      <c r="G6" s="29" t="s">
        <v>333</v>
      </c>
    </row>
    <row r="7">
      <c r="A7" s="28">
        <f>ROW()-ROW(Table_Phrases[N])</f>
        <v>5</v>
      </c>
      <c r="B7" s="28" t="s">
        <v>334</v>
      </c>
      <c r="C7" s="28">
        <v>0.0</v>
      </c>
      <c r="D7" s="28">
        <v>0.0</v>
      </c>
      <c r="E7" s="32" t="s">
        <v>322</v>
      </c>
      <c r="F7" s="29" t="s">
        <v>335</v>
      </c>
      <c r="G7" s="29" t="s">
        <v>336</v>
      </c>
    </row>
    <row r="8">
      <c r="A8" s="28">
        <f>ROW()-ROW(Table_Phrases[N])</f>
        <v>6</v>
      </c>
      <c r="B8" s="28" t="s">
        <v>337</v>
      </c>
      <c r="C8" s="28">
        <v>0.0</v>
      </c>
      <c r="D8" s="28">
        <v>0.0</v>
      </c>
      <c r="E8" s="32" t="s">
        <v>322</v>
      </c>
      <c r="F8" s="29" t="s">
        <v>338</v>
      </c>
      <c r="G8" s="29" t="s">
        <v>339</v>
      </c>
    </row>
    <row r="9">
      <c r="A9" s="28">
        <f>ROW()-ROW(Table_Phrases[N])</f>
        <v>7</v>
      </c>
      <c r="B9" s="28" t="s">
        <v>340</v>
      </c>
      <c r="C9" s="28">
        <v>0.0</v>
      </c>
      <c r="D9" s="28">
        <v>0.0</v>
      </c>
      <c r="E9" s="32" t="s">
        <v>322</v>
      </c>
      <c r="F9" s="29" t="s">
        <v>341</v>
      </c>
      <c r="G9" s="29" t="s">
        <v>342</v>
      </c>
    </row>
  </sheetData>
  <dataValidations>
    <dataValidation type="list" allowBlank="1" sqref="E2:E9">
      <formula1>#REF!</formula1>
    </dataValidation>
  </dataValidations>
  <drawing r:id="rId1"/>
  <tableParts count="1">
    <tablePart r:id="rId3"/>
  </tableParts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00"/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2" max="2" width="17.86"/>
    <col customWidth="1" min="3" max="3" width="38.29"/>
    <col customWidth="1" min="4" max="5" width="29.86"/>
    <col customWidth="1" min="6" max="6" width="48.29"/>
    <col customWidth="1" min="7" max="7" width="41.14"/>
    <col customWidth="1" min="8" max="8" width="42.86"/>
    <col customWidth="1" min="9" max="9" width="31.71"/>
  </cols>
  <sheetData>
    <row r="1">
      <c r="A1" s="19" t="s">
        <v>0</v>
      </c>
      <c r="B1" s="19" t="s">
        <v>343</v>
      </c>
      <c r="C1" s="21" t="s">
        <v>344</v>
      </c>
      <c r="D1" s="21" t="s">
        <v>345</v>
      </c>
      <c r="E1" s="21" t="s">
        <v>346</v>
      </c>
      <c r="F1" s="21" t="s">
        <v>347</v>
      </c>
      <c r="G1" s="21" t="s">
        <v>348</v>
      </c>
      <c r="H1" s="21" t="s">
        <v>349</v>
      </c>
      <c r="I1" s="21" t="s">
        <v>350</v>
      </c>
    </row>
    <row r="2" ht="186.0" customHeight="1">
      <c r="A2" s="22">
        <f t="shared" ref="A2:A4" si="1">ROW()-ROW($A$2)-1</f>
        <v>-1</v>
      </c>
      <c r="B2" s="22" t="s">
        <v>351</v>
      </c>
      <c r="C2" s="23" t="s">
        <v>207</v>
      </c>
      <c r="D2" s="41" t="str">
        <f>IFERROR(__xludf.DUMMYFUNCTION("ARRAYFORMULA(
TEXTJOIN(""|"",TRUE,
UNIQUE(TRANSPOSE(
SPLIT(TEXTJOIN("", "",TRUE,
G2
),"", "")
))
)
)"),"SPRITE_NONE")</f>
        <v>SPRITE_NONE</v>
      </c>
      <c r="E2" s="41" t="str">
        <f t="shared" ref="E2:E4" si="2">SUBSTITUTE(I2,", ","|")</f>
        <v>PHRASE_NONSENSE</v>
      </c>
      <c r="F2" s="41" t="str">
        <f>IFERROR(__xludf.DUMMYFUNCTION("ARRAYFORMULA(
TEXTJOIN(""|"",TRUE,
UNIQUE(TRANSPOSE(
SPLIT(TEXTJOIN("", "",TRUE,
H2
),"", "")
))
)
)"),"ITEM_NONE")</f>
        <v>ITEM_NONE</v>
      </c>
      <c r="G2" s="27" t="s">
        <v>207</v>
      </c>
      <c r="H2" s="27" t="s">
        <v>204</v>
      </c>
      <c r="I2" s="27" t="s">
        <v>321</v>
      </c>
    </row>
    <row r="3" ht="98.25" customHeight="1">
      <c r="A3" s="22">
        <f t="shared" si="1"/>
        <v>0</v>
      </c>
      <c r="B3" s="22" t="s">
        <v>352</v>
      </c>
      <c r="C3" s="23" t="s">
        <v>268</v>
      </c>
      <c r="D3" s="41" t="str">
        <f>IFERROR(__xludf.DUMMYFUNCTION("ARRAYFORMULA(
TEXTJOIN(""|"",TRUE,
UNIQUE(TRANSPOSE(
SPLIT(TEXTJOIN("", "",TRUE,
G3
),"", "")
))
)
)"),"BACKGROUND_HIVE1_ROOM1")</f>
        <v>BACKGROUND_HIVE1_ROOM1</v>
      </c>
      <c r="E3" s="41" t="str">
        <f t="shared" si="2"/>
        <v>PHRASE_NONSENSE</v>
      </c>
      <c r="F3" s="41" t="str">
        <f>IFERROR(__xludf.DUMMYFUNCTION("ARRAYFORMULA(
TEXTJOIN(""|"",TRUE,
UNIQUE(TRANSPOSE(
SPLIT(TEXTJOIN("", "",TRUE,
H3
),"", "")
))
)
)"),"ITEM_CARDS_PICKABLE")</f>
        <v>ITEM_CARDS_PICKABLE</v>
      </c>
      <c r="G3" s="27" t="s">
        <v>268</v>
      </c>
      <c r="H3" s="27" t="s">
        <v>212</v>
      </c>
      <c r="I3" s="27" t="s">
        <v>321</v>
      </c>
    </row>
    <row r="4">
      <c r="A4" s="22">
        <f t="shared" si="1"/>
        <v>1</v>
      </c>
      <c r="B4" s="22" t="s">
        <v>353</v>
      </c>
      <c r="C4" s="23" t="s">
        <v>207</v>
      </c>
      <c r="D4" s="41" t="str">
        <f>IFERROR(__xludf.DUMMYFUNCTION("ARRAYFORMULA(
TEXTJOIN(""|"",TRUE,
UNIQUE(TRANSPOSE(
SPLIT(TEXTJOIN("", "",TRUE,
G4
),"", "")
))
)
)"),"SPRITE_LAST")</f>
        <v>SPRITE_LAST</v>
      </c>
      <c r="E4" s="41" t="str">
        <f t="shared" si="2"/>
        <v>PHRASE_NONSENSE</v>
      </c>
      <c r="F4" s="41" t="str">
        <f>IFERROR(__xludf.DUMMYFUNCTION("ARRAYFORMULA(
TEXTJOIN(""|"",TRUE,
UNIQUE(TRANSPOSE(
SPLIT(TEXTJOIN("", "",TRUE,
H4
),"", "")
))
)
)"),"ITEM_LAST")</f>
        <v>ITEM_LAST</v>
      </c>
      <c r="G4" s="27" t="s">
        <v>218</v>
      </c>
      <c r="H4" s="27" t="s">
        <v>216</v>
      </c>
      <c r="I4" s="27" t="s">
        <v>321</v>
      </c>
    </row>
  </sheetData>
  <dataValidations>
    <dataValidation type="list" allowBlank="1" sqref="G2:I4">
      <formula1>#REF!</formula1>
    </dataValidation>
    <dataValidation type="list" allowBlank="1" sqref="C2:C4">
      <formula1>#REF!</formula1>
    </dataValidation>
  </dataValidations>
  <drawing r:id="rId1"/>
  <tableParts count="1">
    <tablePart r:id="rId3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990000"/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2" max="3" width="38.86"/>
    <col customWidth="1" min="4" max="4" width="23.29"/>
    <col customWidth="1" min="6" max="6" width="38.86"/>
    <col customWidth="1" min="8" max="8" width="34.57"/>
  </cols>
  <sheetData>
    <row r="1">
      <c r="A1" s="19" t="s">
        <v>0</v>
      </c>
      <c r="B1" s="19" t="s">
        <v>354</v>
      </c>
    </row>
    <row r="2">
      <c r="A2" s="28">
        <f>ROW()-ROW(Table_Characters[N])</f>
        <v>0</v>
      </c>
      <c r="B2" s="28" t="s">
        <v>229</v>
      </c>
    </row>
    <row r="3">
      <c r="A3" s="28">
        <f>ROW()-ROW(Table_Characters[N])</f>
        <v>1</v>
      </c>
      <c r="B3" s="28" t="s">
        <v>355</v>
      </c>
    </row>
    <row r="4">
      <c r="A4" s="28">
        <f>ROW()-ROW(Table_Characters[N])</f>
        <v>2</v>
      </c>
      <c r="B4" s="28" t="s">
        <v>356</v>
      </c>
    </row>
    <row r="5">
      <c r="A5" s="28">
        <f>ROW()-ROW(Table_Characters[N])</f>
        <v>3</v>
      </c>
      <c r="B5" s="28" t="s">
        <v>357</v>
      </c>
    </row>
    <row r="6">
      <c r="A6" s="10"/>
      <c r="B6" s="10"/>
    </row>
    <row r="7">
      <c r="A7" s="19" t="s">
        <v>0</v>
      </c>
      <c r="B7" s="19" t="s">
        <v>358</v>
      </c>
    </row>
    <row r="8">
      <c r="A8" s="28">
        <v>0.0</v>
      </c>
      <c r="B8" s="28" t="s">
        <v>231</v>
      </c>
    </row>
    <row r="9">
      <c r="A9" s="28">
        <v>1.0</v>
      </c>
      <c r="B9" s="28" t="s">
        <v>359</v>
      </c>
    </row>
    <row r="10">
      <c r="A10" s="28">
        <v>2.0</v>
      </c>
      <c r="B10" s="28" t="s">
        <v>235</v>
      </c>
    </row>
    <row r="11">
      <c r="A11" s="28">
        <v>3.0</v>
      </c>
      <c r="B11" s="28" t="s">
        <v>360</v>
      </c>
    </row>
    <row r="12">
      <c r="A12" s="28">
        <v>4.0</v>
      </c>
      <c r="B12" s="28" t="s">
        <v>361</v>
      </c>
    </row>
    <row r="13">
      <c r="A13" s="28">
        <v>5.0</v>
      </c>
      <c r="B13" s="28" t="s">
        <v>362</v>
      </c>
    </row>
    <row r="15">
      <c r="A15" s="19" t="s">
        <v>0</v>
      </c>
      <c r="B15" s="19" t="s">
        <v>363</v>
      </c>
    </row>
    <row r="16">
      <c r="A16" s="28">
        <f>ROW()-ROW(Table_Interaction[N])</f>
        <v>0</v>
      </c>
      <c r="B16" s="28" t="s">
        <v>230</v>
      </c>
    </row>
    <row r="17">
      <c r="A17" s="28">
        <f>ROW()-ROW(Table_Interaction[N])</f>
        <v>1</v>
      </c>
      <c r="B17" s="28" t="s">
        <v>364</v>
      </c>
    </row>
    <row r="18">
      <c r="A18" s="28">
        <f>ROW()-ROW(Table_Interaction[N])</f>
        <v>2</v>
      </c>
      <c r="B18" s="28" t="s">
        <v>365</v>
      </c>
    </row>
    <row r="19">
      <c r="A19" s="28">
        <f>ROW()-ROW(Table_Interaction[N])</f>
        <v>3</v>
      </c>
      <c r="B19" s="28" t="s">
        <v>366</v>
      </c>
    </row>
    <row r="20">
      <c r="A20" s="28">
        <f>ROW()-ROW(Table_Interaction[N])</f>
        <v>4</v>
      </c>
      <c r="B20" s="28" t="s">
        <v>367</v>
      </c>
    </row>
    <row r="21">
      <c r="A21" s="28">
        <f>ROW()-ROW(Table_Interaction[N])</f>
        <v>5</v>
      </c>
      <c r="B21" s="28" t="s">
        <v>368</v>
      </c>
    </row>
    <row r="22">
      <c r="A22" s="28">
        <f>ROW()-ROW(Table_Interaction[N])</f>
        <v>6</v>
      </c>
      <c r="B22" s="28" t="s">
        <v>369</v>
      </c>
    </row>
    <row r="24">
      <c r="A24" s="19" t="s">
        <v>0</v>
      </c>
      <c r="B24" s="19" t="s">
        <v>370</v>
      </c>
    </row>
    <row r="25">
      <c r="A25" s="28">
        <f>ROW()-ROW(Table_Unchain_Type[N])</f>
        <v>0</v>
      </c>
      <c r="B25" s="28" t="s">
        <v>371</v>
      </c>
    </row>
    <row r="26">
      <c r="A26" s="28">
        <f>ROW()-ROW(Table_Unchain_Type[N])</f>
        <v>1</v>
      </c>
      <c r="B26" s="28" t="s">
        <v>372</v>
      </c>
    </row>
    <row r="27">
      <c r="A27" s="28">
        <f>ROW()-ROW(Table_Unchain_Type[N])</f>
        <v>2</v>
      </c>
      <c r="B27" s="28" t="s">
        <v>373</v>
      </c>
    </row>
    <row r="28">
      <c r="A28" s="28">
        <f>ROW()-ROW(Table_Unchain_Type[N])</f>
        <v>3</v>
      </c>
      <c r="B28" s="28" t="s">
        <v>374</v>
      </c>
    </row>
    <row r="29">
      <c r="A29" s="28">
        <f>ROW()-ROW(Table_Unchain_Type[N])</f>
        <v>4</v>
      </c>
      <c r="B29" s="28" t="s">
        <v>375</v>
      </c>
    </row>
    <row r="30">
      <c r="A30" s="28">
        <f>ROW()-ROW(Table_Unchain_Type[N])</f>
        <v>5</v>
      </c>
      <c r="B30" s="28" t="s">
        <v>376</v>
      </c>
    </row>
    <row r="31">
      <c r="A31" s="28">
        <f>ROW()-ROW(Table_Unchain_Type[N])</f>
        <v>6</v>
      </c>
      <c r="B31" s="28" t="s">
        <v>245</v>
      </c>
    </row>
    <row r="32">
      <c r="A32" s="28">
        <f>ROW()-ROW(Table_Unchain_Type[N])</f>
        <v>7</v>
      </c>
      <c r="B32" s="28" t="s">
        <v>377</v>
      </c>
    </row>
    <row r="34">
      <c r="A34" s="19" t="s">
        <v>0</v>
      </c>
      <c r="B34" s="19" t="s">
        <v>378</v>
      </c>
    </row>
    <row r="35">
      <c r="A35" s="28">
        <v>0.0</v>
      </c>
      <c r="B35" s="28" t="s">
        <v>320</v>
      </c>
    </row>
    <row r="36">
      <c r="A36" s="28">
        <v>1.0</v>
      </c>
      <c r="B36" s="28" t="s">
        <v>322</v>
      </c>
    </row>
    <row r="38">
      <c r="A38" s="19" t="s">
        <v>0</v>
      </c>
      <c r="B38" s="19" t="s">
        <v>379</v>
      </c>
    </row>
    <row r="39">
      <c r="A39" s="28">
        <f>ROW()-ROW(Table_Item_Family_Type[N])</f>
        <v>0</v>
      </c>
      <c r="B39" s="28" t="s">
        <v>206</v>
      </c>
    </row>
    <row r="40">
      <c r="A40" s="28">
        <f>ROW()-ROW(Table_Item_Family_Type[N])</f>
        <v>1</v>
      </c>
      <c r="B40" s="19" t="s">
        <v>380</v>
      </c>
    </row>
    <row r="41">
      <c r="A41" s="28">
        <f>ROW()-ROW(Table_Item_Family_Type[N])</f>
        <v>2</v>
      </c>
      <c r="B41" s="19" t="s">
        <v>214</v>
      </c>
    </row>
    <row r="42">
      <c r="A42" s="28">
        <f>ROW()-ROW(Table_Item_Family_Type[N])</f>
        <v>3</v>
      </c>
      <c r="B42" s="19" t="s">
        <v>381</v>
      </c>
    </row>
    <row r="43">
      <c r="A43" s="28">
        <f>ROW()-ROW(Table_Item_Family_Type[N])</f>
        <v>4</v>
      </c>
      <c r="B43" s="19" t="s">
        <v>211</v>
      </c>
    </row>
  </sheetData>
  <drawing r:id="rId1"/>
  <tableParts count="6">
    <tablePart r:id="rId8"/>
    <tablePart r:id="rId9"/>
    <tablePart r:id="rId10"/>
    <tablePart r:id="rId11"/>
    <tablePart r:id="rId12"/>
    <tablePart r:id="rId13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FF00"/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2" max="2" width="45.86"/>
    <col customWidth="1" min="3" max="3" width="52.71"/>
    <col customWidth="1" min="4" max="4" width="39.0"/>
    <col customWidth="1" min="5" max="5" width="46.0"/>
    <col customWidth="1" min="6" max="6" width="10.0"/>
    <col customWidth="1" min="7" max="7" width="21.71"/>
  </cols>
  <sheetData>
    <row r="1">
      <c r="A1" s="19" t="s">
        <v>0</v>
      </c>
      <c r="B1" s="19" t="s">
        <v>382</v>
      </c>
    </row>
    <row r="2">
      <c r="A2" s="28">
        <f t="shared" ref="A2:A4" si="1">ROW()-ROW($A$2)</f>
        <v>0</v>
      </c>
      <c r="B2" s="28" t="s">
        <v>228</v>
      </c>
    </row>
    <row r="3">
      <c r="A3" s="28">
        <f t="shared" si="1"/>
        <v>1</v>
      </c>
      <c r="B3" s="28" t="s">
        <v>246</v>
      </c>
    </row>
    <row r="4">
      <c r="A4" s="28">
        <f t="shared" si="1"/>
        <v>2</v>
      </c>
      <c r="B4" s="28" t="s">
        <v>383</v>
      </c>
    </row>
    <row r="6">
      <c r="A6" s="19" t="s">
        <v>0</v>
      </c>
      <c r="B6" s="19" t="s">
        <v>384</v>
      </c>
      <c r="C6" s="42" t="s">
        <v>197</v>
      </c>
      <c r="D6" s="42" t="s">
        <v>385</v>
      </c>
      <c r="E6" s="42" t="s">
        <v>386</v>
      </c>
    </row>
    <row r="7">
      <c r="A7" s="28">
        <f>ROW()-ROW(Table_Memento_Parent[N])</f>
        <v>0</v>
      </c>
      <c r="B7" s="28" t="s">
        <v>387</v>
      </c>
      <c r="C7" s="30" t="s">
        <v>205</v>
      </c>
      <c r="D7" s="30" t="s">
        <v>207</v>
      </c>
      <c r="E7" s="43" t="str">
        <f>IFERROR(__xludf.DUMMYFUNCTION("ArrayFormula(SUBSTITUTE(SUBSTITUTE(JOIN(""|"",UNIQUE(IF(Table_Memento[Parent]=B7,Table_Memento[MEMENTO_ID],""Ñ""))),""Ñ|"",""""),""|Ñ"",""""))"),"MEMENTO_NONE")</f>
        <v>MEMENTO_NONE</v>
      </c>
    </row>
    <row r="8">
      <c r="A8" s="28">
        <f>ROW()-ROW(Table_Memento_Parent[N])</f>
        <v>1</v>
      </c>
      <c r="B8" s="28" t="s">
        <v>388</v>
      </c>
      <c r="C8" s="30" t="s">
        <v>217</v>
      </c>
      <c r="D8" s="30" t="s">
        <v>207</v>
      </c>
      <c r="E8" s="43" t="str">
        <f>IFERROR(__xludf.DUMMYFUNCTION("ArrayFormula(SUBSTITUTE(SUBSTITUTE(JOIN(""|"",UNIQUE(IF(Table_Memento[Parent]=B8,Table_Memento[MEMENTO_ID],""Ñ""))),""Ñ|"",""""),""|Ñ"",""""))"),"MEMENTO_LAST")</f>
        <v>MEMENTO_LAST</v>
      </c>
    </row>
    <row r="10">
      <c r="A10" s="19" t="s">
        <v>0</v>
      </c>
      <c r="B10" s="19" t="s">
        <v>389</v>
      </c>
      <c r="C10" s="44" t="s">
        <v>390</v>
      </c>
      <c r="D10" s="44" t="s">
        <v>391</v>
      </c>
      <c r="E10" s="42" t="s">
        <v>392</v>
      </c>
      <c r="F10" s="44" t="s">
        <v>393</v>
      </c>
    </row>
    <row r="11">
      <c r="A11" s="28">
        <f>ROW()-ROW(Table_Memento[N])</f>
        <v>0</v>
      </c>
      <c r="B11" s="28" t="s">
        <v>247</v>
      </c>
      <c r="C11" s="32" t="s">
        <v>387</v>
      </c>
      <c r="D11" s="32" t="s">
        <v>233</v>
      </c>
      <c r="E11" s="45" t="s">
        <v>394</v>
      </c>
      <c r="F11" s="46" t="b">
        <v>0</v>
      </c>
    </row>
    <row r="12">
      <c r="A12" s="28">
        <f>ROW()-ROW(Table_Memento[N])</f>
        <v>1</v>
      </c>
      <c r="B12" s="28" t="s">
        <v>395</v>
      </c>
      <c r="C12" s="32" t="s">
        <v>388</v>
      </c>
      <c r="D12" s="32" t="s">
        <v>233</v>
      </c>
      <c r="E12" s="45" t="s">
        <v>394</v>
      </c>
      <c r="F12" s="46" t="b">
        <v>0</v>
      </c>
    </row>
    <row r="14">
      <c r="A14" s="19" t="s">
        <v>0</v>
      </c>
      <c r="B14" s="19" t="s">
        <v>396</v>
      </c>
      <c r="C14" s="21" t="s">
        <v>397</v>
      </c>
    </row>
    <row r="15">
      <c r="A15" s="28">
        <f>ROW()-ROW(Table_Memento_Combi[N])</f>
        <v>0</v>
      </c>
      <c r="B15" s="28" t="s">
        <v>394</v>
      </c>
      <c r="C15" s="47" t="s">
        <v>228</v>
      </c>
    </row>
    <row r="17">
      <c r="A17" s="19" t="s">
        <v>0</v>
      </c>
      <c r="B17" s="19" t="s">
        <v>398</v>
      </c>
    </row>
    <row r="18">
      <c r="A18" s="48">
        <f>ROW()-ROW(Table_EventsCombi[N])</f>
        <v>0</v>
      </c>
      <c r="B18" s="49" t="str">
        <f>IFERROR(__xludf.DUMMYFUNCTION("ArrayFormula(FLATTEN(Table_Events[EVENT_ID],""(NOT)""&amp;Table_Events[EVENT_ID]))"),"EVENT_NONE")</f>
        <v>EVENT_NONE</v>
      </c>
    </row>
    <row r="19">
      <c r="A19" s="48">
        <f>ROW()-ROW(Table_EventsCombi[N])</f>
        <v>1</v>
      </c>
      <c r="B19" s="49" t="str">
        <f>IFERROR(__xludf.DUMMYFUNCTION("""COMPUTED_VALUE"""),"EVENT_FIRST")</f>
        <v>EVENT_FIRST</v>
      </c>
    </row>
    <row r="20">
      <c r="A20" s="48">
        <f>ROW()-ROW(Table_EventsCombi[N])</f>
        <v>2</v>
      </c>
      <c r="B20" s="49" t="str">
        <f>IFERROR(__xludf.DUMMYFUNCTION("""COMPUTED_VALUE"""),"EVENT_LAST")</f>
        <v>EVENT_LAST</v>
      </c>
    </row>
    <row r="21">
      <c r="A21" s="48">
        <f>ROW()-ROW(Table_EventsCombi[N])</f>
        <v>3</v>
      </c>
      <c r="B21" s="49" t="str">
        <f>IFERROR(__xludf.DUMMYFUNCTION("""COMPUTED_VALUE"""),"(NOT)EVENT_NONE")</f>
        <v>(NOT)EVENT_NONE</v>
      </c>
    </row>
    <row r="22">
      <c r="A22" s="48">
        <f>ROW()-ROW(Table_EventsCombi[N])</f>
        <v>4</v>
      </c>
      <c r="B22" s="49" t="str">
        <f>IFERROR(__xludf.DUMMYFUNCTION("""COMPUTED_VALUE"""),"(NOT)EVENT_FIRST")</f>
        <v>(NOT)EVENT_FIRST</v>
      </c>
    </row>
    <row r="23">
      <c r="A23" s="48">
        <f>ROW()-ROW(Table_EventsCombi[N])</f>
        <v>5</v>
      </c>
      <c r="B23" s="49" t="str">
        <f>IFERROR(__xludf.DUMMYFUNCTION("""COMPUTED_VALUE"""),"(NOT)EVENT_LAST")</f>
        <v>(NOT)EVENT_LAST</v>
      </c>
    </row>
    <row r="24">
      <c r="A24" s="48">
        <f>ROW()-ROW(Table_EventsCombi[N])</f>
        <v>6</v>
      </c>
      <c r="B24" s="49"/>
    </row>
    <row r="25">
      <c r="A25" s="48">
        <f>ROW()-ROW(Table_EventsCombi[N])</f>
        <v>7</v>
      </c>
      <c r="B25" s="49"/>
    </row>
    <row r="26">
      <c r="A26" s="48">
        <f>ROW()-ROW(Table_EventsCombi[N])</f>
        <v>8</v>
      </c>
      <c r="B26" s="49"/>
    </row>
    <row r="27">
      <c r="A27" s="48">
        <f>ROW()-ROW(Table_EventsCombi[N])</f>
        <v>9</v>
      </c>
      <c r="B27" s="49"/>
    </row>
    <row r="28">
      <c r="A28" s="48">
        <f>ROW()-ROW(Table_EventsCombi[N])</f>
        <v>10</v>
      </c>
      <c r="B28" s="49"/>
    </row>
    <row r="29">
      <c r="A29" s="48">
        <f>ROW()-ROW(Table_EventsCombi[N])</f>
        <v>11</v>
      </c>
      <c r="B29" s="49"/>
    </row>
    <row r="30">
      <c r="A30" s="48">
        <f>ROW()-ROW(Table_EventsCombi[N])</f>
        <v>12</v>
      </c>
      <c r="B30" s="49"/>
    </row>
    <row r="31">
      <c r="A31" s="48">
        <f>ROW()-ROW(Table_EventsCombi[N])</f>
        <v>13</v>
      </c>
      <c r="B31" s="49"/>
    </row>
    <row r="32">
      <c r="A32" s="48">
        <f>ROW()-ROW(Table_EventsCombi[N])</f>
        <v>14</v>
      </c>
      <c r="B32" s="49"/>
    </row>
    <row r="33">
      <c r="A33" s="48">
        <f>ROW()-ROW(Table_EventsCombi[N])</f>
        <v>15</v>
      </c>
      <c r="B33" s="49"/>
    </row>
    <row r="34">
      <c r="A34" s="48">
        <f>ROW()-ROW(Table_EventsCombi[N])</f>
        <v>16</v>
      </c>
      <c r="B34" s="49"/>
    </row>
    <row r="35">
      <c r="A35" s="48">
        <f>ROW()-ROW(Table_EventsCombi[N])</f>
        <v>17</v>
      </c>
      <c r="B35" s="49"/>
    </row>
    <row r="36">
      <c r="A36" s="48">
        <f>ROW()-ROW(Table_EventsCombi[N])</f>
        <v>18</v>
      </c>
      <c r="B36" s="49"/>
    </row>
    <row r="37">
      <c r="A37" s="48">
        <f>ROW()-ROW(Table_EventsCombi[N])</f>
        <v>19</v>
      </c>
      <c r="B37" s="49"/>
    </row>
    <row r="38">
      <c r="A38" s="48">
        <f>ROW()-ROW(Table_EventsCombi[N])</f>
        <v>20</v>
      </c>
      <c r="B38" s="49"/>
    </row>
    <row r="39">
      <c r="A39" s="48">
        <f>ROW()-ROW(Table_EventsCombi[N])</f>
        <v>21</v>
      </c>
      <c r="B39" s="49"/>
    </row>
    <row r="40">
      <c r="A40" s="48">
        <f>ROW()-ROW(Table_EventsCombi[N])</f>
        <v>22</v>
      </c>
      <c r="B40" s="49"/>
    </row>
    <row r="41">
      <c r="A41" s="48">
        <f>ROW()-ROW(Table_EventsCombi[N])</f>
        <v>23</v>
      </c>
      <c r="B41" s="49"/>
    </row>
    <row r="42">
      <c r="A42" s="48">
        <f>ROW()-ROW(Table_EventsCombi[N])</f>
        <v>24</v>
      </c>
      <c r="B42" s="49"/>
    </row>
    <row r="43">
      <c r="A43" s="48">
        <f>ROW()-ROW(Table_EventsCombi[N])</f>
        <v>25</v>
      </c>
      <c r="B43" s="49"/>
    </row>
    <row r="44">
      <c r="A44" s="48">
        <f>ROW()-ROW(Table_EventsCombi[N])</f>
        <v>26</v>
      </c>
      <c r="B44" s="49"/>
    </row>
    <row r="45">
      <c r="A45" s="48">
        <f>ROW()-ROW(Table_EventsCombi[N])</f>
        <v>27</v>
      </c>
      <c r="B45" s="49"/>
    </row>
    <row r="46">
      <c r="A46" s="48">
        <f>ROW()-ROW(Table_EventsCombi[N])</f>
        <v>28</v>
      </c>
      <c r="B46" s="49"/>
    </row>
    <row r="47">
      <c r="A47" s="48">
        <f>ROW()-ROW(Table_EventsCombi[N])</f>
        <v>29</v>
      </c>
      <c r="B47" s="49"/>
    </row>
    <row r="48">
      <c r="A48" s="48">
        <f>ROW()-ROW(Table_EventsCombi[N])</f>
        <v>30</v>
      </c>
      <c r="B48" s="49"/>
    </row>
    <row r="49">
      <c r="A49" s="48">
        <f>ROW()-ROW(Table_EventsCombi[N])</f>
        <v>31</v>
      </c>
      <c r="B49" s="49"/>
    </row>
    <row r="50">
      <c r="A50" s="48">
        <f>ROW()-ROW(Table_EventsCombi[N])</f>
        <v>32</v>
      </c>
      <c r="B50" s="49"/>
    </row>
    <row r="51">
      <c r="A51" s="48">
        <f>ROW()-ROW(Table_EventsCombi[N])</f>
        <v>33</v>
      </c>
      <c r="B51" s="49"/>
    </row>
    <row r="52">
      <c r="A52" s="48">
        <f>ROW()-ROW(Table_EventsCombi[N])</f>
        <v>34</v>
      </c>
      <c r="B52" s="49"/>
    </row>
    <row r="53">
      <c r="A53" s="48">
        <f>ROW()-ROW(Table_EventsCombi[N])</f>
        <v>35</v>
      </c>
      <c r="B53" s="49"/>
    </row>
    <row r="54">
      <c r="A54" s="48">
        <f>ROW()-ROW(Table_EventsCombi[N])</f>
        <v>36</v>
      </c>
      <c r="B54" s="49"/>
    </row>
    <row r="55">
      <c r="A55" s="48">
        <f>ROW()-ROW(Table_EventsCombi[N])</f>
        <v>37</v>
      </c>
      <c r="B55" s="49"/>
    </row>
    <row r="56">
      <c r="A56" s="48">
        <f>ROW()-ROW(Table_EventsCombi[N])</f>
        <v>38</v>
      </c>
      <c r="B56" s="49"/>
    </row>
    <row r="57">
      <c r="A57" s="48">
        <f>ROW()-ROW(Table_EventsCombi[N])</f>
        <v>39</v>
      </c>
      <c r="B57" s="49"/>
    </row>
    <row r="58">
      <c r="A58" s="48">
        <f>ROW()-ROW(Table_EventsCombi[N])</f>
        <v>40</v>
      </c>
      <c r="B58" s="49"/>
    </row>
    <row r="59">
      <c r="A59" s="48">
        <f>ROW()-ROW(Table_EventsCombi[N])</f>
        <v>41</v>
      </c>
      <c r="B59" s="49"/>
    </row>
  </sheetData>
  <dataValidations>
    <dataValidation type="list" allowBlank="1" sqref="E11:E12">
      <formula1>#REF!</formula1>
    </dataValidation>
    <dataValidation type="list" allowBlank="1" sqref="C7:D8 C11:D12 C15">
      <formula1>#REF!</formula1>
    </dataValidation>
  </dataValidations>
  <drawing r:id="rId1"/>
  <tableParts count="5">
    <tablePart r:id="rId7"/>
    <tablePart r:id="rId8"/>
    <tablePart r:id="rId9"/>
    <tablePart r:id="rId10"/>
    <tablePart r:id="rId11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2" max="2" width="18.57"/>
    <col customWidth="1" min="3" max="3" width="21.71"/>
  </cols>
  <sheetData>
    <row r="1">
      <c r="A1" s="10" t="s">
        <v>0</v>
      </c>
      <c r="B1" s="10" t="s">
        <v>399</v>
      </c>
      <c r="C1" s="10" t="s">
        <v>400</v>
      </c>
    </row>
    <row r="2">
      <c r="A2" s="10">
        <f t="shared" ref="A2:A32" si="1">ROW()-ROW($G$2)</f>
        <v>0</v>
      </c>
      <c r="B2" s="50" t="str">
        <f t="shared" ref="B2:B32" si="2">OFFSET(#REF!,A2,0)</f>
        <v>#REF!</v>
      </c>
      <c r="C2" s="10" t="s">
        <v>401</v>
      </c>
    </row>
    <row r="3">
      <c r="A3" s="10">
        <f t="shared" si="1"/>
        <v>1</v>
      </c>
      <c r="B3" s="50" t="str">
        <f t="shared" si="2"/>
        <v>#REF!</v>
      </c>
      <c r="C3" s="10" t="s">
        <v>401</v>
      </c>
    </row>
    <row r="4">
      <c r="A4" s="10">
        <f t="shared" si="1"/>
        <v>2</v>
      </c>
      <c r="B4" s="50" t="str">
        <f t="shared" si="2"/>
        <v>#REF!</v>
      </c>
      <c r="C4" s="10" t="s">
        <v>401</v>
      </c>
    </row>
    <row r="5">
      <c r="A5" s="10">
        <f t="shared" si="1"/>
        <v>3</v>
      </c>
      <c r="B5" s="50" t="str">
        <f t="shared" si="2"/>
        <v>#REF!</v>
      </c>
      <c r="C5" s="10" t="s">
        <v>401</v>
      </c>
    </row>
    <row r="6">
      <c r="A6" s="10">
        <f t="shared" si="1"/>
        <v>4</v>
      </c>
      <c r="B6" s="50" t="str">
        <f t="shared" si="2"/>
        <v>#REF!</v>
      </c>
      <c r="C6" s="50"/>
    </row>
    <row r="7">
      <c r="A7" s="10">
        <f t="shared" si="1"/>
        <v>5</v>
      </c>
      <c r="B7" s="50" t="str">
        <f t="shared" si="2"/>
        <v>#REF!</v>
      </c>
      <c r="C7" s="50"/>
    </row>
    <row r="8">
      <c r="A8" s="10">
        <f t="shared" si="1"/>
        <v>6</v>
      </c>
      <c r="B8" s="50" t="str">
        <f t="shared" si="2"/>
        <v>#REF!</v>
      </c>
      <c r="C8" s="50"/>
    </row>
    <row r="9">
      <c r="A9" s="10">
        <f t="shared" si="1"/>
        <v>7</v>
      </c>
      <c r="B9" s="50" t="str">
        <f t="shared" si="2"/>
        <v>#REF!</v>
      </c>
      <c r="C9" s="50"/>
    </row>
    <row r="10">
      <c r="A10" s="10">
        <f t="shared" si="1"/>
        <v>8</v>
      </c>
      <c r="B10" s="50" t="str">
        <f t="shared" si="2"/>
        <v>#REF!</v>
      </c>
      <c r="C10" s="50"/>
    </row>
    <row r="11">
      <c r="A11" s="10">
        <f t="shared" si="1"/>
        <v>9</v>
      </c>
      <c r="B11" s="50" t="str">
        <f t="shared" si="2"/>
        <v>#REF!</v>
      </c>
      <c r="C11" s="50"/>
    </row>
    <row r="12">
      <c r="A12" s="10">
        <f t="shared" si="1"/>
        <v>10</v>
      </c>
      <c r="B12" s="50" t="str">
        <f t="shared" si="2"/>
        <v>#REF!</v>
      </c>
      <c r="C12" s="50"/>
    </row>
    <row r="13">
      <c r="A13" s="10">
        <f t="shared" si="1"/>
        <v>11</v>
      </c>
      <c r="B13" s="50" t="str">
        <f t="shared" si="2"/>
        <v>#REF!</v>
      </c>
      <c r="C13" s="50"/>
    </row>
    <row r="14">
      <c r="A14" s="10">
        <f t="shared" si="1"/>
        <v>12</v>
      </c>
      <c r="B14" s="50" t="str">
        <f t="shared" si="2"/>
        <v>#REF!</v>
      </c>
      <c r="C14" s="50"/>
    </row>
    <row r="15">
      <c r="A15" s="10">
        <f t="shared" si="1"/>
        <v>13</v>
      </c>
      <c r="B15" s="50" t="str">
        <f t="shared" si="2"/>
        <v>#REF!</v>
      </c>
      <c r="C15" s="50"/>
    </row>
    <row r="16">
      <c r="A16" s="10">
        <f t="shared" si="1"/>
        <v>14</v>
      </c>
      <c r="B16" s="50" t="str">
        <f t="shared" si="2"/>
        <v>#REF!</v>
      </c>
      <c r="C16" s="50"/>
    </row>
    <row r="17">
      <c r="A17" s="10">
        <f t="shared" si="1"/>
        <v>15</v>
      </c>
      <c r="B17" s="50" t="str">
        <f t="shared" si="2"/>
        <v>#REF!</v>
      </c>
      <c r="C17" s="50"/>
    </row>
    <row r="18">
      <c r="A18" s="10">
        <f t="shared" si="1"/>
        <v>16</v>
      </c>
      <c r="B18" s="50" t="str">
        <f t="shared" si="2"/>
        <v>#REF!</v>
      </c>
      <c r="C18" s="50"/>
    </row>
    <row r="19">
      <c r="A19" s="10">
        <f t="shared" si="1"/>
        <v>17</v>
      </c>
      <c r="B19" s="50" t="str">
        <f t="shared" si="2"/>
        <v>#REF!</v>
      </c>
      <c r="C19" s="50"/>
    </row>
    <row r="20">
      <c r="A20" s="10">
        <f t="shared" si="1"/>
        <v>18</v>
      </c>
      <c r="B20" s="50" t="str">
        <f t="shared" si="2"/>
        <v>#REF!</v>
      </c>
      <c r="C20" s="50"/>
    </row>
    <row r="21">
      <c r="A21" s="10">
        <f t="shared" si="1"/>
        <v>19</v>
      </c>
      <c r="B21" s="50" t="str">
        <f t="shared" si="2"/>
        <v>#REF!</v>
      </c>
      <c r="C21" s="50"/>
    </row>
    <row r="22">
      <c r="A22" s="10">
        <f t="shared" si="1"/>
        <v>20</v>
      </c>
      <c r="B22" s="50" t="str">
        <f t="shared" si="2"/>
        <v>#REF!</v>
      </c>
      <c r="C22" s="50"/>
    </row>
    <row r="23">
      <c r="A23" s="10">
        <f t="shared" si="1"/>
        <v>21</v>
      </c>
      <c r="B23" s="50" t="str">
        <f t="shared" si="2"/>
        <v>#REF!</v>
      </c>
      <c r="C23" s="50"/>
    </row>
    <row r="24">
      <c r="A24" s="10">
        <f t="shared" si="1"/>
        <v>22</v>
      </c>
      <c r="B24" s="50" t="str">
        <f t="shared" si="2"/>
        <v>#REF!</v>
      </c>
      <c r="C24" s="50"/>
    </row>
    <row r="25">
      <c r="A25" s="10">
        <f t="shared" si="1"/>
        <v>23</v>
      </c>
      <c r="B25" s="50" t="str">
        <f t="shared" si="2"/>
        <v>#REF!</v>
      </c>
      <c r="C25" s="50"/>
    </row>
    <row r="26">
      <c r="A26" s="10">
        <f t="shared" si="1"/>
        <v>24</v>
      </c>
      <c r="B26" s="50" t="str">
        <f t="shared" si="2"/>
        <v>#REF!</v>
      </c>
      <c r="C26" s="50"/>
    </row>
    <row r="27">
      <c r="A27" s="10">
        <f t="shared" si="1"/>
        <v>25</v>
      </c>
      <c r="B27" s="50" t="str">
        <f t="shared" si="2"/>
        <v>#REF!</v>
      </c>
      <c r="C27" s="50"/>
    </row>
    <row r="28">
      <c r="A28" s="10">
        <f t="shared" si="1"/>
        <v>26</v>
      </c>
      <c r="B28" s="50" t="str">
        <f t="shared" si="2"/>
        <v>#REF!</v>
      </c>
      <c r="C28" s="50"/>
    </row>
    <row r="29">
      <c r="A29" s="10">
        <f t="shared" si="1"/>
        <v>27</v>
      </c>
      <c r="B29" s="50" t="str">
        <f t="shared" si="2"/>
        <v>#REF!</v>
      </c>
      <c r="C29" s="50"/>
    </row>
    <row r="30">
      <c r="A30" s="10">
        <f t="shared" si="1"/>
        <v>28</v>
      </c>
      <c r="B30" s="50" t="str">
        <f t="shared" si="2"/>
        <v>#REF!</v>
      </c>
      <c r="C30" s="50"/>
    </row>
    <row r="31">
      <c r="A31" s="10">
        <f t="shared" si="1"/>
        <v>29</v>
      </c>
      <c r="B31" s="50" t="str">
        <f t="shared" si="2"/>
        <v>#REF!</v>
      </c>
      <c r="C31" s="50"/>
    </row>
    <row r="32">
      <c r="A32" s="10">
        <f t="shared" si="1"/>
        <v>30</v>
      </c>
      <c r="B32" s="50" t="str">
        <f t="shared" si="2"/>
        <v>#REF!</v>
      </c>
      <c r="C32" s="50"/>
    </row>
  </sheetData>
  <dataValidations>
    <dataValidation type="list" allowBlank="1" showErrorMessage="1" sqref="C2:C32">
      <formula1>"TALK,ITEM_TAKE,ITEM_USE,WALK,EVENT,ALWAYS"</formula1>
    </dataValidation>
  </dataValidation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39.29"/>
    <col customWidth="1" min="2" max="2" width="9.43"/>
    <col customWidth="1" min="3" max="3" width="11.71"/>
    <col customWidth="1" min="4" max="4" width="15.57"/>
  </cols>
  <sheetData>
    <row r="1">
      <c r="A1" s="19" t="s">
        <v>402</v>
      </c>
      <c r="B1" s="19" t="s">
        <v>403</v>
      </c>
      <c r="C1" s="19" t="s">
        <v>404</v>
      </c>
      <c r="D1" s="19" t="s">
        <v>405</v>
      </c>
    </row>
    <row r="2">
      <c r="A2" s="28" t="s">
        <v>406</v>
      </c>
      <c r="B2" s="51">
        <v>1.0</v>
      </c>
      <c r="C2" s="28" t="b">
        <v>1</v>
      </c>
      <c r="D2" s="28" t="b">
        <v>1</v>
      </c>
    </row>
    <row r="3">
      <c r="A3" s="28" t="s">
        <v>407</v>
      </c>
      <c r="B3" s="51">
        <v>1.0</v>
      </c>
      <c r="C3" s="28" t="b">
        <v>0</v>
      </c>
      <c r="D3" s="28" t="b">
        <v>1</v>
      </c>
    </row>
    <row r="4">
      <c r="A4" s="28" t="s">
        <v>408</v>
      </c>
      <c r="B4" s="51">
        <v>3.0</v>
      </c>
      <c r="C4" s="28" t="b">
        <v>1</v>
      </c>
      <c r="D4" s="28" t="b">
        <v>1</v>
      </c>
    </row>
    <row r="5">
      <c r="A5" s="28" t="s">
        <v>409</v>
      </c>
      <c r="B5" s="51">
        <v>1.0</v>
      </c>
      <c r="C5" s="28" t="b">
        <v>1</v>
      </c>
      <c r="D5" s="28" t="b">
        <v>1</v>
      </c>
    </row>
    <row r="6">
      <c r="A6" s="28" t="s">
        <v>410</v>
      </c>
      <c r="B6" s="51">
        <v>3.0</v>
      </c>
      <c r="C6" s="28" t="b">
        <v>1</v>
      </c>
      <c r="D6" s="28" t="b">
        <v>1</v>
      </c>
    </row>
    <row r="7">
      <c r="A7" s="28" t="s">
        <v>411</v>
      </c>
      <c r="B7" s="51">
        <v>3.0</v>
      </c>
      <c r="C7" s="28" t="b">
        <v>1</v>
      </c>
      <c r="D7" s="28" t="b">
        <v>1</v>
      </c>
    </row>
    <row r="8">
      <c r="A8" s="28" t="s">
        <v>412</v>
      </c>
      <c r="B8" s="51">
        <v>5.0</v>
      </c>
      <c r="C8" s="28" t="b">
        <v>1</v>
      </c>
      <c r="D8" s="28" t="b">
        <v>1</v>
      </c>
    </row>
    <row r="9">
      <c r="A9" s="28" t="s">
        <v>413</v>
      </c>
      <c r="B9" s="51">
        <v>4.0</v>
      </c>
      <c r="C9" s="28" t="b">
        <v>0</v>
      </c>
      <c r="D9" s="28" t="b">
        <v>1</v>
      </c>
    </row>
    <row r="10">
      <c r="A10" s="28" t="s">
        <v>414</v>
      </c>
      <c r="B10" s="51"/>
      <c r="C10" s="28" t="b">
        <v>0</v>
      </c>
      <c r="D10" s="28" t="b">
        <v>0</v>
      </c>
    </row>
    <row r="11">
      <c r="A11" s="28" t="s">
        <v>415</v>
      </c>
      <c r="B11" s="51">
        <v>4.0</v>
      </c>
      <c r="C11" s="28" t="b">
        <v>0</v>
      </c>
      <c r="D11" s="28" t="b">
        <v>0</v>
      </c>
    </row>
    <row r="12">
      <c r="A12" s="28" t="s">
        <v>416</v>
      </c>
      <c r="B12" s="51">
        <v>1.0</v>
      </c>
      <c r="C12" s="28" t="b">
        <v>1</v>
      </c>
      <c r="D12" s="28" t="b">
        <v>1</v>
      </c>
    </row>
    <row r="13">
      <c r="A13" s="28" t="s">
        <v>417</v>
      </c>
      <c r="B13" s="51">
        <v>4.0</v>
      </c>
      <c r="C13" s="28" t="b">
        <v>1</v>
      </c>
      <c r="D13" s="28" t="b">
        <v>1</v>
      </c>
    </row>
    <row r="14">
      <c r="A14" s="28" t="s">
        <v>418</v>
      </c>
      <c r="B14" s="51">
        <v>1.0</v>
      </c>
      <c r="C14" s="28" t="b">
        <v>1</v>
      </c>
      <c r="D14" s="28" t="b">
        <v>1</v>
      </c>
    </row>
    <row r="15">
      <c r="A15" s="28" t="s">
        <v>419</v>
      </c>
      <c r="B15" s="51">
        <v>2.0</v>
      </c>
      <c r="C15" s="28" t="b">
        <v>1</v>
      </c>
      <c r="D15" s="28" t="b">
        <v>1</v>
      </c>
    </row>
    <row r="16">
      <c r="A16" s="28" t="s">
        <v>420</v>
      </c>
      <c r="B16" s="51">
        <v>3.0</v>
      </c>
      <c r="C16" s="28" t="b">
        <v>1</v>
      </c>
      <c r="D16" s="28" t="b">
        <v>1</v>
      </c>
    </row>
    <row r="17">
      <c r="A17" s="28" t="s">
        <v>421</v>
      </c>
      <c r="B17" s="51">
        <v>2.0</v>
      </c>
      <c r="C17" s="28" t="b">
        <v>1</v>
      </c>
      <c r="D17" s="28" t="b">
        <v>1</v>
      </c>
    </row>
    <row r="18">
      <c r="A18" s="28" t="s">
        <v>422</v>
      </c>
      <c r="B18" s="51">
        <v>2.0</v>
      </c>
      <c r="C18" s="28" t="b">
        <v>1</v>
      </c>
      <c r="D18" s="28" t="b">
        <v>1</v>
      </c>
    </row>
    <row r="19">
      <c r="A19" s="28" t="s">
        <v>423</v>
      </c>
      <c r="B19" s="51">
        <v>2.0</v>
      </c>
      <c r="C19" s="28" t="b">
        <v>1</v>
      </c>
      <c r="D19" s="28" t="b">
        <v>1</v>
      </c>
    </row>
    <row r="20">
      <c r="A20" s="28" t="s">
        <v>424</v>
      </c>
      <c r="B20" s="51">
        <v>2.0</v>
      </c>
      <c r="C20" s="28" t="b">
        <v>1</v>
      </c>
      <c r="D20" s="28" t="b">
        <v>1</v>
      </c>
    </row>
    <row r="21">
      <c r="A21" s="28" t="s">
        <v>425</v>
      </c>
      <c r="B21" s="51">
        <v>3.0</v>
      </c>
      <c r="C21" s="28" t="b">
        <v>1</v>
      </c>
      <c r="D21" s="28" t="b">
        <v>1</v>
      </c>
    </row>
    <row r="22">
      <c r="A22" s="28" t="s">
        <v>426</v>
      </c>
      <c r="B22" s="51">
        <v>2.0</v>
      </c>
      <c r="C22" s="28" t="b">
        <v>1</v>
      </c>
      <c r="D22" s="28" t="b">
        <v>1</v>
      </c>
    </row>
    <row r="23">
      <c r="A23" s="28" t="s">
        <v>427</v>
      </c>
      <c r="B23" s="51">
        <v>2.0</v>
      </c>
      <c r="C23" s="28" t="b">
        <v>1</v>
      </c>
      <c r="D23" s="28" t="b">
        <v>1</v>
      </c>
    </row>
    <row r="24">
      <c r="A24" s="28" t="s">
        <v>428</v>
      </c>
      <c r="B24" s="51">
        <v>2.0</v>
      </c>
      <c r="C24" s="28" t="b">
        <v>1</v>
      </c>
      <c r="D24" s="28" t="b">
        <v>1</v>
      </c>
    </row>
    <row r="25">
      <c r="A25" s="28" t="s">
        <v>429</v>
      </c>
      <c r="B25" s="51">
        <v>2.0</v>
      </c>
      <c r="C25" s="28" t="b">
        <v>1</v>
      </c>
      <c r="D25" s="28" t="b">
        <v>1</v>
      </c>
    </row>
    <row r="26">
      <c r="A26" s="28" t="s">
        <v>430</v>
      </c>
      <c r="B26" s="51">
        <v>2.0</v>
      </c>
      <c r="C26" s="28" t="b">
        <v>1</v>
      </c>
      <c r="D26" s="28" t="b">
        <v>1</v>
      </c>
    </row>
    <row r="27">
      <c r="A27" s="28" t="s">
        <v>431</v>
      </c>
      <c r="B27" s="51">
        <v>2.0</v>
      </c>
      <c r="C27" s="28" t="b">
        <v>1</v>
      </c>
      <c r="D27" s="28" t="b">
        <v>1</v>
      </c>
    </row>
    <row r="28">
      <c r="A28" s="28" t="s">
        <v>312</v>
      </c>
      <c r="B28" s="51">
        <v>5.0</v>
      </c>
      <c r="C28" s="28" t="b">
        <v>0</v>
      </c>
      <c r="D28" s="28" t="b">
        <v>0</v>
      </c>
    </row>
  </sheetData>
  <conditionalFormatting sqref="B2:B28">
    <cfRule type="colorScale" priority="1">
      <colorScale>
        <cfvo type="formula" val="1"/>
        <cfvo type="formula" val="3"/>
        <cfvo type="formula" val="5"/>
        <color rgb="FFFF0000"/>
        <color rgb="FFFFFF00"/>
        <color rgb="FF57BB8A"/>
      </colorScale>
    </cfRule>
  </conditionalFormatting>
  <conditionalFormatting sqref="A2:A28">
    <cfRule type="expression" dxfId="5" priority="2">
      <formula>$C2=TRUE</formula>
    </cfRule>
  </conditionalFormatting>
  <dataValidations>
    <dataValidation type="custom" allowBlank="1" showDropDown="1" sqref="B2:B28">
      <formula1>AND(ISNUMBER(B2),(NOT(OR(NOT(ISERROR(DATEVALUE(B2))), AND(ISNUMBER(B2), LEFT(CELL("format", B2))="D")))))</formula1>
    </dataValidation>
  </dataValidations>
  <drawing r:id="rId2"/>
  <legacyDrawing r:id="rId3"/>
  <tableParts count="1">
    <tablePart r:id="rId5"/>
  </tableParts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B45F06"/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2" width="34.0"/>
    <col customWidth="1" min="4" max="5" width="23.71"/>
  </cols>
  <sheetData>
    <row r="1" ht="22.5" customHeight="1">
      <c r="A1" s="52" t="s">
        <v>432</v>
      </c>
      <c r="B1" s="52" t="s">
        <v>433</v>
      </c>
      <c r="D1" s="52" t="s">
        <v>434</v>
      </c>
      <c r="E1" s="52" t="s">
        <v>433</v>
      </c>
    </row>
    <row r="2" ht="22.5" customHeight="1">
      <c r="A2" s="53" t="str">
        <f>IFERROR(__xludf.DUMMYFUNCTION("FILTER(Table_PickableSprites[WORK],Table_PickableSprites[WORK]&lt;&gt;"""")"),"SPRITE_ITEM_CARDS_PICKABLE")</f>
        <v>SPRITE_ITEM_CARDS_PICKABLE</v>
      </c>
      <c r="B2" s="53" t="str">
        <f t="array" ref="B2:B5">IF(Table_Items[SpritePickable]&lt;&gt;"SPRITE_NONE",Table_Items[SpritePickable],"")</f>
        <v/>
      </c>
      <c r="D2" s="53" t="str">
        <f>IFERROR(__xludf.DUMMYFUNCTION("FILTER(Table_PickableNames[WORK],Table_PickableNames[WORK]&lt;&gt;"""")"),"NAME_ITEM_CARDS")</f>
        <v>NAME_ITEM_CARDS</v>
      </c>
      <c r="E2" s="53" t="str">
        <f t="array" ref="E2:E5">IF(Table_Items[SpritePickable]&lt;&gt;"SPRITE_NONE",Table_Items[Name],"")</f>
        <v/>
      </c>
    </row>
    <row r="3" ht="22.5" customHeight="1">
      <c r="B3" s="53" t="s">
        <v>20</v>
      </c>
      <c r="E3" s="53" t="s">
        <v>20</v>
      </c>
    </row>
    <row r="4" ht="22.5" customHeight="1">
      <c r="B4" s="53" t="s">
        <v>215</v>
      </c>
      <c r="E4" s="53" t="s">
        <v>213</v>
      </c>
    </row>
    <row r="5" ht="22.5" customHeight="1">
      <c r="B5" s="53" t="s">
        <v>20</v>
      </c>
      <c r="E5" s="53" t="s">
        <v>20</v>
      </c>
    </row>
    <row r="6" ht="22.5" customHeight="1"/>
    <row r="7" ht="22.5" customHeight="1"/>
    <row r="8" ht="22.5" customHeight="1"/>
    <row r="9" ht="22.5" customHeight="1"/>
    <row r="10" ht="22.5" customHeight="1"/>
    <row r="11" ht="22.5" customHeight="1"/>
    <row r="12" ht="22.5" customHeight="1"/>
    <row r="13" ht="22.5" customHeight="1"/>
    <row r="14" ht="22.5" customHeight="1"/>
    <row r="15" ht="22.5" customHeight="1"/>
    <row r="16" ht="22.5" customHeight="1"/>
    <row r="17" ht="22.5" customHeight="1"/>
    <row r="18" ht="22.5" customHeight="1"/>
    <row r="19" ht="22.5" customHeight="1"/>
    <row r="20" ht="22.5" customHeight="1"/>
    <row r="21" ht="22.5" customHeight="1"/>
    <row r="22" ht="22.5" customHeight="1"/>
    <row r="23" ht="22.5" customHeight="1"/>
    <row r="24" ht="22.5" customHeight="1"/>
    <row r="25" ht="22.5" customHeight="1"/>
    <row r="26" ht="22.5" customHeight="1"/>
    <row r="27" ht="22.5" customHeight="1"/>
    <row r="28" ht="22.5" customHeight="1"/>
    <row r="29" ht="22.5" customHeight="1"/>
    <row r="30" ht="22.5" customHeight="1"/>
    <row r="31" ht="22.5" customHeight="1"/>
    <row r="32" ht="22.5" customHeight="1"/>
    <row r="33" ht="22.5" customHeight="1"/>
    <row r="34" ht="22.5" customHeight="1"/>
    <row r="35" ht="22.5" customHeight="1"/>
    <row r="36" ht="22.5" customHeight="1"/>
    <row r="37" ht="22.5" customHeight="1"/>
    <row r="38" ht="22.5" customHeight="1"/>
    <row r="39" ht="22.5" customHeight="1"/>
    <row r="40" ht="22.5" customHeight="1"/>
    <row r="41" ht="22.5" customHeight="1"/>
    <row r="42" ht="22.5" customHeight="1"/>
    <row r="43" ht="22.5" customHeight="1"/>
    <row r="44" ht="22.5" customHeight="1"/>
    <row r="45" ht="22.5" customHeight="1"/>
    <row r="46" ht="22.5" customHeight="1"/>
    <row r="47" ht="22.5" customHeight="1"/>
    <row r="48" ht="22.5" customHeight="1"/>
    <row r="49" ht="22.5" customHeight="1"/>
    <row r="50" ht="22.5" customHeight="1"/>
    <row r="51" ht="22.5" customHeight="1"/>
    <row r="52" ht="22.5" customHeight="1"/>
    <row r="53" ht="22.5" customHeight="1"/>
    <row r="54" ht="22.5" customHeight="1"/>
    <row r="55" ht="22.5" customHeight="1"/>
    <row r="56" ht="22.5" customHeight="1"/>
    <row r="57" ht="22.5" customHeight="1"/>
    <row r="58" ht="22.5" customHeight="1"/>
    <row r="59" ht="22.5" customHeight="1"/>
    <row r="60" ht="22.5" customHeight="1"/>
    <row r="61" ht="22.5" customHeight="1"/>
    <row r="62" ht="22.5" customHeight="1"/>
    <row r="63" ht="22.5" customHeight="1"/>
    <row r="64" ht="22.5" customHeight="1"/>
    <row r="65" ht="22.5" customHeight="1"/>
    <row r="66" ht="22.5" customHeight="1"/>
    <row r="67" ht="22.5" customHeight="1"/>
    <row r="68" ht="22.5" customHeight="1"/>
    <row r="69" ht="22.5" customHeight="1"/>
    <row r="70" ht="22.5" customHeight="1"/>
    <row r="71" ht="22.5" customHeight="1"/>
    <row r="72" ht="22.5" customHeight="1"/>
    <row r="73" ht="22.5" customHeight="1"/>
    <row r="74" ht="22.5" customHeight="1"/>
    <row r="75" ht="22.5" customHeight="1"/>
    <row r="76" ht="22.5" customHeight="1"/>
    <row r="77" ht="22.5" customHeight="1"/>
    <row r="78" ht="22.5" customHeight="1"/>
    <row r="79" ht="22.5" customHeight="1"/>
    <row r="80" ht="22.5" customHeight="1"/>
    <row r="81" ht="22.5" customHeight="1"/>
    <row r="82" ht="22.5" customHeight="1"/>
    <row r="83" ht="22.5" customHeight="1"/>
    <row r="84" ht="22.5" customHeight="1"/>
    <row r="85" ht="22.5" customHeight="1"/>
    <row r="86" ht="22.5" customHeight="1"/>
    <row r="87" ht="22.5" customHeight="1"/>
    <row r="88" ht="22.5" customHeight="1"/>
    <row r="89" ht="22.5" customHeight="1"/>
    <row r="90" ht="22.5" customHeight="1"/>
    <row r="91" ht="22.5" customHeight="1"/>
    <row r="92" ht="22.5" customHeight="1"/>
    <row r="93" ht="22.5" customHeight="1"/>
    <row r="94" ht="22.5" customHeight="1"/>
    <row r="95" ht="22.5" customHeight="1"/>
    <row r="96" ht="22.5" customHeight="1"/>
    <row r="97" ht="22.5" customHeight="1"/>
    <row r="98" ht="22.5" customHeight="1"/>
    <row r="99" ht="22.5" customHeight="1"/>
    <row r="100" ht="22.5" customHeight="1"/>
    <row r="101" ht="22.5" customHeight="1"/>
    <row r="102" ht="22.5" customHeight="1"/>
    <row r="103" ht="22.5" customHeight="1"/>
    <row r="104" ht="22.5" customHeight="1"/>
    <row r="105" ht="22.5" customHeight="1"/>
    <row r="106" ht="22.5" customHeight="1"/>
    <row r="107" ht="22.5" customHeight="1"/>
    <row r="108" ht="22.5" customHeight="1"/>
    <row r="109" ht="22.5" customHeight="1"/>
    <row r="110" ht="22.5" customHeight="1"/>
    <row r="111" ht="22.5" customHeight="1"/>
    <row r="112" ht="22.5" customHeight="1"/>
    <row r="113" ht="22.5" customHeight="1"/>
    <row r="114" ht="22.5" customHeight="1"/>
    <row r="115" ht="22.5" customHeight="1"/>
    <row r="116" ht="22.5" customHeight="1"/>
    <row r="117" ht="22.5" customHeight="1"/>
    <row r="118" ht="22.5" customHeight="1"/>
    <row r="119" ht="22.5" customHeight="1"/>
    <row r="120" ht="22.5" customHeight="1"/>
    <row r="121" ht="22.5" customHeight="1"/>
    <row r="122" ht="22.5" customHeight="1"/>
    <row r="123" ht="22.5" customHeight="1"/>
    <row r="124" ht="22.5" customHeight="1"/>
    <row r="125" ht="22.5" customHeight="1"/>
    <row r="126" ht="22.5" customHeight="1"/>
    <row r="127" ht="22.5" customHeight="1"/>
    <row r="128" ht="22.5" customHeight="1"/>
  </sheetData>
  <drawing r:id="rId1"/>
  <tableParts count="2">
    <tablePart r:id="rId4"/>
    <tablePart r:id="rId5"/>
  </tableParts>
</worksheet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2022-09-30T21:42:00Z</dcterms:created>
  <dc:creator>bonh</dc:creator>
</cp:coreProperties>
</file>