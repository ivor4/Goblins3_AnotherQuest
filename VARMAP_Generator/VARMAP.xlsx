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TX96mHNCDMpbIZv31jY6k4NNMzEYbqEUDCBHpj1k598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6">
      <text>
        <t xml:space="preserve">Event triggered after all phrases
======</t>
      </text>
    </comment>
    <comment authorId="0" ref="E6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<sst xmlns="http://schemas.openxmlformats.org/spreadsheetml/2006/main" count="1079" uniqueCount="451">
  <si>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</si>
  <si>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</si>
  <si>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</si>
  <si>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</si>
  <si>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</si>
  <si>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</si>
  <si>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</si>
  <si>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</si>
  <si>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</si>
  <si>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</si>
  <si>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</si>
  <si>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</si>
  <si>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</si>
  <si>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</si>
  <si>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</si>
  <si>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</si>
  <si>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</si>
  <si>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</si>
  <si>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</si>
  <si>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</si>
  <si>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</si>
  <si>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</si>
  <si>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</si>
  <si>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</si>
  <si>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</si>
  <si>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</si>
  <si>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</si>
  <si>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</si>
  <si>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</si>
  <si>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</si>
  <si>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</si>
  <si>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</si>
  <si>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</si>
  <si>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</si>
  <si>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</si>
  <si>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</si>
  <si>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</si>
  <si>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</si>
  <si>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</si>
  <si>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</si>
  <si>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</si>
  <si>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</si>
  <si>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</si>
  <si>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</si>
  <si>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</si>
  <si>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</si>
  <si>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</si>
  <si>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</si>
  <si>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</si>
  <si>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</si>
  <si>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</si>
  <si>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</si>
  <si>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</si>
  <si>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</si>
  <si>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</si>
  <si>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</si>
  <si>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</si>
  <si>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</si>
  <si>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</si>
  <si>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</si>
  <si>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</si>
  <si>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</si>
  <si>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</si>
  <si>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</si>
  <si>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</si>
  <si>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</si>
  <si>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</si>
  <si>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</si>
  <si>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</si>
  <si>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</si>
  <si>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</si>
  <si>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</si>
  <si>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</si>
  <si>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</si>
  <si>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</si>
  <si>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</si>
  <si>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</si>
  <si>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</si>
  <si>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</si>
  <si>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</si>
  <si>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</si>
  <si>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</si>
  <si>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</si>
  <si>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</si>
  <si>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</si>
  <si>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</si>
  <si>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</si>
  <si>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</si>
  <si>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</si>
  <si>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</si>
  <si>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</si>
  <si>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</si>
  <si>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</si>
  <si>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</si>
  <si>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</si>
  <si>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</si>
  <si>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</si>
  <si>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</si>
  <si>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</si>
  <si>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</si>
  <si>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</si>
  <si>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</si>
  <si>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</si>
  <si>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</si>
  <si>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</si>
  <si>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</si>
  <si>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</si>
  <si>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</si>
  <si>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</si>
  <si>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</si>
  <si>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</si>
  <si>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</si>
  <si>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</si>
  <si>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</si>
  <si>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</si>
  <si>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</si>
  <si>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</si>
  <si>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</si>
  <si>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</si>
  <si>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</si>
  <si>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</si>
  <si>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</si>
  <si>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</si>
  <si>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</si>
  <si>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</si>
  <si>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</si>
  <si>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</si>
  <si>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</si>
  <si>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</si>
  <si>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</si>
  <si>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</si>
  <si>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</si>
  <si>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</si>
  <si>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</si>
  <si>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</si>
  <si>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</si>
  <si>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</si>
  <si>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</si>
  <si>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</si>
  <si>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</si>
  <si>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</si>
  <si>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</si>
  <si>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</si>
  <si>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</si>
  <si>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</si>
  <si>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</si>
  <si>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</si>
  <si>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</si>
  <si>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</si>
  <si>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</si>
  <si>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</si>
  <si>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</si>
  <si>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</si>
  <si>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</si>
  <si>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</si>
  <si>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</si>
  <si>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</si>
  <si>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</si>
  <si>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</si>
  <si>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</si>
  <si>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</si>
  <si>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</si>
  <si>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</si>
  <si>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</si>
  <si>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</si>
  <si>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</si>
  <si>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</si>
  <si>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</si>
  <si>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</si>
  <si>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</si>
  <si>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</si>
  <si>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</si>
  <si>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</si>
  <si>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</si>
  <si>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</si>
  <si>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</si>
  <si>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</si>
  <si>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</si>
  <si>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</si>
  <si>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</si>
  <si>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</si>
  <si>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</si>
  <si>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</si>
  <si>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</si>
  <si>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</si>
  <si>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</si>
  <si>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</si>
  <si>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</si>
  <si>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</si>
  <si>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</si>
  <si>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</si>
  <si>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</si>
  <si>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</si>
  <si>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</si>
  <si>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</si>
  <si>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</si>
  <si>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</si>
  <si>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</si>
  <si>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</si>
  <si>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</si>
  <si>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</si>
  <si>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</si>
  <si>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</si>
  <si>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</si>
  <si>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</si>
  <si>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</si>
  <si>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</si>
  <si>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</si>
  <si>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ITEM_PLAYER_PARROT</t>
  </si>
  <si>
    <t>NAME_CHAR_PARROT</t>
  </si>
  <si>
    <t>ITEM_PLAYER_SNAKE</t>
  </si>
  <si>
    <t>NAME_CHAR_SNAKE</t>
  </si>
  <si>
    <t>ITEM_VICTIM</t>
  </si>
  <si>
    <t>NAME_VICTIM</t>
  </si>
  <si>
    <t>ITEM_FAMILY_TYPE_NPC</t>
  </si>
  <si>
    <t>SPRITE_ROOM1_VICTIM</t>
  </si>
  <si>
    <t>COND_OBSERVE_VICTIM</t>
  </si>
  <si>
    <t>ITEM_WITNESS1</t>
  </si>
  <si>
    <t>NAME_WITNESS</t>
  </si>
  <si>
    <t>SPRITE_ROOM1_WITNESS1</t>
  </si>
  <si>
    <t>ITEM_WITNESS2</t>
  </si>
  <si>
    <t>SPRITE_ROOM1_WITNESS2</t>
  </si>
  <si>
    <t>ITEM_WITNESS3</t>
  </si>
  <si>
    <t>SPRITE_ROOM1_WITNESS3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</si>
  <si>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</si>
  <si>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</si>
  <si>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</si>
  <si>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</si>
  <si>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</si>
  <si>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</si>
  <si>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</si>
  <si>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</si>
  <si>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</si>
  <si>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</si>
  <si>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</si>
  <si>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</si>
  <si>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</si>
  <si>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</si>
  <si>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</si>
  <si>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ITEM_USE_ANIMATION_TAKE</t>
  </si>
  <si>
    <t>DIALOG_NONE</t>
  </si>
  <si>
    <t>PHRASE_NONE</t>
  </si>
  <si>
    <t>CHARACTER_MAIN</t>
  </si>
  <si>
    <t>INTERACTION_OBSERVE</t>
  </si>
  <si>
    <t>ITEM_USE_ANIMATION_NONE</t>
  </si>
  <si>
    <t>DIALOG_SIMPLE</t>
  </si>
  <si>
    <t>PHRASE_ROOM1_OBSERVE_VICTIM</t>
  </si>
  <si>
    <t>COND_LAST</t>
  </si>
  <si>
    <t>UNCHAIN_ID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</si>
  <si>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</si>
  <si>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</si>
  <si>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</si>
  <si>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</si>
  <si>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</si>
  <si>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</si>
  <si>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</si>
  <si>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UNCHAIN_INITIAL</t>
  </si>
  <si>
    <t>UNCHAIN_TYPE_EVENT</t>
  </si>
  <si>
    <t>EVENT_FIRST</t>
  </si>
  <si>
    <t>MEMENTO_NONE</t>
  </si>
  <si>
    <t>UNCHAIN_MEMENTO</t>
  </si>
  <si>
    <t>UNCHAIN_TYPE_MEMENTO</t>
  </si>
  <si>
    <t>MEMENTO_VICTIM_CASE_0</t>
  </si>
  <si>
    <t>SPRITE_ID</t>
  </si>
  <si>
    <t>PATH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</si>
  <si>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</si>
  <si>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</si>
  <si>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</si>
  <si>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</si>
  <si>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</si>
  <si>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</si>
  <si>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</si>
  <si>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</si>
  <si>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</si>
  <si>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</si>
  <si>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</si>
  <si>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</si>
  <si>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</si>
  <si>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</si>
  <si>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</si>
  <si>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</si>
  <si>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BACKGROUND_ROOM1</t>
  </si>
  <si>
    <t>SPRITE_ATLAS_ROOM1_0[ROOM1_BACKGROUND]</t>
  </si>
  <si>
    <t>SPRITE_ATLAS_ROOM1_1[SPRITE_ROOM1_VICTIM]</t>
  </si>
  <si>
    <t>SPRITE_ATLAS_ROOM1_1[SPRITE_ROOM1_WITNESS1]</t>
  </si>
  <si>
    <t>SPRITE_ATLAS_ROOM1_1[SPRITE_ROOM1_WITNESS2]</t>
  </si>
  <si>
    <t>SPRITE_ATLAS_ROOM1_1[SPRITE_ROOM1_WITNESS3]</t>
  </si>
  <si>
    <t>SPRITE_ROOM1_DECO_TABLE</t>
  </si>
  <si>
    <t>SPRITE_ATLAS_ROOM1_1[SPRITE_ROOM1_TABLE]</t>
  </si>
  <si>
    <t>DIALOG_ID</t>
  </si>
  <si>
    <t>Talkers</t>
  </si>
  <si>
    <t>Options</t>
  </si>
  <si>
    <t>DIALOG_OPTION_NONE</t>
  </si>
  <si>
    <t>DIALOG_OPTION_SIMPLE</t>
  </si>
  <si>
    <t>DIALOG_LAST</t>
  </si>
  <si>
    <t>DIALOG_OPTION_ID</t>
  </si>
  <si>
    <t>EventTriggered</t>
  </si>
  <si>
    <t>DialogTriggered</t>
  </si>
  <si>
    <t>Phrases</t>
  </si>
  <si>
    <t>DIALOG_OPTION_LAST</t>
  </si>
  <si>
    <t>NAME_ID</t>
  </si>
  <si>
    <t>Name_English</t>
  </si>
  <si>
    <t>Name_Spanish</t>
  </si>
  <si>
    <t>Blount</t>
  </si>
  <si>
    <t>Parrot</t>
  </si>
  <si>
    <t>Loro</t>
  </si>
  <si>
    <t>Snake</t>
  </si>
  <si>
    <t>Serpiente</t>
  </si>
  <si>
    <t>NAME_INTERACTION_TAKE</t>
  </si>
  <si>
    <t>Take</t>
  </si>
  <si>
    <t>Agarrar</t>
  </si>
  <si>
    <t>NAME_INTERACTION_TALK</t>
  </si>
  <si>
    <t>Talk</t>
  </si>
  <si>
    <t>Hablar</t>
  </si>
  <si>
    <t>NAME_INTERACTION_OBSERVE</t>
  </si>
  <si>
    <t>Observe</t>
  </si>
  <si>
    <t>Observar</t>
  </si>
  <si>
    <t>NAME_MEMENTO_CASE</t>
  </si>
  <si>
    <t>Poisoned Victim</t>
  </si>
  <si>
    <t>Víctima envenenada</t>
  </si>
  <si>
    <t>Victim</t>
  </si>
  <si>
    <t>Víctima</t>
  </si>
  <si>
    <t>Witness</t>
  </si>
  <si>
    <t>Testigo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</si>
  <si>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</si>
  <si>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</si>
  <si>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</si>
  <si>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</si>
  <si>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</si>
  <si>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</si>
  <si>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</si>
  <si>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</si>
  <si>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</si>
  <si>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</si>
  <si>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</si>
  <si>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</si>
  <si>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</si>
  <si>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</si>
  <si>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</si>
  <si>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</si>
  <si>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</si>
  <si>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</si>
  <si>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</si>
  <si>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</si>
  <si>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</si>
  <si>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</si>
  <si>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</si>
  <si>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</si>
  <si>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</si>
  <si>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PHRASE_ALREADY_COMBI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</si>
  <si>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</si>
  <si>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</si>
  <si>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</si>
  <si>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</si>
  <si>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</si>
  <si>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PHRASE_MEMENTO_VICTIM_CASE_0</t>
  </si>
  <si>
    <t>This mistery is a hard puzzle to solve</t>
  </si>
  <si>
    <t>Este misterio es un gran rompecabezas que resolver</t>
  </si>
  <si>
    <t>Victim is definitely gone! They all claim he was poisoned</t>
  </si>
  <si>
    <t>La víctima definitivamente ha sucumbido! Todos dicen que ha sido envenenado</t>
  </si>
  <si>
    <t>ROOM_ID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</si>
  <si>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</si>
  <si>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</si>
  <si>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</si>
  <si>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</si>
  <si>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</si>
  <si>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</si>
  <si>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</si>
  <si>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ROOM_1</t>
  </si>
  <si>
    <t>BACKGROUND_ROOM1, SPRITE_ROOM1_DECO_TABLE</t>
  </si>
  <si>
    <t>ITEM_VICTIM, ITEM_WITNESS1, ITEM_WITNESS2, ITEM_WITNESS3</t>
  </si>
  <si>
    <t>ROOM_LAST</t>
  </si>
  <si>
    <t>CHARACTER_TYPE_ID</t>
  </si>
  <si>
    <t>CHARACTER_PARROT</t>
  </si>
  <si>
    <t>CHARACTER_SNAKE</t>
  </si>
  <si>
    <t>ANIMATION_ID</t>
  </si>
  <si>
    <t>ITEM_USE_ANIMATION_NORMAL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</si>
  <si>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</si>
  <si>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</si>
  <si>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</si>
  <si>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</si>
  <si>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</si>
  <si>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INTERACTION_USE</t>
  </si>
  <si>
    <t>INTERACTION_TAKE</t>
  </si>
  <si>
    <t>INTERACTION_TALK</t>
  </si>
  <si>
    <t>UNCHAIN_TYPE_ID</t>
  </si>
  <si>
    <t>UNCHAIN_TYPE_SPAWN</t>
  </si>
  <si>
    <t>UNCHAIN_TYPE_DESPAWN</t>
  </si>
  <si>
    <t>UNCHAIN_TYPE_SET_SPRITE</t>
  </si>
  <si>
    <t>UNCHAIN_TYPE_EARN_ITEM</t>
  </si>
  <si>
    <t>UNCHAIN_TYPE_LOSE_ITEM</t>
  </si>
  <si>
    <t>UNCHAIN_TYPE_NOTIF</t>
  </si>
  <si>
    <t>DIALOG_ANIMATION_ID</t>
  </si>
  <si>
    <t>ITEM_FAMILY_TYPE_ID</t>
  </si>
  <si>
    <t>ITEM_FAMILY_TYPE_DOOR</t>
  </si>
  <si>
    <t>ITEM_FAMILY_TYPE_OBJECT</t>
  </si>
  <si>
    <t>EVENT_ID</t>
  </si>
  <si>
    <t>EVENT_LAST</t>
  </si>
  <si>
    <t>MEMENTO_PARENT_ID</t>
  </si>
  <si>
    <t>Sprite</t>
  </si>
  <si>
    <t>Children</t>
  </si>
  <si>
    <t>MEMENTO_PARENT_NONE</t>
  </si>
  <si>
    <t>MEMENTO_PARENT_VICTIM_CASE</t>
  </si>
  <si>
    <t>MEMENTO_PARENT_LAST</t>
  </si>
  <si>
    <t>MEMENTO_ID</t>
  </si>
  <si>
    <t>Parent</t>
  </si>
  <si>
    <t>Phrase</t>
  </si>
  <si>
    <t>Combinations</t>
  </si>
  <si>
    <t>Initial</t>
  </si>
  <si>
    <t>Final</t>
  </si>
  <si>
    <t>MEMENTO_COMBI_NONE</t>
  </si>
  <si>
    <t>MEMENTO_LAST</t>
  </si>
  <si>
    <t>MEMENTO_COMBI_ID</t>
  </si>
  <si>
    <t>TriggeredEvent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</si>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</sst>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5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9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2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10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4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6:J8" displayName="Table_Unchain_Conditions" name="Table_Unchain_Conditions" id="5">
  <tableColumns count="10">
    <tableColumn name="N" id="1"/>
    <tableColumn name="UNCHAIN_ID" id="2"/>
    <tableColumn name="Type" id="3"/>
    <tableColumn name="IgnoreIfEvent" id="4"/>
    <tableColumn name="NeededEvents" id="5"/>
    <tableColumn name="TargetItem" id="6"/>
    <tableColumn name="TargetSprite" id="7"/>
    <tableColumn name="TargetCharacter" id="8"/>
    <tableColumn name="TargetMemento" id="9"/>
    <tableColumn name="TargetEvents" id="10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17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4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6:F9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2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11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H4" displayName="Table_Rooms" name="Table_Rooms" id="11">
  <tableColumns count="8">
    <tableColumn name="N" id="1"/>
    <tableColumn name="ROOM_ID" id="2"/>
    <tableColumn name="CompoundSpritesText" id="3"/>
    <tableColumn name="CompoundPhrasesText" id="4"/>
    <tableColumn name="CompoundItemsText" id="5"/>
    <tableColumn name="NeededBackgrounds_Sprites" id="6"/>
    <tableColumn name="NeededItems" id="7"/>
    <tableColumn name="NeededPhrases" id="8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1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3:B31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3:B35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37:B42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4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6:E9" displayName="Table_Memento_Parent" name="Table_Memento_Parent" id="19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1:G14" displayName="Table_Memento" name="Table_Memento" id="20">
  <tableColumns count="7">
    <tableColumn name="N" id="1"/>
    <tableColumn name="MEMENTO_ID" id="2"/>
    <tableColumn name="Parent" id="3"/>
    <tableColumn name="Phrase" id="4"/>
    <tableColumn name="Combinations" id="5"/>
    <tableColumn name="Initial" id="6"/>
    <tableColumn name="Final" id="7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16:C17" displayName="Table_Memento_Combi" name="Table_Memento_Combi" id="21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19:B42" displayName="Table_EventsCombi" name="Table_EventsCombi" id="22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3.xml><?xml version="1.0" encoding="utf-8"?>
<table xmlns="http://schemas.openxmlformats.org/spreadsheetml/2006/main" ref="A1:D28" displayName="Table_TODO" name="Table_TODO" id="2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4.xml><?xml version="1.0" encoding="utf-8"?>
<table xmlns="http://schemas.openxmlformats.org/spreadsheetml/2006/main" ref="A1:B128" displayName="Table_PickableSprites" name="Table_PickableSprites" id="24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5.xml><?xml version="1.0" encoding="utf-8"?>
<table xmlns="http://schemas.openxmlformats.org/spreadsheetml/2006/main" ref="D1:E128" displayName="Table_PickableNames" name="Table_PickableNames" id="25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9" Type="http://schemas.openxmlformats.org/officeDocument/2006/relationships/table" Target="../tables/table20.xml"/><Relationship Id="rId7" Type="http://schemas.openxmlformats.org/officeDocument/2006/relationships/table" Target="../tables/table18.xml"/><Relationship Id="rId8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9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6">
        <f>CEILING((COUNT(Table_Events[N])-1)/64,1)</f>
        <v>1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5">
        <v>2.0</v>
      </c>
      <c r="E6" s="7">
        <f>CEILING((COUNT(Table_Memento[N])-1)/64,1)</f>
        <v>1</v>
      </c>
      <c r="F6" s="2" t="s">
        <v>33</v>
      </c>
      <c r="G6" s="5" t="s">
        <v>19</v>
      </c>
      <c r="H6" s="3"/>
      <c r="I6" s="5" t="s">
        <v>21</v>
      </c>
      <c r="J6" s="5" t="s">
        <v>21</v>
      </c>
      <c r="K6" s="5" t="s">
        <v>21</v>
      </c>
      <c r="L6" s="5" t="s">
        <v>21</v>
      </c>
      <c r="M6" s="5" t="s">
        <v>21</v>
      </c>
      <c r="N6" s="5" t="s">
        <v>21</v>
      </c>
      <c r="O6" s="5" t="s">
        <v>21</v>
      </c>
      <c r="P6" s="5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5">
        <v>0.0</v>
      </c>
      <c r="E7" s="7">
        <f>CEILING((COUNT(Table_Memento_Parent[N])-1)/64,1)</f>
        <v>1</v>
      </c>
      <c r="F7" s="2" t="s">
        <v>33</v>
      </c>
      <c r="G7" s="5" t="s">
        <v>19</v>
      </c>
      <c r="H7" s="3"/>
      <c r="I7" s="5" t="s">
        <v>21</v>
      </c>
      <c r="J7" s="5" t="s">
        <v>21</v>
      </c>
      <c r="K7" s="5" t="s">
        <v>22</v>
      </c>
      <c r="L7" s="5" t="s">
        <v>21</v>
      </c>
      <c r="M7" s="5" t="s">
        <v>21</v>
      </c>
      <c r="N7" s="5" t="s">
        <v>21</v>
      </c>
      <c r="O7" s="5" t="s">
        <v>21</v>
      </c>
      <c r="P7" s="5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5">
        <v>2.0</v>
      </c>
      <c r="E8" s="7">
        <f>COUNTIF(Table_Items[PICKABLE],"=TRUE")</f>
        <v>0</v>
      </c>
      <c r="F8" s="2" t="s">
        <v>38</v>
      </c>
      <c r="G8" s="5" t="s">
        <v>19</v>
      </c>
      <c r="H8" s="3"/>
      <c r="I8" s="5" t="s">
        <v>21</v>
      </c>
      <c r="J8" s="5" t="s">
        <v>21</v>
      </c>
      <c r="K8" s="5" t="s">
        <v>22</v>
      </c>
      <c r="L8" s="5" t="s">
        <v>21</v>
      </c>
      <c r="M8" s="5" t="s">
        <v>30</v>
      </c>
      <c r="N8" s="5" t="s">
        <v>21</v>
      </c>
      <c r="O8" s="5" t="s">
        <v>23</v>
      </c>
      <c r="P8" s="5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5">
        <v>2.0</v>
      </c>
      <c r="E9" s="7">
        <f>COUNT(Table_Characters[N])-1</f>
        <v>3</v>
      </c>
      <c r="F9" s="2">
        <v>-1.0</v>
      </c>
      <c r="G9" s="5" t="s">
        <v>19</v>
      </c>
      <c r="H9" s="3"/>
      <c r="I9" s="5" t="s">
        <v>21</v>
      </c>
      <c r="J9" s="5" t="s">
        <v>21</v>
      </c>
      <c r="K9" s="5" t="s">
        <v>23</v>
      </c>
      <c r="L9" s="5" t="s">
        <v>21</v>
      </c>
      <c r="M9" s="5" t="s">
        <v>21</v>
      </c>
      <c r="N9" s="5" t="s">
        <v>22</v>
      </c>
      <c r="O9" s="5" t="s">
        <v>21</v>
      </c>
      <c r="P9" s="5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5">
        <v>0.0</v>
      </c>
      <c r="E10" s="2">
        <v>0.0</v>
      </c>
      <c r="F10" s="2" t="s">
        <v>43</v>
      </c>
      <c r="G10" s="5" t="s">
        <v>19</v>
      </c>
      <c r="H10" s="3"/>
      <c r="I10" s="5" t="s">
        <v>21</v>
      </c>
      <c r="J10" s="5" t="s">
        <v>21</v>
      </c>
      <c r="K10" s="5" t="s">
        <v>21</v>
      </c>
      <c r="L10" s="5" t="s">
        <v>23</v>
      </c>
      <c r="M10" s="5" t="s">
        <v>21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4">
        <v>0.0</v>
      </c>
      <c r="E11" s="3">
        <v>0.0</v>
      </c>
      <c r="F11" s="3" t="s">
        <v>46</v>
      </c>
      <c r="G11" s="4" t="s">
        <v>0</v>
      </c>
      <c r="H11" s="3" t="s">
        <v>20</v>
      </c>
      <c r="I11" s="4" t="s">
        <v>23</v>
      </c>
      <c r="J11" s="5" t="s">
        <v>21</v>
      </c>
      <c r="K11" s="4" t="s">
        <v>30</v>
      </c>
      <c r="L11" s="4" t="s">
        <v>30</v>
      </c>
      <c r="M11" s="4" t="s">
        <v>30</v>
      </c>
      <c r="N11" s="4" t="s">
        <v>30</v>
      </c>
      <c r="O11" s="5" t="s">
        <v>30</v>
      </c>
      <c r="P11" s="5" t="s">
        <v>21</v>
      </c>
    </row>
    <row r="12">
      <c r="A12" s="2">
        <f t="shared" si="1"/>
        <v>10</v>
      </c>
      <c r="B12" s="3" t="s">
        <v>47</v>
      </c>
      <c r="C12" s="3" t="s">
        <v>48</v>
      </c>
      <c r="D12" s="4">
        <v>0.0</v>
      </c>
      <c r="E12" s="3">
        <v>0.0</v>
      </c>
      <c r="F12" s="3" t="s">
        <v>49</v>
      </c>
      <c r="G12" s="4" t="s">
        <v>0</v>
      </c>
      <c r="H12" s="3" t="s">
        <v>20</v>
      </c>
      <c r="I12" s="4" t="s">
        <v>22</v>
      </c>
      <c r="J12" s="5" t="s">
        <v>23</v>
      </c>
      <c r="K12" s="5" t="s">
        <v>22</v>
      </c>
      <c r="L12" s="5" t="s">
        <v>22</v>
      </c>
      <c r="M12" s="4" t="s">
        <v>22</v>
      </c>
      <c r="N12" s="5" t="s">
        <v>21</v>
      </c>
      <c r="O12" s="5" t="s">
        <v>21</v>
      </c>
      <c r="P12" s="5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4">
        <v>0.0</v>
      </c>
      <c r="E13" s="3">
        <v>0.0</v>
      </c>
      <c r="F13" s="3" t="s">
        <v>52</v>
      </c>
      <c r="G13" s="4" t="s">
        <v>0</v>
      </c>
      <c r="H13" s="3" t="s">
        <v>20</v>
      </c>
      <c r="I13" s="5" t="s">
        <v>21</v>
      </c>
      <c r="J13" s="4" t="s">
        <v>23</v>
      </c>
      <c r="K13" s="5" t="s">
        <v>22</v>
      </c>
      <c r="L13" s="4" t="s">
        <v>22</v>
      </c>
      <c r="M13" s="4" t="s">
        <v>22</v>
      </c>
      <c r="N13" s="5" t="s">
        <v>21</v>
      </c>
      <c r="O13" s="5" t="s">
        <v>21</v>
      </c>
      <c r="P13" s="5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5">
        <v>0.0</v>
      </c>
      <c r="E14" s="2">
        <v>0.0</v>
      </c>
      <c r="F14" s="2" t="s">
        <v>38</v>
      </c>
      <c r="G14" s="5" t="s">
        <v>0</v>
      </c>
      <c r="H14" s="8"/>
      <c r="I14" s="5" t="s">
        <v>21</v>
      </c>
      <c r="J14" s="5" t="s">
        <v>21</v>
      </c>
      <c r="K14" s="5" t="s">
        <v>23</v>
      </c>
      <c r="L14" s="5" t="s">
        <v>21</v>
      </c>
      <c r="M14" s="5" t="s">
        <v>22</v>
      </c>
      <c r="N14" s="5" t="s">
        <v>30</v>
      </c>
      <c r="O14" s="5" t="s">
        <v>22</v>
      </c>
      <c r="P14" s="5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5">
        <v>1.0</v>
      </c>
      <c r="E15" s="2">
        <v>0.0</v>
      </c>
      <c r="F15" s="2" t="s">
        <v>56</v>
      </c>
      <c r="G15" s="5" t="s">
        <v>0</v>
      </c>
      <c r="H15" s="8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22</v>
      </c>
      <c r="P15" s="5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5">
        <v>0.0</v>
      </c>
      <c r="E16" s="2">
        <v>0.0</v>
      </c>
      <c r="F16" s="2" t="s">
        <v>56</v>
      </c>
      <c r="G16" s="5" t="s">
        <v>0</v>
      </c>
      <c r="H16" s="8"/>
      <c r="I16" s="5" t="s">
        <v>21</v>
      </c>
      <c r="J16" s="5" t="s">
        <v>21</v>
      </c>
      <c r="K16" s="5" t="s">
        <v>23</v>
      </c>
      <c r="L16" s="5" t="s">
        <v>30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5">
        <v>0.0</v>
      </c>
      <c r="E17" s="2">
        <v>0.0</v>
      </c>
      <c r="F17" s="2" t="s">
        <v>60</v>
      </c>
      <c r="G17" s="5" t="s">
        <v>0</v>
      </c>
      <c r="H17" s="8"/>
      <c r="I17" s="5" t="s">
        <v>21</v>
      </c>
      <c r="J17" s="5" t="s">
        <v>21</v>
      </c>
      <c r="K17" s="5" t="s">
        <v>22</v>
      </c>
      <c r="L17" s="5" t="s">
        <v>30</v>
      </c>
      <c r="M17" s="5" t="s">
        <v>23</v>
      </c>
      <c r="N17" s="5" t="s">
        <v>21</v>
      </c>
      <c r="O17" s="5" t="s">
        <v>21</v>
      </c>
      <c r="P17" s="5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5">
        <v>0.0</v>
      </c>
      <c r="E18" s="2">
        <v>0.0</v>
      </c>
      <c r="F18" s="9" t="s">
        <v>63</v>
      </c>
      <c r="G18" s="5" t="s">
        <v>0</v>
      </c>
      <c r="H18" s="8"/>
      <c r="I18" s="5" t="s">
        <v>22</v>
      </c>
      <c r="J18" s="5" t="s">
        <v>21</v>
      </c>
      <c r="K18" s="5" t="s">
        <v>22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23</v>
      </c>
    </row>
    <row r="19" ht="15.75" customHeight="1">
      <c r="A19" s="2">
        <f t="shared" si="1"/>
        <v>17</v>
      </c>
      <c r="B19" s="2" t="s">
        <v>64</v>
      </c>
      <c r="C19" s="2" t="s">
        <v>62</v>
      </c>
      <c r="D19" s="5">
        <v>0.0</v>
      </c>
      <c r="E19" s="2">
        <v>0.0</v>
      </c>
      <c r="F19" s="9" t="s">
        <v>63</v>
      </c>
      <c r="G19" s="5" t="s">
        <v>0</v>
      </c>
      <c r="H19" s="8"/>
      <c r="I19" s="5" t="s">
        <v>23</v>
      </c>
      <c r="J19" s="5" t="s">
        <v>21</v>
      </c>
      <c r="K19" s="5" t="s">
        <v>21</v>
      </c>
      <c r="L19" s="5" t="s">
        <v>21</v>
      </c>
      <c r="M19" s="5" t="s">
        <v>21</v>
      </c>
      <c r="N19" s="5" t="s">
        <v>21</v>
      </c>
      <c r="O19" s="5" t="s">
        <v>21</v>
      </c>
      <c r="P19" s="5" t="s">
        <v>21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>
      <c r="I26" s="10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G2:G19">
      <formula1>"N,Y"</formula1>
    </dataValidation>
    <dataValidation type="list" allowBlank="1" showErrorMessage="1" sqref="D2:D19">
      <formula1>"0,1,2"</formula1>
    </dataValidation>
    <dataValidation type="list" allowBlank="1" showErrorMessage="1" sqref="I2:P19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65</v>
      </c>
      <c r="C1" s="1" t="s">
        <v>66</v>
      </c>
      <c r="D1" s="1" t="s">
        <v>67</v>
      </c>
      <c r="E1" s="11" t="s">
        <v>68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2" si="1">ROW()-ROW($A$2)</f>
        <v>0</v>
      </c>
      <c r="B2" s="3" t="s">
        <v>69</v>
      </c>
      <c r="C2" s="3" t="s">
        <v>70</v>
      </c>
      <c r="D2" s="3" t="s">
        <v>71</v>
      </c>
      <c r="E2" s="2" t="s">
        <v>72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73</v>
      </c>
      <c r="L2" s="5" t="s">
        <v>21</v>
      </c>
      <c r="M2" s="5" t="s">
        <v>21</v>
      </c>
      <c r="N2" s="5" t="s">
        <v>21</v>
      </c>
    </row>
    <row r="3">
      <c r="A3" s="12">
        <f t="shared" si="1"/>
        <v>1</v>
      </c>
      <c r="B3" s="2" t="s">
        <v>74</v>
      </c>
      <c r="C3" s="2" t="s">
        <v>75</v>
      </c>
      <c r="D3" s="2" t="s">
        <v>76</v>
      </c>
      <c r="E3" s="2" t="s">
        <v>77</v>
      </c>
      <c r="F3" s="3"/>
      <c r="G3" s="5" t="s">
        <v>23</v>
      </c>
      <c r="H3" s="5" t="s">
        <v>21</v>
      </c>
      <c r="I3" s="5" t="s">
        <v>73</v>
      </c>
      <c r="J3" s="5" t="s">
        <v>21</v>
      </c>
      <c r="K3" s="5" t="s">
        <v>73</v>
      </c>
      <c r="L3" s="5" t="s">
        <v>21</v>
      </c>
      <c r="M3" s="5" t="s">
        <v>21</v>
      </c>
      <c r="N3" s="5" t="s">
        <v>21</v>
      </c>
    </row>
    <row r="4">
      <c r="A4" s="12">
        <f t="shared" si="1"/>
        <v>2</v>
      </c>
      <c r="B4" s="2" t="s">
        <v>78</v>
      </c>
      <c r="C4" s="2" t="s">
        <v>79</v>
      </c>
      <c r="D4" s="2" t="s">
        <v>80</v>
      </c>
      <c r="E4" s="2" t="s">
        <v>81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73</v>
      </c>
      <c r="L4" s="5" t="s">
        <v>21</v>
      </c>
      <c r="M4" s="5" t="s">
        <v>21</v>
      </c>
      <c r="N4" s="5" t="s">
        <v>21</v>
      </c>
    </row>
    <row r="5">
      <c r="A5" s="12">
        <f t="shared" si="1"/>
        <v>3</v>
      </c>
      <c r="B5" s="3" t="s">
        <v>82</v>
      </c>
      <c r="C5" s="3" t="s">
        <v>83</v>
      </c>
      <c r="D5" s="3" t="s">
        <v>84</v>
      </c>
      <c r="E5" s="2" t="s">
        <v>85</v>
      </c>
      <c r="F5" s="3" t="s">
        <v>20</v>
      </c>
      <c r="G5" s="4" t="s">
        <v>23</v>
      </c>
      <c r="H5" s="5" t="s">
        <v>21</v>
      </c>
      <c r="I5" s="4" t="s">
        <v>73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2">
        <f t="shared" si="1"/>
        <v>4</v>
      </c>
      <c r="B6" s="3" t="s">
        <v>86</v>
      </c>
      <c r="C6" s="3" t="s">
        <v>87</v>
      </c>
      <c r="D6" s="3" t="s">
        <v>88</v>
      </c>
      <c r="E6" s="2" t="s">
        <v>89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73</v>
      </c>
      <c r="L6" s="5" t="s">
        <v>21</v>
      </c>
      <c r="M6" s="5" t="s">
        <v>21</v>
      </c>
      <c r="N6" s="5" t="s">
        <v>21</v>
      </c>
    </row>
    <row r="7">
      <c r="A7" s="12">
        <f t="shared" si="1"/>
        <v>5</v>
      </c>
      <c r="B7" s="2" t="s">
        <v>90</v>
      </c>
      <c r="C7" s="3" t="s">
        <v>91</v>
      </c>
      <c r="D7" s="3" t="s">
        <v>92</v>
      </c>
      <c r="E7" s="2" t="s">
        <v>93</v>
      </c>
      <c r="F7" s="3" t="s">
        <v>20</v>
      </c>
      <c r="G7" s="4" t="s">
        <v>23</v>
      </c>
      <c r="H7" s="5" t="s">
        <v>73</v>
      </c>
      <c r="I7" s="4" t="s">
        <v>73</v>
      </c>
      <c r="J7" s="5" t="s">
        <v>73</v>
      </c>
      <c r="K7" s="5" t="s">
        <v>73</v>
      </c>
      <c r="L7" s="5" t="s">
        <v>73</v>
      </c>
      <c r="M7" s="5" t="s">
        <v>73</v>
      </c>
      <c r="N7" s="5" t="s">
        <v>73</v>
      </c>
    </row>
    <row r="8">
      <c r="A8" s="12">
        <f t="shared" si="1"/>
        <v>6</v>
      </c>
      <c r="B8" s="2" t="s">
        <v>94</v>
      </c>
      <c r="C8" s="2" t="s">
        <v>95</v>
      </c>
      <c r="D8" s="2" t="s">
        <v>96</v>
      </c>
      <c r="E8" s="2" t="s">
        <v>97</v>
      </c>
      <c r="F8" s="3"/>
      <c r="G8" s="5" t="s">
        <v>23</v>
      </c>
      <c r="H8" s="5" t="s">
        <v>73</v>
      </c>
      <c r="I8" s="5" t="s">
        <v>73</v>
      </c>
      <c r="J8" s="5" t="s">
        <v>73</v>
      </c>
      <c r="K8" s="5" t="s">
        <v>73</v>
      </c>
      <c r="L8" s="5" t="s">
        <v>73</v>
      </c>
      <c r="M8" s="5" t="s">
        <v>73</v>
      </c>
      <c r="N8" s="5" t="s">
        <v>73</v>
      </c>
    </row>
    <row r="9">
      <c r="A9" s="12">
        <f t="shared" si="1"/>
        <v>7</v>
      </c>
      <c r="B9" s="2" t="s">
        <v>98</v>
      </c>
      <c r="C9" s="2" t="s">
        <v>99</v>
      </c>
      <c r="D9" s="2" t="s">
        <v>100</v>
      </c>
      <c r="E9" s="2" t="s">
        <v>101</v>
      </c>
      <c r="F9" s="8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73</v>
      </c>
      <c r="M9" s="5" t="s">
        <v>73</v>
      </c>
      <c r="N9" s="5" t="s">
        <v>21</v>
      </c>
    </row>
    <row r="10">
      <c r="A10" s="12">
        <f t="shared" si="1"/>
        <v>8</v>
      </c>
      <c r="B10" s="3" t="s">
        <v>102</v>
      </c>
      <c r="C10" s="2" t="s">
        <v>103</v>
      </c>
      <c r="D10" s="3" t="s">
        <v>104</v>
      </c>
      <c r="E10" s="2" t="s">
        <v>105</v>
      </c>
      <c r="F10" s="8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73</v>
      </c>
      <c r="M10" s="5" t="s">
        <v>21</v>
      </c>
      <c r="N10" s="5" t="s">
        <v>21</v>
      </c>
    </row>
    <row r="11">
      <c r="A11" s="12">
        <f t="shared" si="1"/>
        <v>9</v>
      </c>
      <c r="B11" s="2" t="s">
        <v>106</v>
      </c>
      <c r="C11" s="2" t="s">
        <v>107</v>
      </c>
      <c r="D11" s="2" t="s">
        <v>108</v>
      </c>
      <c r="E11" s="2" t="s">
        <v>109</v>
      </c>
      <c r="F11" s="8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21</v>
      </c>
      <c r="N11" s="5" t="s">
        <v>21</v>
      </c>
    </row>
    <row r="12">
      <c r="A12" s="12">
        <f t="shared" si="1"/>
        <v>10</v>
      </c>
      <c r="B12" s="2" t="s">
        <v>110</v>
      </c>
      <c r="C12" s="2" t="s">
        <v>111</v>
      </c>
      <c r="D12" s="2" t="s">
        <v>112</v>
      </c>
      <c r="E12" s="2" t="s">
        <v>113</v>
      </c>
      <c r="F12" s="8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73</v>
      </c>
      <c r="N12" s="5" t="s">
        <v>21</v>
      </c>
    </row>
    <row r="13">
      <c r="A13" s="12">
        <f t="shared" si="1"/>
        <v>11</v>
      </c>
      <c r="B13" s="2" t="s">
        <v>114</v>
      </c>
      <c r="C13" s="2" t="s">
        <v>115</v>
      </c>
      <c r="D13" s="2" t="s">
        <v>116</v>
      </c>
      <c r="E13" s="2" t="s">
        <v>117</v>
      </c>
      <c r="F13" s="8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73</v>
      </c>
      <c r="M13" s="5" t="s">
        <v>21</v>
      </c>
      <c r="N13" s="5" t="s">
        <v>21</v>
      </c>
    </row>
    <row r="14">
      <c r="A14" s="12">
        <f t="shared" si="1"/>
        <v>12</v>
      </c>
      <c r="B14" s="2" t="s">
        <v>118</v>
      </c>
      <c r="C14" s="2" t="s">
        <v>119</v>
      </c>
      <c r="D14" s="2" t="s">
        <v>120</v>
      </c>
      <c r="E14" s="2" t="s">
        <v>121</v>
      </c>
      <c r="F14" s="8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73</v>
      </c>
      <c r="M14" s="5" t="s">
        <v>21</v>
      </c>
      <c r="N14" s="5" t="s">
        <v>21</v>
      </c>
    </row>
    <row r="15">
      <c r="A15" s="12">
        <f t="shared" si="1"/>
        <v>13</v>
      </c>
      <c r="B15" s="2" t="s">
        <v>122</v>
      </c>
      <c r="C15" s="2" t="s">
        <v>123</v>
      </c>
      <c r="D15" s="2" t="s">
        <v>124</v>
      </c>
      <c r="E15" s="2" t="s">
        <v>125</v>
      </c>
      <c r="F15" s="8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73</v>
      </c>
      <c r="L15" s="5" t="s">
        <v>21</v>
      </c>
      <c r="M15" s="5" t="s">
        <v>73</v>
      </c>
      <c r="N15" s="5" t="s">
        <v>21</v>
      </c>
    </row>
    <row r="16">
      <c r="A16" s="12">
        <f t="shared" si="1"/>
        <v>14</v>
      </c>
      <c r="B16" s="2" t="s">
        <v>126</v>
      </c>
      <c r="C16" s="2" t="s">
        <v>127</v>
      </c>
      <c r="D16" s="2" t="s">
        <v>128</v>
      </c>
      <c r="E16" s="2" t="s">
        <v>129</v>
      </c>
      <c r="F16" s="8"/>
      <c r="G16" s="5" t="s">
        <v>21</v>
      </c>
      <c r="H16" s="5" t="s">
        <v>21</v>
      </c>
      <c r="I16" s="5" t="s">
        <v>23</v>
      </c>
      <c r="J16" s="5" t="s">
        <v>73</v>
      </c>
      <c r="K16" s="5" t="s">
        <v>21</v>
      </c>
      <c r="L16" s="5" t="s">
        <v>73</v>
      </c>
      <c r="M16" s="5" t="s">
        <v>21</v>
      </c>
      <c r="N16" s="5" t="s">
        <v>21</v>
      </c>
    </row>
    <row r="17">
      <c r="A17" s="12">
        <f t="shared" si="1"/>
        <v>15</v>
      </c>
      <c r="B17" s="2" t="s">
        <v>130</v>
      </c>
      <c r="C17" s="2" t="s">
        <v>131</v>
      </c>
      <c r="D17" s="2" t="s">
        <v>132</v>
      </c>
      <c r="E17" s="2" t="s">
        <v>133</v>
      </c>
      <c r="F17" s="8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73</v>
      </c>
      <c r="M17" s="5" t="s">
        <v>73</v>
      </c>
      <c r="N17" s="5" t="s">
        <v>21</v>
      </c>
    </row>
    <row r="18">
      <c r="A18" s="12">
        <f t="shared" si="1"/>
        <v>16</v>
      </c>
      <c r="B18" s="13" t="s">
        <v>134</v>
      </c>
      <c r="C18" s="13" t="s">
        <v>135</v>
      </c>
      <c r="D18" s="13" t="s">
        <v>136</v>
      </c>
      <c r="E18" s="13" t="s">
        <v>137</v>
      </c>
      <c r="F18" s="14"/>
      <c r="G18" s="15" t="s">
        <v>21</v>
      </c>
      <c r="H18" s="15" t="s">
        <v>21</v>
      </c>
      <c r="I18" s="15" t="s">
        <v>73</v>
      </c>
      <c r="J18" s="15" t="s">
        <v>21</v>
      </c>
      <c r="K18" s="15" t="s">
        <v>73</v>
      </c>
      <c r="L18" s="15" t="s">
        <v>73</v>
      </c>
      <c r="M18" s="15" t="s">
        <v>73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138</v>
      </c>
      <c r="C19" s="2" t="s">
        <v>139</v>
      </c>
      <c r="D19" s="2" t="s">
        <v>140</v>
      </c>
      <c r="E19" s="2" t="s">
        <v>141</v>
      </c>
      <c r="F19" s="8"/>
      <c r="G19" s="5" t="s">
        <v>21</v>
      </c>
      <c r="H19" s="5" t="s">
        <v>21</v>
      </c>
      <c r="I19" s="5" t="s">
        <v>73</v>
      </c>
      <c r="J19" s="5" t="s">
        <v>21</v>
      </c>
      <c r="K19" s="5" t="s">
        <v>73</v>
      </c>
      <c r="L19" s="5" t="s">
        <v>73</v>
      </c>
      <c r="M19" s="5" t="s">
        <v>73</v>
      </c>
      <c r="N19" s="5" t="s">
        <v>23</v>
      </c>
    </row>
    <row r="20">
      <c r="A20" s="12">
        <f t="shared" si="1"/>
        <v>18</v>
      </c>
      <c r="B20" s="13" t="s">
        <v>142</v>
      </c>
      <c r="C20" s="13" t="s">
        <v>143</v>
      </c>
      <c r="D20" s="13" t="s">
        <v>144</v>
      </c>
      <c r="E20" s="13" t="s">
        <v>145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73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146</v>
      </c>
      <c r="C21" s="13" t="s">
        <v>147</v>
      </c>
      <c r="D21" s="13" t="s">
        <v>148</v>
      </c>
      <c r="E21" s="13" t="s">
        <v>149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73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150</v>
      </c>
      <c r="C22" s="13" t="s">
        <v>151</v>
      </c>
      <c r="D22" s="13" t="s">
        <v>152</v>
      </c>
      <c r="E22" s="13" t="s">
        <v>153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73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154</v>
      </c>
      <c r="C23" s="13" t="s">
        <v>155</v>
      </c>
      <c r="D23" s="13" t="s">
        <v>156</v>
      </c>
      <c r="E23" s="13" t="s">
        <v>157</v>
      </c>
      <c r="F23" s="14"/>
      <c r="G23" s="15" t="s">
        <v>21</v>
      </c>
      <c r="H23" s="15" t="s">
        <v>21</v>
      </c>
      <c r="I23" s="15" t="s">
        <v>73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158</v>
      </c>
      <c r="C24" s="13" t="s">
        <v>159</v>
      </c>
      <c r="D24" s="13" t="s">
        <v>160</v>
      </c>
      <c r="E24" s="13" t="s">
        <v>161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73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162</v>
      </c>
      <c r="C25" s="13" t="s">
        <v>163</v>
      </c>
      <c r="D25" s="13" t="s">
        <v>164</v>
      </c>
      <c r="E25" s="13" t="s">
        <v>165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73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166</v>
      </c>
      <c r="C26" s="17" t="s">
        <v>167</v>
      </c>
      <c r="D26" s="17" t="s">
        <v>168</v>
      </c>
      <c r="E26" s="13" t="s">
        <v>169</v>
      </c>
      <c r="F26" s="14"/>
      <c r="G26" s="18" t="s">
        <v>21</v>
      </c>
      <c r="H26" s="18" t="s">
        <v>21</v>
      </c>
      <c r="I26" s="15" t="s">
        <v>73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170</v>
      </c>
      <c r="C27" s="2" t="s">
        <v>171</v>
      </c>
      <c r="D27" s="2" t="s">
        <v>172</v>
      </c>
      <c r="E27" s="2" t="s">
        <v>173</v>
      </c>
      <c r="F27" s="8"/>
      <c r="G27" s="5" t="s">
        <v>21</v>
      </c>
      <c r="H27" s="5" t="s">
        <v>21</v>
      </c>
      <c r="I27" s="5" t="s">
        <v>73</v>
      </c>
      <c r="J27" s="5" t="s">
        <v>21</v>
      </c>
      <c r="K27" s="5" t="s">
        <v>23</v>
      </c>
      <c r="L27" s="5" t="s">
        <v>21</v>
      </c>
      <c r="M27" s="5" t="s">
        <v>73</v>
      </c>
      <c r="N27" s="5" t="s">
        <v>21</v>
      </c>
    </row>
    <row r="28">
      <c r="A28" s="12">
        <f t="shared" si="1"/>
        <v>26</v>
      </c>
      <c r="B28" s="2" t="s">
        <v>174</v>
      </c>
      <c r="C28" s="2" t="s">
        <v>175</v>
      </c>
      <c r="D28" s="2" t="s">
        <v>176</v>
      </c>
      <c r="E28" s="2" t="s">
        <v>177</v>
      </c>
      <c r="F28" s="2"/>
      <c r="G28" s="5" t="s">
        <v>21</v>
      </c>
      <c r="H28" s="5" t="s">
        <v>23</v>
      </c>
      <c r="I28" s="5" t="s">
        <v>21</v>
      </c>
      <c r="J28" s="5" t="s">
        <v>21</v>
      </c>
      <c r="K28" s="5" t="s">
        <v>73</v>
      </c>
      <c r="L28" s="5" t="s">
        <v>21</v>
      </c>
      <c r="M28" s="5" t="s">
        <v>21</v>
      </c>
      <c r="N28" s="5" t="s">
        <v>21</v>
      </c>
    </row>
    <row r="29">
      <c r="A29" s="12">
        <f t="shared" si="1"/>
        <v>27</v>
      </c>
      <c r="B29" s="2" t="s">
        <v>178</v>
      </c>
      <c r="C29" s="2" t="s">
        <v>179</v>
      </c>
      <c r="D29" s="2" t="s">
        <v>180</v>
      </c>
      <c r="E29" s="2" t="s">
        <v>181</v>
      </c>
      <c r="F29" s="8"/>
      <c r="G29" s="5" t="s">
        <v>21</v>
      </c>
      <c r="H29" s="5" t="s">
        <v>21</v>
      </c>
      <c r="I29" s="5" t="s">
        <v>73</v>
      </c>
      <c r="J29" s="5" t="s">
        <v>21</v>
      </c>
      <c r="K29" s="5" t="s">
        <v>21</v>
      </c>
      <c r="L29" s="5" t="s">
        <v>23</v>
      </c>
      <c r="M29" s="5" t="s">
        <v>21</v>
      </c>
      <c r="N29" s="5" t="s">
        <v>21</v>
      </c>
    </row>
    <row r="30">
      <c r="A30" s="12">
        <f t="shared" si="1"/>
        <v>28</v>
      </c>
      <c r="B30" s="2" t="s">
        <v>182</v>
      </c>
      <c r="C30" s="2" t="s">
        <v>183</v>
      </c>
      <c r="D30" s="2" t="s">
        <v>184</v>
      </c>
      <c r="E30" s="2" t="s">
        <v>185</v>
      </c>
      <c r="F30" s="8"/>
      <c r="G30" s="5" t="s">
        <v>23</v>
      </c>
      <c r="H30" s="5" t="s">
        <v>21</v>
      </c>
      <c r="I30" s="5" t="s">
        <v>73</v>
      </c>
      <c r="J30" s="5" t="s">
        <v>21</v>
      </c>
      <c r="K30" s="5" t="s">
        <v>73</v>
      </c>
      <c r="L30" s="5" t="s">
        <v>21</v>
      </c>
      <c r="M30" s="5" t="s">
        <v>21</v>
      </c>
      <c r="N30" s="5" t="s">
        <v>21</v>
      </c>
    </row>
    <row r="31">
      <c r="A31" s="12">
        <f t="shared" si="1"/>
        <v>29</v>
      </c>
      <c r="B31" s="2" t="s">
        <v>186</v>
      </c>
      <c r="C31" s="2" t="s">
        <v>187</v>
      </c>
      <c r="D31" s="2" t="s">
        <v>188</v>
      </c>
      <c r="E31" s="2" t="s">
        <v>189</v>
      </c>
      <c r="F31" s="8"/>
      <c r="G31" s="5" t="s">
        <v>21</v>
      </c>
      <c r="H31" s="5" t="s">
        <v>21</v>
      </c>
      <c r="I31" s="5" t="s">
        <v>73</v>
      </c>
      <c r="J31" s="5" t="s">
        <v>21</v>
      </c>
      <c r="K31" s="5" t="s">
        <v>23</v>
      </c>
      <c r="L31" s="5" t="s">
        <v>21</v>
      </c>
      <c r="M31" s="5" t="s">
        <v>21</v>
      </c>
      <c r="N31" s="5" t="s">
        <v>21</v>
      </c>
    </row>
    <row r="32">
      <c r="A32" s="12">
        <f t="shared" si="1"/>
        <v>30</v>
      </c>
      <c r="B32" s="2" t="s">
        <v>190</v>
      </c>
      <c r="C32" s="3" t="s">
        <v>87</v>
      </c>
      <c r="D32" s="3" t="s">
        <v>88</v>
      </c>
      <c r="E32" s="2" t="s">
        <v>191</v>
      </c>
      <c r="F32" s="8"/>
      <c r="G32" s="5" t="s">
        <v>23</v>
      </c>
      <c r="H32" s="5" t="s">
        <v>21</v>
      </c>
      <c r="I32" s="5" t="s">
        <v>21</v>
      </c>
      <c r="J32" s="5" t="s">
        <v>21</v>
      </c>
      <c r="K32" s="5" t="s">
        <v>21</v>
      </c>
      <c r="L32" s="5" t="s">
        <v>21</v>
      </c>
      <c r="M32" s="5" t="s">
        <v>21</v>
      </c>
      <c r="N32" s="5" t="s">
        <v>21</v>
      </c>
    </row>
  </sheetData>
  <dataValidations>
    <dataValidation type="custom" allowBlank="1" showDropDown="1" sqref="A2:A32">
      <formula1>AND(ISNUMBER(A2),(NOT(OR(NOT(ISERROR(DATEVALUE(A2))), AND(ISNUMBER(A2), LEFT(CELL("format", A2))="D")))))</formula1>
    </dataValidation>
    <dataValidation type="list" allowBlank="1" showErrorMessage="1" sqref="G2:N32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23.14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192</v>
      </c>
      <c r="C1" s="20" t="s">
        <v>193</v>
      </c>
      <c r="D1" s="20" t="s">
        <v>194</v>
      </c>
      <c r="E1" s="20" t="s">
        <v>195</v>
      </c>
      <c r="F1" s="20" t="s">
        <v>196</v>
      </c>
      <c r="G1" s="19" t="s">
        <v>197</v>
      </c>
      <c r="H1" s="20" t="s">
        <v>198</v>
      </c>
      <c r="I1" s="21" t="s">
        <v>199</v>
      </c>
    </row>
    <row r="2">
      <c r="A2" s="22">
        <f t="shared" ref="A2:A10" si="1">ROW()-ROW($A$2)</f>
        <v>0</v>
      </c>
      <c r="B2" s="22" t="s">
        <v>200</v>
      </c>
      <c r="C2" s="23" t="s">
        <v>201</v>
      </c>
      <c r="D2" s="24" t="s">
        <v>202</v>
      </c>
      <c r="E2" s="25" t="s">
        <v>203</v>
      </c>
      <c r="F2" s="23" t="s">
        <v>203</v>
      </c>
      <c r="G2" s="26" t="b">
        <v>0</v>
      </c>
      <c r="H2" s="23" t="s">
        <v>203</v>
      </c>
      <c r="I2" s="27" t="s">
        <v>204</v>
      </c>
    </row>
    <row r="3">
      <c r="A3" s="22">
        <f t="shared" si="1"/>
        <v>1</v>
      </c>
      <c r="B3" s="22" t="s">
        <v>205</v>
      </c>
      <c r="C3" s="23" t="s">
        <v>206</v>
      </c>
      <c r="D3" s="24" t="s">
        <v>207</v>
      </c>
      <c r="E3" s="25" t="s">
        <v>203</v>
      </c>
      <c r="F3" s="23" t="s">
        <v>203</v>
      </c>
      <c r="G3" s="26" t="b">
        <v>0</v>
      </c>
      <c r="H3" s="23" t="s">
        <v>203</v>
      </c>
      <c r="I3" s="27" t="s">
        <v>204</v>
      </c>
    </row>
    <row r="4">
      <c r="A4" s="22">
        <f t="shared" si="1"/>
        <v>2</v>
      </c>
      <c r="B4" s="22" t="s">
        <v>208</v>
      </c>
      <c r="C4" s="23" t="s">
        <v>209</v>
      </c>
      <c r="D4" s="24" t="s">
        <v>207</v>
      </c>
      <c r="E4" s="25" t="s">
        <v>203</v>
      </c>
      <c r="F4" s="23" t="s">
        <v>203</v>
      </c>
      <c r="G4" s="26" t="b">
        <v>0</v>
      </c>
      <c r="H4" s="23" t="s">
        <v>203</v>
      </c>
      <c r="I4" s="27" t="s">
        <v>204</v>
      </c>
    </row>
    <row r="5">
      <c r="A5" s="22">
        <f t="shared" si="1"/>
        <v>3</v>
      </c>
      <c r="B5" s="22" t="s">
        <v>210</v>
      </c>
      <c r="C5" s="23" t="s">
        <v>211</v>
      </c>
      <c r="D5" s="24" t="s">
        <v>207</v>
      </c>
      <c r="E5" s="25" t="s">
        <v>203</v>
      </c>
      <c r="F5" s="23" t="s">
        <v>203</v>
      </c>
      <c r="G5" s="26" t="b">
        <v>0</v>
      </c>
      <c r="H5" s="23" t="s">
        <v>203</v>
      </c>
      <c r="I5" s="27" t="s">
        <v>204</v>
      </c>
    </row>
    <row r="6">
      <c r="A6" s="22">
        <f t="shared" si="1"/>
        <v>4</v>
      </c>
      <c r="B6" s="22" t="s">
        <v>212</v>
      </c>
      <c r="C6" s="23" t="s">
        <v>213</v>
      </c>
      <c r="D6" s="24" t="s">
        <v>214</v>
      </c>
      <c r="E6" s="25" t="s">
        <v>215</v>
      </c>
      <c r="F6" s="23" t="s">
        <v>215</v>
      </c>
      <c r="G6" s="26" t="b">
        <v>0</v>
      </c>
      <c r="H6" s="23" t="s">
        <v>203</v>
      </c>
      <c r="I6" s="27" t="s">
        <v>216</v>
      </c>
    </row>
    <row r="7">
      <c r="A7" s="22">
        <f t="shared" si="1"/>
        <v>5</v>
      </c>
      <c r="B7" s="22" t="s">
        <v>217</v>
      </c>
      <c r="C7" s="23" t="s">
        <v>218</v>
      </c>
      <c r="D7" s="24" t="s">
        <v>214</v>
      </c>
      <c r="E7" s="25" t="s">
        <v>219</v>
      </c>
      <c r="F7" s="23" t="s">
        <v>219</v>
      </c>
      <c r="G7" s="26" t="b">
        <v>0</v>
      </c>
      <c r="H7" s="23" t="s">
        <v>203</v>
      </c>
      <c r="I7" s="27" t="s">
        <v>204</v>
      </c>
    </row>
    <row r="8">
      <c r="A8" s="22">
        <f t="shared" si="1"/>
        <v>6</v>
      </c>
      <c r="B8" s="22" t="s">
        <v>220</v>
      </c>
      <c r="C8" s="23" t="s">
        <v>218</v>
      </c>
      <c r="D8" s="24" t="s">
        <v>214</v>
      </c>
      <c r="E8" s="25" t="s">
        <v>221</v>
      </c>
      <c r="F8" s="23" t="s">
        <v>221</v>
      </c>
      <c r="G8" s="26" t="b">
        <v>0</v>
      </c>
      <c r="H8" s="23" t="s">
        <v>203</v>
      </c>
      <c r="I8" s="27" t="s">
        <v>204</v>
      </c>
    </row>
    <row r="9">
      <c r="A9" s="22">
        <f t="shared" si="1"/>
        <v>7</v>
      </c>
      <c r="B9" s="22" t="s">
        <v>222</v>
      </c>
      <c r="C9" s="23" t="s">
        <v>218</v>
      </c>
      <c r="D9" s="24" t="s">
        <v>214</v>
      </c>
      <c r="E9" s="25" t="s">
        <v>223</v>
      </c>
      <c r="F9" s="23" t="s">
        <v>223</v>
      </c>
      <c r="G9" s="26" t="b">
        <v>0</v>
      </c>
      <c r="H9" s="23" t="s">
        <v>203</v>
      </c>
      <c r="I9" s="27" t="s">
        <v>204</v>
      </c>
    </row>
    <row r="10">
      <c r="A10" s="22">
        <f t="shared" si="1"/>
        <v>8</v>
      </c>
      <c r="B10" s="22" t="s">
        <v>224</v>
      </c>
      <c r="C10" s="23" t="s">
        <v>225</v>
      </c>
      <c r="D10" s="24" t="s">
        <v>202</v>
      </c>
      <c r="E10" s="25" t="s">
        <v>226</v>
      </c>
      <c r="F10" s="23" t="s">
        <v>226</v>
      </c>
      <c r="G10" s="26" t="b">
        <v>0</v>
      </c>
      <c r="H10" s="23" t="s">
        <v>203</v>
      </c>
      <c r="I10" s="27" t="s">
        <v>204</v>
      </c>
    </row>
  </sheetData>
  <dataValidations>
    <dataValidation type="list" allowBlank="1" sqref="E2:E10 I2:I10">
      <formula1>#REF!</formula1>
    </dataValidation>
    <dataValidation type="list" allowBlank="1" sqref="C2:D10 F2:F10 H2:H10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55.43"/>
    <col customWidth="1" min="4" max="4" width="37.71"/>
    <col customWidth="1" min="5" max="5" width="50.71"/>
    <col customWidth="1" min="6" max="6" width="33.57"/>
    <col customWidth="1" min="7" max="7" width="44.57"/>
    <col customWidth="1" min="8" max="8" width="38.86"/>
    <col customWidth="1" min="9" max="9" width="37.86"/>
    <col customWidth="1" min="10" max="10" width="41.0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227</v>
      </c>
      <c r="C1" s="19" t="s">
        <v>228</v>
      </c>
      <c r="D1" s="20" t="s">
        <v>229</v>
      </c>
      <c r="E1" s="20" t="s">
        <v>230</v>
      </c>
      <c r="F1" s="20" t="s">
        <v>231</v>
      </c>
      <c r="G1" s="19" t="s">
        <v>232</v>
      </c>
      <c r="H1" s="19" t="s">
        <v>233</v>
      </c>
      <c r="I1" s="20" t="s">
        <v>234</v>
      </c>
      <c r="J1" s="21" t="s">
        <v>235</v>
      </c>
    </row>
    <row r="2">
      <c r="A2" s="28">
        <f>ROW()-ROW(Table_Action_Conditions[N])</f>
        <v>0</v>
      </c>
      <c r="B2" s="28" t="s">
        <v>204</v>
      </c>
      <c r="C2" s="29" t="s">
        <v>236</v>
      </c>
      <c r="D2" s="30" t="s">
        <v>237</v>
      </c>
      <c r="E2" s="30" t="s">
        <v>200</v>
      </c>
      <c r="F2" s="30" t="s">
        <v>238</v>
      </c>
      <c r="G2" s="30" t="s">
        <v>239</v>
      </c>
      <c r="H2" s="30" t="s">
        <v>240</v>
      </c>
      <c r="I2" s="30" t="s">
        <v>241</v>
      </c>
      <c r="J2" s="31" t="s">
        <v>236</v>
      </c>
    </row>
    <row r="3">
      <c r="A3" s="28">
        <f>ROW()-ROW(Table_Action_Conditions[N])</f>
        <v>1</v>
      </c>
      <c r="B3" s="28" t="s">
        <v>216</v>
      </c>
      <c r="C3" s="32" t="s">
        <v>236</v>
      </c>
      <c r="D3" s="30" t="s">
        <v>242</v>
      </c>
      <c r="E3" s="30" t="s">
        <v>200</v>
      </c>
      <c r="F3" s="30" t="s">
        <v>243</v>
      </c>
      <c r="G3" s="30" t="s">
        <v>244</v>
      </c>
      <c r="H3" s="30" t="s">
        <v>245</v>
      </c>
      <c r="I3" s="30" t="s">
        <v>246</v>
      </c>
      <c r="J3" s="33" t="s">
        <v>236</v>
      </c>
    </row>
    <row r="4">
      <c r="A4" s="28">
        <f>ROW()-ROW(Table_Action_Conditions[N])</f>
        <v>2</v>
      </c>
      <c r="B4" s="28" t="s">
        <v>247</v>
      </c>
      <c r="C4" s="29" t="s">
        <v>236</v>
      </c>
      <c r="D4" s="30" t="s">
        <v>237</v>
      </c>
      <c r="E4" s="30" t="s">
        <v>200</v>
      </c>
      <c r="F4" s="30" t="s">
        <v>238</v>
      </c>
      <c r="G4" s="30" t="s">
        <v>239</v>
      </c>
      <c r="H4" s="30" t="s">
        <v>240</v>
      </c>
      <c r="I4" s="30" t="s">
        <v>241</v>
      </c>
      <c r="J4" s="31" t="s">
        <v>236</v>
      </c>
    </row>
    <row r="6">
      <c r="A6" s="19" t="s">
        <v>0</v>
      </c>
      <c r="B6" s="19" t="s">
        <v>248</v>
      </c>
      <c r="C6" s="19" t="s">
        <v>249</v>
      </c>
      <c r="D6" s="21" t="s">
        <v>250</v>
      </c>
      <c r="E6" s="21" t="s">
        <v>228</v>
      </c>
      <c r="F6" s="21" t="s">
        <v>251</v>
      </c>
      <c r="G6" s="21" t="s">
        <v>252</v>
      </c>
      <c r="H6" s="21" t="s">
        <v>253</v>
      </c>
      <c r="I6" s="21" t="s">
        <v>254</v>
      </c>
      <c r="J6" s="21" t="s">
        <v>255</v>
      </c>
    </row>
    <row r="7">
      <c r="A7" s="28">
        <f>ROW()-ROW(Table_Unchain_Conditions[N])</f>
        <v>0</v>
      </c>
      <c r="B7" s="28" t="s">
        <v>256</v>
      </c>
      <c r="C7" s="30" t="s">
        <v>257</v>
      </c>
      <c r="D7" s="34" t="s">
        <v>258</v>
      </c>
      <c r="E7" s="33" t="s">
        <v>236</v>
      </c>
      <c r="F7" s="34" t="s">
        <v>200</v>
      </c>
      <c r="G7" s="34" t="s">
        <v>203</v>
      </c>
      <c r="H7" s="35" t="s">
        <v>237</v>
      </c>
      <c r="I7" s="34" t="s">
        <v>259</v>
      </c>
      <c r="J7" s="33" t="s">
        <v>258</v>
      </c>
    </row>
    <row r="8">
      <c r="A8" s="28">
        <f>ROW()-ROW(Table_Unchain_Conditions[N])</f>
        <v>1</v>
      </c>
      <c r="B8" s="28" t="s">
        <v>260</v>
      </c>
      <c r="C8" s="30" t="s">
        <v>261</v>
      </c>
      <c r="D8" s="34" t="s">
        <v>258</v>
      </c>
      <c r="E8" s="33" t="s">
        <v>258</v>
      </c>
      <c r="F8" s="34" t="s">
        <v>200</v>
      </c>
      <c r="G8" s="34" t="s">
        <v>203</v>
      </c>
      <c r="H8" s="35" t="s">
        <v>237</v>
      </c>
      <c r="I8" s="34" t="s">
        <v>262</v>
      </c>
      <c r="J8" s="33" t="s">
        <v>236</v>
      </c>
    </row>
  </sheetData>
  <dataValidations>
    <dataValidation type="list" allowBlank="1" sqref="H2:H4">
      <formula1>#REF!</formula1>
    </dataValidation>
    <dataValidation type="list" allowBlank="1" sqref="J2:J4 E7:E8 J7:J8">
      <formula1>#REF!</formula1>
    </dataValidation>
    <dataValidation type="list" allowBlank="1" sqref="C2:C4">
      <formula1>#REF!</formula1>
    </dataValidation>
    <dataValidation type="list" allowBlank="1" sqref="D2:G4 C7:C8 F7:I8">
      <formula1>#REF!</formula1>
    </dataValidation>
    <dataValidation type="list" allowBlank="1" sqref="I2:I4">
      <formula1>#REF!</formula1>
    </dataValidation>
    <dataValidation type="list" allowBlank="1" sqref="D7:D8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8.29"/>
    <col customWidth="1" min="3" max="3" width="73.0"/>
    <col customWidth="1" min="4" max="4" width="26.0"/>
  </cols>
  <sheetData>
    <row r="1">
      <c r="A1" s="19" t="s">
        <v>0</v>
      </c>
      <c r="B1" s="19" t="s">
        <v>263</v>
      </c>
      <c r="C1" s="19" t="s">
        <v>264</v>
      </c>
    </row>
    <row r="2">
      <c r="A2" s="28">
        <f>ROW()-ROW(Table_sprites[N])</f>
        <v>0</v>
      </c>
      <c r="B2" s="28" t="s">
        <v>203</v>
      </c>
    </row>
    <row r="3">
      <c r="A3" s="28">
        <f>ROW()-ROW(Table_sprites[N])</f>
        <v>1</v>
      </c>
      <c r="B3" s="28" t="s">
        <v>265</v>
      </c>
      <c r="C3" s="28" t="s">
        <v>266</v>
      </c>
    </row>
    <row r="4">
      <c r="A4" s="28">
        <f>ROW()-ROW(Table_sprites[N])</f>
        <v>2</v>
      </c>
      <c r="B4" s="28" t="s">
        <v>267</v>
      </c>
      <c r="C4" s="28" t="s">
        <v>268</v>
      </c>
    </row>
    <row r="5">
      <c r="A5" s="28">
        <f>ROW()-ROW(Table_sprites[N])</f>
        <v>3</v>
      </c>
      <c r="B5" s="28" t="s">
        <v>269</v>
      </c>
      <c r="C5" s="28" t="s">
        <v>270</v>
      </c>
    </row>
    <row r="6">
      <c r="A6" s="28">
        <f>ROW()-ROW(Table_sprites[N])</f>
        <v>4</v>
      </c>
      <c r="B6" s="28" t="s">
        <v>271</v>
      </c>
      <c r="C6" s="28" t="s">
        <v>272</v>
      </c>
    </row>
    <row r="7">
      <c r="A7" s="28">
        <f>ROW()-ROW(Table_sprites[N])</f>
        <v>5</v>
      </c>
      <c r="B7" s="28" t="s">
        <v>273</v>
      </c>
      <c r="C7" s="28" t="s">
        <v>274</v>
      </c>
    </row>
    <row r="8">
      <c r="A8" s="28">
        <f>ROW()-ROW(Table_sprites[N])</f>
        <v>6</v>
      </c>
      <c r="B8" s="28" t="s">
        <v>275</v>
      </c>
      <c r="C8" s="28" t="s">
        <v>276</v>
      </c>
    </row>
    <row r="9">
      <c r="A9" s="28">
        <f>ROW()-ROW(Table_sprites[N])</f>
        <v>7</v>
      </c>
      <c r="B9" s="28" t="s">
        <v>277</v>
      </c>
      <c r="C9" s="28" t="s">
        <v>278</v>
      </c>
    </row>
    <row r="10">
      <c r="A10" s="28">
        <f>ROW()-ROW(Table_sprites[N])</f>
        <v>8</v>
      </c>
      <c r="B10" s="28" t="s">
        <v>279</v>
      </c>
      <c r="C10" s="28" t="s">
        <v>280</v>
      </c>
    </row>
    <row r="11">
      <c r="A11" s="28">
        <f>ROW()-ROW(Table_sprites[N])</f>
        <v>9</v>
      </c>
      <c r="B11" s="28" t="s">
        <v>281</v>
      </c>
      <c r="C11" s="28" t="s">
        <v>282</v>
      </c>
    </row>
    <row r="12">
      <c r="A12" s="28">
        <f>ROW()-ROW(Table_sprites[N])</f>
        <v>10</v>
      </c>
      <c r="B12" s="28" t="s">
        <v>215</v>
      </c>
      <c r="C12" s="28" t="s">
        <v>283</v>
      </c>
    </row>
    <row r="13">
      <c r="A13" s="28">
        <f>ROW()-ROW(Table_sprites[N])</f>
        <v>11</v>
      </c>
      <c r="B13" s="28" t="s">
        <v>219</v>
      </c>
      <c r="C13" s="28" t="s">
        <v>284</v>
      </c>
    </row>
    <row r="14">
      <c r="A14" s="28">
        <f>ROW()-ROW(Table_sprites[N])</f>
        <v>12</v>
      </c>
      <c r="B14" s="28" t="s">
        <v>221</v>
      </c>
      <c r="C14" s="28" t="s">
        <v>285</v>
      </c>
    </row>
    <row r="15">
      <c r="A15" s="28">
        <f>ROW()-ROW(Table_sprites[N])</f>
        <v>13</v>
      </c>
      <c r="B15" s="28" t="s">
        <v>223</v>
      </c>
      <c r="C15" s="28" t="s">
        <v>286</v>
      </c>
    </row>
    <row r="16">
      <c r="A16" s="28">
        <f>ROW()-ROW(Table_sprites[N])</f>
        <v>14</v>
      </c>
      <c r="B16" s="28" t="s">
        <v>287</v>
      </c>
      <c r="C16" s="28" t="s">
        <v>288</v>
      </c>
    </row>
    <row r="17">
      <c r="A17" s="28">
        <f>ROW()-ROW(Table_sprites[N])</f>
        <v>15</v>
      </c>
      <c r="B17" s="28" t="s">
        <v>226</v>
      </c>
      <c r="C17" s="28" t="s">
        <v>226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4.86"/>
    <col customWidth="1" min="3" max="3" width="43.71"/>
    <col customWidth="1" min="4" max="4" width="41.86"/>
    <col customWidth="1" min="5" max="5" width="20.71"/>
    <col customWidth="1" min="6" max="6" width="40.57"/>
    <col customWidth="1" min="7" max="8" width="21.29"/>
    <col customWidth="1" min="9" max="10" width="32.57"/>
  </cols>
  <sheetData>
    <row r="1">
      <c r="A1" s="19" t="s">
        <v>0</v>
      </c>
      <c r="B1" s="19" t="s">
        <v>289</v>
      </c>
      <c r="C1" s="21" t="s">
        <v>290</v>
      </c>
      <c r="D1" s="21" t="s">
        <v>291</v>
      </c>
    </row>
    <row r="2">
      <c r="A2" s="28">
        <f>ROW()-ROW(Table_Dialogs[N])</f>
        <v>0</v>
      </c>
      <c r="B2" s="28" t="s">
        <v>240</v>
      </c>
      <c r="C2" s="33" t="s">
        <v>200</v>
      </c>
      <c r="D2" s="31" t="s">
        <v>292</v>
      </c>
    </row>
    <row r="3">
      <c r="A3" s="28">
        <f>ROW()-ROW(Table_Dialogs[N])</f>
        <v>1</v>
      </c>
      <c r="B3" s="28" t="s">
        <v>245</v>
      </c>
      <c r="C3" s="33" t="s">
        <v>200</v>
      </c>
      <c r="D3" s="31" t="s">
        <v>293</v>
      </c>
    </row>
    <row r="4">
      <c r="A4" s="28">
        <f>ROW()-ROW(Table_Dialogs[N])</f>
        <v>2</v>
      </c>
      <c r="B4" s="28" t="s">
        <v>294</v>
      </c>
      <c r="C4" s="33" t="s">
        <v>200</v>
      </c>
      <c r="D4" s="31" t="s">
        <v>292</v>
      </c>
    </row>
    <row r="6">
      <c r="A6" s="19" t="s">
        <v>0</v>
      </c>
      <c r="B6" s="19" t="s">
        <v>295</v>
      </c>
      <c r="C6" s="19" t="s">
        <v>228</v>
      </c>
      <c r="D6" s="21" t="s">
        <v>296</v>
      </c>
      <c r="E6" s="21" t="s">
        <v>297</v>
      </c>
      <c r="F6" s="21" t="s">
        <v>298</v>
      </c>
    </row>
    <row r="7">
      <c r="A7" s="28">
        <f>ROW()-ROW(Table_Dialog_Options[N])</f>
        <v>0</v>
      </c>
      <c r="B7" s="28" t="s">
        <v>292</v>
      </c>
      <c r="C7" s="29" t="s">
        <v>236</v>
      </c>
      <c r="D7" s="29" t="s">
        <v>236</v>
      </c>
      <c r="E7" s="30" t="s">
        <v>240</v>
      </c>
      <c r="F7" s="29" t="s">
        <v>241</v>
      </c>
    </row>
    <row r="8">
      <c r="A8" s="28">
        <f>ROW()-ROW(Table_Dialog_Options[N])</f>
        <v>1</v>
      </c>
      <c r="B8" s="28" t="s">
        <v>293</v>
      </c>
      <c r="C8" s="29" t="s">
        <v>236</v>
      </c>
      <c r="D8" s="29" t="s">
        <v>236</v>
      </c>
      <c r="E8" s="30" t="s">
        <v>240</v>
      </c>
      <c r="F8" s="29" t="s">
        <v>241</v>
      </c>
    </row>
    <row r="9">
      <c r="A9" s="28">
        <f>ROW()-ROW(Table_Dialog_Options[N])</f>
        <v>2</v>
      </c>
      <c r="B9" s="28" t="s">
        <v>299</v>
      </c>
      <c r="C9" s="29" t="s">
        <v>236</v>
      </c>
      <c r="D9" s="29" t="s">
        <v>236</v>
      </c>
      <c r="E9" s="30" t="s">
        <v>240</v>
      </c>
      <c r="F9" s="29" t="s">
        <v>241</v>
      </c>
    </row>
    <row r="11">
      <c r="A11" s="36"/>
      <c r="B11" s="36"/>
      <c r="C11" s="36"/>
      <c r="D11" s="36"/>
      <c r="E11" s="36"/>
      <c r="F11" s="36"/>
    </row>
    <row r="12">
      <c r="A12" s="36"/>
      <c r="B12" s="36"/>
      <c r="C12" s="36"/>
      <c r="D12" s="36"/>
      <c r="E12" s="36"/>
      <c r="F12" s="36"/>
    </row>
    <row r="13">
      <c r="A13" s="36"/>
      <c r="B13" s="36"/>
      <c r="C13" s="36"/>
      <c r="D13" s="36"/>
      <c r="E13" s="36"/>
      <c r="F13" s="36"/>
    </row>
    <row r="14">
      <c r="A14" s="36"/>
      <c r="B14" s="36"/>
      <c r="C14" s="36"/>
      <c r="D14" s="36"/>
      <c r="E14" s="36"/>
      <c r="F14" s="36"/>
    </row>
    <row r="15">
      <c r="A15" s="36"/>
      <c r="B15" s="36"/>
      <c r="C15" s="36"/>
      <c r="D15" s="36"/>
      <c r="E15" s="36"/>
      <c r="F15" s="36"/>
    </row>
    <row r="16">
      <c r="A16" s="36"/>
      <c r="B16" s="36"/>
      <c r="C16" s="36"/>
      <c r="D16" s="36"/>
      <c r="E16" s="36"/>
      <c r="F16" s="36"/>
    </row>
  </sheetData>
  <dataValidations>
    <dataValidation type="list" allowBlank="1" sqref="E7:E9">
      <formula1>Table_Dialogs[DIALOG_ID]</formula1>
    </dataValidation>
    <dataValidation type="list" allowBlank="1" sqref="C2:C4">
      <formula1>#REF!</formula1>
    </dataValidation>
    <dataValidation type="list" allowBlank="1" sqref="F7:F9">
      <formula1>#REF!</formula1>
    </dataValidation>
    <dataValidation type="list" allowBlank="1" sqref="C7:C9">
      <formula1>#REF!</formula1>
    </dataValidation>
    <dataValidation type="list" allowBlank="1" sqref="D2:D4">
      <formula1>#REF!</formula1>
    </dataValidation>
    <dataValidation type="list" allowBlank="1" sqref="D7:D9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18.14"/>
    <col customWidth="1" min="4" max="4" width="18.86"/>
  </cols>
  <sheetData>
    <row r="1">
      <c r="A1" s="37" t="s">
        <v>0</v>
      </c>
      <c r="B1" s="38" t="s">
        <v>300</v>
      </c>
      <c r="C1" s="37" t="s">
        <v>301</v>
      </c>
      <c r="D1" s="37" t="s">
        <v>302</v>
      </c>
    </row>
    <row r="2">
      <c r="A2" s="22">
        <f>ROW()-ROW(Table_Name[NAME_ID])</f>
        <v>0</v>
      </c>
      <c r="B2" s="22" t="s">
        <v>201</v>
      </c>
      <c r="C2" s="39"/>
      <c r="D2" s="39"/>
    </row>
    <row r="3">
      <c r="A3" s="22">
        <f>ROW()-ROW(Table_Name[NAME_ID])</f>
        <v>1</v>
      </c>
      <c r="B3" s="22" t="s">
        <v>206</v>
      </c>
      <c r="C3" s="22" t="s">
        <v>303</v>
      </c>
      <c r="D3" s="22" t="s">
        <v>303</v>
      </c>
    </row>
    <row r="4">
      <c r="A4" s="22">
        <f>ROW()-ROW(Table_Name[NAME_ID])</f>
        <v>2</v>
      </c>
      <c r="B4" s="22" t="s">
        <v>209</v>
      </c>
      <c r="C4" s="22" t="s">
        <v>304</v>
      </c>
      <c r="D4" s="22" t="s">
        <v>305</v>
      </c>
    </row>
    <row r="5">
      <c r="A5" s="22">
        <f>ROW()-ROW(Table_Name[NAME_ID])</f>
        <v>3</v>
      </c>
      <c r="B5" s="22" t="s">
        <v>211</v>
      </c>
      <c r="C5" s="22" t="s">
        <v>306</v>
      </c>
      <c r="D5" s="22" t="s">
        <v>307</v>
      </c>
    </row>
    <row r="6">
      <c r="A6" s="22">
        <f>ROW()-ROW(Table_Name[NAME_ID])</f>
        <v>4</v>
      </c>
      <c r="B6" s="22" t="s">
        <v>308</v>
      </c>
      <c r="C6" s="22" t="s">
        <v>309</v>
      </c>
      <c r="D6" s="22" t="s">
        <v>310</v>
      </c>
    </row>
    <row r="7">
      <c r="A7" s="22">
        <f>ROW()-ROW(Table_Name[NAME_ID])</f>
        <v>5</v>
      </c>
      <c r="B7" s="22" t="s">
        <v>311</v>
      </c>
      <c r="C7" s="22" t="s">
        <v>312</v>
      </c>
      <c r="D7" s="22" t="s">
        <v>313</v>
      </c>
    </row>
    <row r="8">
      <c r="A8" s="22">
        <f>ROW()-ROW(Table_Name[NAME_ID])</f>
        <v>6</v>
      </c>
      <c r="B8" s="22" t="s">
        <v>314</v>
      </c>
      <c r="C8" s="22" t="s">
        <v>315</v>
      </c>
      <c r="D8" s="22" t="s">
        <v>316</v>
      </c>
    </row>
    <row r="9">
      <c r="A9" s="22">
        <f>ROW()-ROW(Table_Name[NAME_ID])</f>
        <v>7</v>
      </c>
      <c r="B9" s="22" t="s">
        <v>317</v>
      </c>
      <c r="C9" s="22" t="s">
        <v>318</v>
      </c>
      <c r="D9" s="22" t="s">
        <v>319</v>
      </c>
    </row>
    <row r="10">
      <c r="A10" s="22">
        <f>ROW()-ROW(Table_Name[NAME_ID])</f>
        <v>8</v>
      </c>
      <c r="B10" s="22" t="s">
        <v>213</v>
      </c>
      <c r="C10" s="22" t="s">
        <v>320</v>
      </c>
      <c r="D10" s="22" t="s">
        <v>321</v>
      </c>
    </row>
    <row r="11">
      <c r="A11" s="22">
        <f>ROW()-ROW(Table_Name[NAME_ID])</f>
        <v>9</v>
      </c>
      <c r="B11" s="22" t="s">
        <v>218</v>
      </c>
      <c r="C11" s="22" t="s">
        <v>322</v>
      </c>
      <c r="D11" s="22" t="s">
        <v>323</v>
      </c>
    </row>
    <row r="12">
      <c r="A12" s="22">
        <f>ROW()-ROW(Table_Name[NAME_ID])</f>
        <v>10</v>
      </c>
      <c r="B12" s="22" t="s">
        <v>225</v>
      </c>
      <c r="C12" s="22" t="s">
        <v>324</v>
      </c>
      <c r="D12" s="22" t="s">
        <v>325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5.71"/>
    <col customWidth="1" min="8" max="8" width="32.86"/>
    <col customWidth="1" min="9" max="9" width="24.14"/>
  </cols>
  <sheetData>
    <row r="1">
      <c r="A1" s="19" t="s">
        <v>0</v>
      </c>
      <c r="B1" s="19" t="s">
        <v>326</v>
      </c>
      <c r="C1" s="20" t="s">
        <v>327</v>
      </c>
      <c r="D1" s="19" t="s">
        <v>328</v>
      </c>
      <c r="E1" s="21" t="s">
        <v>329</v>
      </c>
      <c r="F1" s="19" t="s">
        <v>330</v>
      </c>
      <c r="G1" s="20" t="s">
        <v>331</v>
      </c>
    </row>
    <row r="2">
      <c r="A2" s="28">
        <f>ROW()-ROW(Table_Phrases[N])</f>
        <v>0</v>
      </c>
      <c r="B2" s="28" t="s">
        <v>241</v>
      </c>
      <c r="C2" s="28">
        <v>0.0</v>
      </c>
      <c r="D2" s="28">
        <v>0.0</v>
      </c>
      <c r="E2" s="34" t="s">
        <v>332</v>
      </c>
      <c r="G2" s="28"/>
    </row>
    <row r="3">
      <c r="A3" s="28">
        <f>ROW()-ROW(Table_Phrases[N])</f>
        <v>1</v>
      </c>
      <c r="B3" s="28" t="s">
        <v>333</v>
      </c>
      <c r="C3" s="28">
        <v>0.0</v>
      </c>
      <c r="D3" s="28">
        <v>0.0</v>
      </c>
      <c r="E3" s="34" t="s">
        <v>334</v>
      </c>
      <c r="F3" s="28" t="s">
        <v>335</v>
      </c>
      <c r="G3" s="28" t="s">
        <v>336</v>
      </c>
    </row>
    <row r="4">
      <c r="A4" s="28">
        <f>ROW()-ROW(Table_Phrases[N])</f>
        <v>2</v>
      </c>
      <c r="B4" s="28" t="s">
        <v>337</v>
      </c>
      <c r="C4" s="28">
        <v>0.0</v>
      </c>
      <c r="D4" s="28">
        <v>0.0</v>
      </c>
      <c r="E4" s="34" t="s">
        <v>334</v>
      </c>
      <c r="F4" s="28" t="s">
        <v>338</v>
      </c>
      <c r="G4" s="28" t="s">
        <v>339</v>
      </c>
    </row>
    <row r="5">
      <c r="A5" s="28">
        <f>ROW()-ROW(Table_Phrases[N])</f>
        <v>3</v>
      </c>
      <c r="B5" s="28" t="s">
        <v>340</v>
      </c>
      <c r="C5" s="28">
        <v>0.0</v>
      </c>
      <c r="D5" s="28">
        <v>0.0</v>
      </c>
      <c r="E5" s="34" t="s">
        <v>334</v>
      </c>
      <c r="F5" s="28" t="s">
        <v>341</v>
      </c>
      <c r="G5" s="28" t="s">
        <v>342</v>
      </c>
    </row>
    <row r="6">
      <c r="A6" s="28">
        <f>ROW()-ROW(Table_Phrases[N])</f>
        <v>4</v>
      </c>
      <c r="B6" s="28" t="s">
        <v>343</v>
      </c>
      <c r="C6" s="28">
        <v>0.0</v>
      </c>
      <c r="D6" s="28">
        <v>0.0</v>
      </c>
      <c r="E6" s="34" t="s">
        <v>334</v>
      </c>
      <c r="F6" s="28" t="s">
        <v>344</v>
      </c>
      <c r="G6" s="28" t="s">
        <v>345</v>
      </c>
    </row>
    <row r="7">
      <c r="A7" s="28">
        <f>ROW()-ROW(Table_Phrases[N])</f>
        <v>5</v>
      </c>
      <c r="B7" s="28" t="s">
        <v>346</v>
      </c>
      <c r="C7" s="28">
        <v>0.0</v>
      </c>
      <c r="D7" s="28">
        <v>0.0</v>
      </c>
      <c r="E7" s="34" t="s">
        <v>334</v>
      </c>
      <c r="F7" s="28" t="s">
        <v>347</v>
      </c>
      <c r="G7" s="28" t="s">
        <v>348</v>
      </c>
    </row>
    <row r="8">
      <c r="A8" s="28">
        <f>ROW()-ROW(Table_Phrases[N])</f>
        <v>6</v>
      </c>
      <c r="B8" s="28" t="s">
        <v>349</v>
      </c>
      <c r="C8" s="28">
        <v>0.0</v>
      </c>
      <c r="D8" s="28">
        <v>0.0</v>
      </c>
      <c r="E8" s="34" t="s">
        <v>334</v>
      </c>
      <c r="F8" s="28" t="s">
        <v>350</v>
      </c>
      <c r="G8" s="28" t="s">
        <v>351</v>
      </c>
    </row>
    <row r="9">
      <c r="A9" s="28">
        <f>ROW()-ROW(Table_Phrases[N])</f>
        <v>7</v>
      </c>
      <c r="B9" s="28" t="s">
        <v>352</v>
      </c>
      <c r="C9" s="28">
        <v>0.0</v>
      </c>
      <c r="D9" s="28">
        <v>0.0</v>
      </c>
      <c r="E9" s="34" t="s">
        <v>334</v>
      </c>
      <c r="F9" s="28" t="s">
        <v>353</v>
      </c>
      <c r="G9" s="28" t="s">
        <v>354</v>
      </c>
    </row>
    <row r="10">
      <c r="A10" s="28">
        <f>ROW()-ROW(Table_Phrases[N])</f>
        <v>8</v>
      </c>
      <c r="B10" s="28" t="s">
        <v>355</v>
      </c>
      <c r="C10" s="28">
        <v>0.0</v>
      </c>
      <c r="D10" s="28">
        <v>0.0</v>
      </c>
      <c r="E10" s="34" t="s">
        <v>332</v>
      </c>
      <c r="F10" s="28" t="s">
        <v>356</v>
      </c>
      <c r="G10" s="28" t="s">
        <v>357</v>
      </c>
    </row>
    <row r="11">
      <c r="A11" s="28">
        <f>ROW()-ROW(Table_Phrases[N])</f>
        <v>9</v>
      </c>
      <c r="B11" s="28" t="s">
        <v>246</v>
      </c>
      <c r="C11" s="28">
        <v>0.0</v>
      </c>
      <c r="D11" s="28">
        <v>0.0</v>
      </c>
      <c r="E11" s="34" t="s">
        <v>334</v>
      </c>
      <c r="F11" s="28" t="s">
        <v>358</v>
      </c>
      <c r="G11" s="28" t="s">
        <v>359</v>
      </c>
    </row>
  </sheetData>
  <dataValidations>
    <dataValidation type="list" allowBlank="1" sqref="E2:E11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5.14"/>
    <col customWidth="1" min="3" max="3" width="25.57"/>
    <col customWidth="1" min="4" max="5" width="29.86"/>
    <col customWidth="1" min="6" max="6" width="34.57"/>
    <col customWidth="1" min="7" max="7" width="35.71"/>
    <col customWidth="1" min="8" max="8" width="42.86"/>
    <col customWidth="1" min="9" max="9" width="31.71"/>
  </cols>
  <sheetData>
    <row r="1">
      <c r="A1" s="19" t="s">
        <v>0</v>
      </c>
      <c r="B1" s="19" t="s">
        <v>360</v>
      </c>
      <c r="C1" s="21" t="s">
        <v>361</v>
      </c>
      <c r="D1" s="21" t="s">
        <v>362</v>
      </c>
      <c r="E1" s="21" t="s">
        <v>363</v>
      </c>
      <c r="F1" s="21" t="s">
        <v>364</v>
      </c>
      <c r="G1" s="21" t="s">
        <v>365</v>
      </c>
      <c r="H1" s="21" t="s">
        <v>366</v>
      </c>
    </row>
    <row r="2" ht="186.0" customHeight="1">
      <c r="A2" s="22">
        <f t="shared" ref="A2:A4" si="1">ROW()-ROW($A$2)-1</f>
        <v>-1</v>
      </c>
      <c r="B2" s="22" t="s">
        <v>367</v>
      </c>
      <c r="C2" s="40" t="str">
        <f>IFERROR(__xludf.DUMMYFUNCTION("ARRAYFORMULA(
TEXTJOIN(""|"",TRUE,
UNIQUE(TRANSPOSE(
SPLIT(TEXTJOIN("", "",TRUE,
F2
),"", "")
))
)
)"),"SPRITE_NONE")</f>
        <v>SPRITE_NONE</v>
      </c>
      <c r="D2" s="40" t="str">
        <f t="shared" ref="D2:D4" si="2">SUBSTITUTE(H2,", ","|")</f>
        <v>PHRASE_NONSENSE</v>
      </c>
      <c r="E2" s="40" t="str">
        <f>IFERROR(__xludf.DUMMYFUNCTION("ARRAYFORMULA(
TEXTJOIN(""|"",TRUE,
UNIQUE(TRANSPOSE(
SPLIT(TEXTJOIN("", "",TRUE,
G2
),"", "")
))
)
)"),"ITEM_NONE")</f>
        <v>ITEM_NONE</v>
      </c>
      <c r="F2" s="27" t="s">
        <v>203</v>
      </c>
      <c r="G2" s="27" t="s">
        <v>200</v>
      </c>
      <c r="H2" s="27" t="s">
        <v>333</v>
      </c>
    </row>
    <row r="3" ht="98.25" customHeight="1">
      <c r="A3" s="22">
        <f t="shared" si="1"/>
        <v>0</v>
      </c>
      <c r="B3" s="22" t="s">
        <v>368</v>
      </c>
      <c r="C3" s="40" t="str">
        <f>IFERROR(__xludf.DUMMYFUNCTION("ARRAYFORMULA(
TEXTJOIN(""|"",TRUE,
UNIQUE(TRANSPOSE(
SPLIT(TEXTJOIN("", "",TRUE,
F3
),"", "")
))
)
)"),"BACKGROUND_ROOM1|SPRITE_ROOM1_DECO_TABLE")</f>
        <v>BACKGROUND_ROOM1|SPRITE_ROOM1_DECO_TABLE</v>
      </c>
      <c r="D3" s="40" t="str">
        <f t="shared" si="2"/>
        <v>PHRASE_NONSENSE</v>
      </c>
      <c r="E3" s="40" t="str">
        <f>IFERROR(__xludf.DUMMYFUNCTION("ARRAYFORMULA(
TEXTJOIN(""|"",TRUE,
UNIQUE(TRANSPOSE(
SPLIT(TEXTJOIN("", "",TRUE,
G3
),"", "")
))
)
)"),"ITEM_VICTIM|ITEM_WITNESS1|ITEM_WITNESS2|ITEM_WITNESS3")</f>
        <v>ITEM_VICTIM|ITEM_WITNESS1|ITEM_WITNESS2|ITEM_WITNESS3</v>
      </c>
      <c r="F3" s="27" t="s">
        <v>369</v>
      </c>
      <c r="G3" s="27" t="s">
        <v>370</v>
      </c>
      <c r="H3" s="27" t="s">
        <v>333</v>
      </c>
    </row>
    <row r="4">
      <c r="A4" s="22">
        <f t="shared" si="1"/>
        <v>1</v>
      </c>
      <c r="B4" s="22" t="s">
        <v>371</v>
      </c>
      <c r="C4" s="40" t="str">
        <f>IFERROR(__xludf.DUMMYFUNCTION("ARRAYFORMULA(
TEXTJOIN(""|"",TRUE,
UNIQUE(TRANSPOSE(
SPLIT(TEXTJOIN("", "",TRUE,
F4
),"", "")
))
)
)"),"SPRITE_LAST")</f>
        <v>SPRITE_LAST</v>
      </c>
      <c r="D4" s="40" t="str">
        <f t="shared" si="2"/>
        <v>PHRASE_NONSENSE</v>
      </c>
      <c r="E4" s="40" t="str">
        <f>IFERROR(__xludf.DUMMYFUNCTION("ARRAYFORMULA(
TEXTJOIN(""|"",TRUE,
UNIQUE(TRANSPOSE(
SPLIT(TEXTJOIN("", "",TRUE,
G4
),"", "")
))
)
)"),"ITEM_LAST")</f>
        <v>ITEM_LAST</v>
      </c>
      <c r="F4" s="27" t="s">
        <v>226</v>
      </c>
      <c r="G4" s="27" t="s">
        <v>224</v>
      </c>
      <c r="H4" s="27" t="s">
        <v>333</v>
      </c>
    </row>
  </sheetData>
  <dataValidations>
    <dataValidation type="list" allowBlank="1" sqref="F2:H4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372</v>
      </c>
    </row>
    <row r="2">
      <c r="A2" s="28">
        <f>ROW()-ROW(Table_Characters[N])</f>
        <v>0</v>
      </c>
      <c r="B2" s="28" t="s">
        <v>237</v>
      </c>
    </row>
    <row r="3">
      <c r="A3" s="28">
        <f>ROW()-ROW(Table_Characters[N])</f>
        <v>1</v>
      </c>
      <c r="B3" s="28" t="s">
        <v>242</v>
      </c>
    </row>
    <row r="4">
      <c r="A4" s="28">
        <f>ROW()-ROW(Table_Characters[N])</f>
        <v>2</v>
      </c>
      <c r="B4" s="28" t="s">
        <v>373</v>
      </c>
    </row>
    <row r="5">
      <c r="A5" s="28">
        <f>ROW()-ROW(Table_Characters[N])</f>
        <v>3</v>
      </c>
      <c r="B5" s="28" t="s">
        <v>374</v>
      </c>
    </row>
    <row r="6">
      <c r="A6" s="10"/>
      <c r="B6" s="10"/>
    </row>
    <row r="7">
      <c r="A7" s="19" t="s">
        <v>0</v>
      </c>
      <c r="B7" s="19" t="s">
        <v>375</v>
      </c>
    </row>
    <row r="8">
      <c r="A8" s="28">
        <v>0.0</v>
      </c>
      <c r="B8" s="28" t="s">
        <v>244</v>
      </c>
    </row>
    <row r="9">
      <c r="A9" s="28">
        <v>1.0</v>
      </c>
      <c r="B9" s="28" t="s">
        <v>376</v>
      </c>
    </row>
    <row r="10">
      <c r="A10" s="28">
        <v>2.0</v>
      </c>
      <c r="B10" s="28" t="s">
        <v>239</v>
      </c>
    </row>
    <row r="11">
      <c r="A11" s="28">
        <v>3.0</v>
      </c>
      <c r="B11" s="28" t="s">
        <v>377</v>
      </c>
    </row>
    <row r="12">
      <c r="A12" s="28">
        <v>4.0</v>
      </c>
      <c r="B12" s="28" t="s">
        <v>378</v>
      </c>
    </row>
    <row r="13">
      <c r="A13" s="28">
        <v>5.0</v>
      </c>
      <c r="B13" s="28" t="s">
        <v>379</v>
      </c>
    </row>
    <row r="15">
      <c r="A15" s="19" t="s">
        <v>0</v>
      </c>
      <c r="B15" s="19" t="s">
        <v>380</v>
      </c>
    </row>
    <row r="16">
      <c r="A16" s="28">
        <f>ROW()-ROW(Table_Interaction[N])</f>
        <v>0</v>
      </c>
      <c r="B16" s="28" t="s">
        <v>238</v>
      </c>
    </row>
    <row r="17">
      <c r="A17" s="28">
        <f>ROW()-ROW(Table_Interaction[N])</f>
        <v>1</v>
      </c>
      <c r="B17" s="28" t="s">
        <v>381</v>
      </c>
    </row>
    <row r="18">
      <c r="A18" s="28">
        <f>ROW()-ROW(Table_Interaction[N])</f>
        <v>2</v>
      </c>
      <c r="B18" s="28" t="s">
        <v>382</v>
      </c>
    </row>
    <row r="19">
      <c r="A19" s="28">
        <f>ROW()-ROW(Table_Interaction[N])</f>
        <v>3</v>
      </c>
      <c r="B19" s="28" t="s">
        <v>383</v>
      </c>
    </row>
    <row r="20">
      <c r="A20" s="28">
        <f>ROW()-ROW(Table_Interaction[N])</f>
        <v>4</v>
      </c>
      <c r="B20" s="28" t="s">
        <v>243</v>
      </c>
    </row>
    <row r="21">
      <c r="A21" s="28">
        <f>ROW()-ROW(Table_Interaction[N])</f>
        <v>5</v>
      </c>
      <c r="B21" s="28" t="s">
        <v>384</v>
      </c>
    </row>
    <row r="23">
      <c r="A23" s="19" t="s">
        <v>0</v>
      </c>
      <c r="B23" s="19" t="s">
        <v>385</v>
      </c>
    </row>
    <row r="24">
      <c r="A24" s="28">
        <f>ROW()-ROW(Table_Unchain_Type[N])</f>
        <v>0</v>
      </c>
      <c r="B24" s="28" t="s">
        <v>386</v>
      </c>
    </row>
    <row r="25">
      <c r="A25" s="28">
        <f>ROW()-ROW(Table_Unchain_Type[N])</f>
        <v>1</v>
      </c>
      <c r="B25" s="28" t="s">
        <v>387</v>
      </c>
    </row>
    <row r="26">
      <c r="A26" s="28">
        <f>ROW()-ROW(Table_Unchain_Type[N])</f>
        <v>2</v>
      </c>
      <c r="B26" s="28" t="s">
        <v>388</v>
      </c>
    </row>
    <row r="27">
      <c r="A27" s="28">
        <f>ROW()-ROW(Table_Unchain_Type[N])</f>
        <v>3</v>
      </c>
      <c r="B27" s="28" t="s">
        <v>389</v>
      </c>
    </row>
    <row r="28">
      <c r="A28" s="28">
        <f>ROW()-ROW(Table_Unchain_Type[N])</f>
        <v>4</v>
      </c>
      <c r="B28" s="28" t="s">
        <v>390</v>
      </c>
    </row>
    <row r="29">
      <c r="A29" s="28">
        <f>ROW()-ROW(Table_Unchain_Type[N])</f>
        <v>5</v>
      </c>
      <c r="B29" s="28" t="s">
        <v>257</v>
      </c>
    </row>
    <row r="30">
      <c r="A30" s="28">
        <f>ROW()-ROW(Table_Unchain_Type[N])</f>
        <v>6</v>
      </c>
      <c r="B30" s="28" t="s">
        <v>391</v>
      </c>
    </row>
    <row r="31">
      <c r="A31" s="28">
        <f>ROW()-ROW(Table_Unchain_Type[N])</f>
        <v>7</v>
      </c>
      <c r="B31" s="28" t="s">
        <v>261</v>
      </c>
    </row>
    <row r="33">
      <c r="A33" s="19" t="s">
        <v>0</v>
      </c>
      <c r="B33" s="19" t="s">
        <v>392</v>
      </c>
    </row>
    <row r="34">
      <c r="A34" s="28">
        <v>0.0</v>
      </c>
      <c r="B34" s="28" t="s">
        <v>332</v>
      </c>
    </row>
    <row r="35">
      <c r="A35" s="28">
        <v>1.0</v>
      </c>
      <c r="B35" s="28" t="s">
        <v>334</v>
      </c>
    </row>
    <row r="37">
      <c r="A37" s="19" t="s">
        <v>0</v>
      </c>
      <c r="B37" s="19" t="s">
        <v>393</v>
      </c>
    </row>
    <row r="38">
      <c r="A38" s="28">
        <f>ROW()-ROW(Table_Item_Family_Type[N])</f>
        <v>0</v>
      </c>
      <c r="B38" s="28" t="s">
        <v>202</v>
      </c>
    </row>
    <row r="39">
      <c r="A39" s="28">
        <f>ROW()-ROW(Table_Item_Family_Type[N])</f>
        <v>1</v>
      </c>
      <c r="B39" s="19" t="s">
        <v>394</v>
      </c>
    </row>
    <row r="40">
      <c r="A40" s="28">
        <f>ROW()-ROW(Table_Item_Family_Type[N])</f>
        <v>2</v>
      </c>
      <c r="B40" s="19" t="s">
        <v>395</v>
      </c>
    </row>
    <row r="41">
      <c r="A41" s="28">
        <f>ROW()-ROW(Table_Item_Family_Type[N])</f>
        <v>3</v>
      </c>
      <c r="B41" s="19" t="s">
        <v>214</v>
      </c>
    </row>
    <row r="42">
      <c r="A42" s="28">
        <f>ROW()-ROW(Table_Item_Family_Type[N])</f>
        <v>4</v>
      </c>
      <c r="B42" s="19" t="s">
        <v>207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71.86"/>
    <col customWidth="1" min="7" max="7" width="21.71"/>
  </cols>
  <sheetData>
    <row r="1">
      <c r="A1" s="19" t="s">
        <v>0</v>
      </c>
      <c r="B1" s="19" t="s">
        <v>396</v>
      </c>
    </row>
    <row r="2">
      <c r="A2" s="28">
        <f t="shared" ref="A2:A4" si="1">ROW()-ROW($A$2)</f>
        <v>0</v>
      </c>
      <c r="B2" s="28" t="s">
        <v>236</v>
      </c>
    </row>
    <row r="3">
      <c r="A3" s="28">
        <f t="shared" si="1"/>
        <v>1</v>
      </c>
      <c r="B3" s="28" t="s">
        <v>258</v>
      </c>
    </row>
    <row r="4">
      <c r="A4" s="28">
        <f t="shared" si="1"/>
        <v>2</v>
      </c>
      <c r="B4" s="28" t="s">
        <v>397</v>
      </c>
    </row>
    <row r="6">
      <c r="A6" s="19" t="s">
        <v>0</v>
      </c>
      <c r="B6" s="19" t="s">
        <v>398</v>
      </c>
      <c r="C6" s="41" t="s">
        <v>193</v>
      </c>
      <c r="D6" s="41" t="s">
        <v>399</v>
      </c>
      <c r="E6" s="41" t="s">
        <v>400</v>
      </c>
    </row>
    <row r="7">
      <c r="A7" s="28">
        <f>ROW()-ROW(Table_Memento_Parent[N])</f>
        <v>0</v>
      </c>
      <c r="B7" s="28" t="s">
        <v>401</v>
      </c>
      <c r="C7" s="30" t="s">
        <v>201</v>
      </c>
      <c r="D7" s="30" t="s">
        <v>203</v>
      </c>
      <c r="E7" s="42" t="str">
        <f>IFERROR(__xludf.DUMMYFUNCTION("ArrayFormula(SUBSTITUTE(SUBSTITUTE(JOIN(""|"",UNIQUE(IF(Table_Memento[Parent]=B7,Table_Memento[MEMENTO_ID],""Ñ""))),""Ñ|"",""""),""|Ñ"",""""))"),"MEMENTO_NONE")</f>
        <v>MEMENTO_NONE</v>
      </c>
    </row>
    <row r="8">
      <c r="A8" s="28">
        <f>ROW()-ROW(Table_Memento_Parent[N])</f>
        <v>1</v>
      </c>
      <c r="B8" s="28" t="s">
        <v>402</v>
      </c>
      <c r="C8" s="30" t="s">
        <v>317</v>
      </c>
      <c r="D8" s="30" t="s">
        <v>215</v>
      </c>
      <c r="E8" s="42" t="str">
        <f>IFERROR(__xludf.DUMMYFUNCTION("ArrayFormula(SUBSTITUTE(SUBSTITUTE(JOIN(""|"",UNIQUE(IF(Table_Memento[Parent]=B8,Table_Memento[MEMENTO_ID],""Ñ""))),""Ñ|"",""""),""|Ñ"",""""))"),"MEMENTO_VICTIM_CASE_0")</f>
        <v>MEMENTO_VICTIM_CASE_0</v>
      </c>
    </row>
    <row r="9">
      <c r="A9" s="28">
        <f>ROW()-ROW(Table_Memento_Parent[N])</f>
        <v>2</v>
      </c>
      <c r="B9" s="28" t="s">
        <v>403</v>
      </c>
      <c r="C9" s="30" t="s">
        <v>225</v>
      </c>
      <c r="D9" s="30" t="s">
        <v>203</v>
      </c>
      <c r="E9" s="42" t="str">
        <f>IFERROR(__xludf.DUMMYFUNCTION("ArrayFormula(SUBSTITUTE(SUBSTITUTE(JOIN(""|"",UNIQUE(IF(Table_Memento[Parent]=B9,Table_Memento[MEMENTO_ID],""Ñ""))),""Ñ|"",""""),""|Ñ"",""""))"),"MEMENTO_LAST")</f>
        <v>MEMENTO_LAST</v>
      </c>
    </row>
    <row r="11">
      <c r="A11" s="19" t="s">
        <v>0</v>
      </c>
      <c r="B11" s="19" t="s">
        <v>404</v>
      </c>
      <c r="C11" s="43" t="s">
        <v>405</v>
      </c>
      <c r="D11" s="43" t="s">
        <v>406</v>
      </c>
      <c r="E11" s="41" t="s">
        <v>407</v>
      </c>
      <c r="F11" s="43" t="s">
        <v>408</v>
      </c>
      <c r="G11" s="43" t="s">
        <v>409</v>
      </c>
    </row>
    <row r="12">
      <c r="A12" s="28">
        <f>ROW()-ROW(Table_Memento[N])</f>
        <v>0</v>
      </c>
      <c r="B12" s="28" t="s">
        <v>259</v>
      </c>
      <c r="C12" s="34" t="s">
        <v>401</v>
      </c>
      <c r="D12" s="34" t="s">
        <v>241</v>
      </c>
      <c r="E12" s="44" t="s">
        <v>410</v>
      </c>
      <c r="F12" s="45" t="b">
        <v>0</v>
      </c>
      <c r="G12" s="45" t="b">
        <v>0</v>
      </c>
    </row>
    <row r="13">
      <c r="A13" s="28">
        <f>ROW()-ROW(Table_Memento[N])</f>
        <v>1</v>
      </c>
      <c r="B13" s="28" t="s">
        <v>262</v>
      </c>
      <c r="C13" s="34" t="s">
        <v>402</v>
      </c>
      <c r="D13" s="34" t="s">
        <v>355</v>
      </c>
      <c r="E13" s="44" t="s">
        <v>410</v>
      </c>
      <c r="F13" s="45" t="b">
        <v>1</v>
      </c>
      <c r="G13" s="45" t="b">
        <v>0</v>
      </c>
    </row>
    <row r="14">
      <c r="A14" s="28">
        <f>ROW()-ROW(Table_Memento[N])</f>
        <v>2</v>
      </c>
      <c r="B14" s="28" t="s">
        <v>411</v>
      </c>
      <c r="C14" s="34" t="s">
        <v>403</v>
      </c>
      <c r="D14" s="34" t="s">
        <v>241</v>
      </c>
      <c r="E14" s="44" t="s">
        <v>410</v>
      </c>
      <c r="F14" s="45" t="b">
        <v>0</v>
      </c>
      <c r="G14" s="45" t="b">
        <v>0</v>
      </c>
    </row>
    <row r="16">
      <c r="A16" s="19" t="s">
        <v>0</v>
      </c>
      <c r="B16" s="19" t="s">
        <v>412</v>
      </c>
      <c r="C16" s="21" t="s">
        <v>413</v>
      </c>
    </row>
    <row r="17">
      <c r="A17" s="28">
        <f>ROW()-ROW(Table_Memento_Combi[N])</f>
        <v>0</v>
      </c>
      <c r="B17" s="28" t="s">
        <v>410</v>
      </c>
      <c r="C17" s="46" t="s">
        <v>236</v>
      </c>
    </row>
    <row r="19">
      <c r="A19" s="19" t="s">
        <v>0</v>
      </c>
      <c r="B19" s="19" t="s">
        <v>414</v>
      </c>
    </row>
    <row r="20">
      <c r="A20" s="47">
        <f>ROW()-ROW(Table_EventsCombi[N])</f>
        <v>0</v>
      </c>
      <c r="B20" s="48" t="str">
        <f>IFERROR(__xludf.DUMMYFUNCTION("ArrayFormula(FLATTEN(Table_Events[EVENT_ID],""(NOT)""&amp;Table_Events[EVENT_ID]))"),"EVENT_NONE")</f>
        <v>EVENT_NONE</v>
      </c>
    </row>
    <row r="21">
      <c r="A21" s="47">
        <f>ROW()-ROW(Table_EventsCombi[N])</f>
        <v>1</v>
      </c>
      <c r="B21" s="48" t="str">
        <f>IFERROR(__xludf.DUMMYFUNCTION("""COMPUTED_VALUE"""),"EVENT_FIRST")</f>
        <v>EVENT_FIRST</v>
      </c>
    </row>
    <row r="22">
      <c r="A22" s="47">
        <f>ROW()-ROW(Table_EventsCombi[N])</f>
        <v>2</v>
      </c>
      <c r="B22" s="48" t="str">
        <f>IFERROR(__xludf.DUMMYFUNCTION("""COMPUTED_VALUE"""),"EVENT_LAST")</f>
        <v>EVENT_LAST</v>
      </c>
    </row>
    <row r="23">
      <c r="A23" s="47">
        <f>ROW()-ROW(Table_EventsCombi[N])</f>
        <v>3</v>
      </c>
      <c r="B23" s="48" t="str">
        <f>IFERROR(__xludf.DUMMYFUNCTION("""COMPUTED_VALUE"""),"(NOT)EVENT_NONE")</f>
        <v>(NOT)EVENT_NONE</v>
      </c>
    </row>
    <row r="24">
      <c r="A24" s="47">
        <f>ROW()-ROW(Table_EventsCombi[N])</f>
        <v>4</v>
      </c>
      <c r="B24" s="48" t="str">
        <f>IFERROR(__xludf.DUMMYFUNCTION("""COMPUTED_VALUE"""),"(NOT)EVENT_FIRST")</f>
        <v>(NOT)EVENT_FIRST</v>
      </c>
    </row>
    <row r="25">
      <c r="A25" s="47">
        <f>ROW()-ROW(Table_EventsCombi[N])</f>
        <v>5</v>
      </c>
      <c r="B25" s="48" t="str">
        <f>IFERROR(__xludf.DUMMYFUNCTION("""COMPUTED_VALUE"""),"(NOT)EVENT_LAST")</f>
        <v>(NOT)EVENT_LAST</v>
      </c>
    </row>
    <row r="26">
      <c r="A26" s="47">
        <f>ROW()-ROW(Table_EventsCombi[N])</f>
        <v>6</v>
      </c>
      <c r="B26" s="48"/>
    </row>
    <row r="27">
      <c r="A27" s="47">
        <f>ROW()-ROW(Table_EventsCombi[N])</f>
        <v>7</v>
      </c>
      <c r="B27" s="48"/>
    </row>
    <row r="28">
      <c r="A28" s="47">
        <f>ROW()-ROW(Table_EventsCombi[N])</f>
        <v>8</v>
      </c>
      <c r="B28" s="48"/>
    </row>
    <row r="29">
      <c r="A29" s="47">
        <f>ROW()-ROW(Table_EventsCombi[N])</f>
        <v>9</v>
      </c>
      <c r="B29" s="48"/>
    </row>
    <row r="30">
      <c r="A30" s="47">
        <f>ROW()-ROW(Table_EventsCombi[N])</f>
        <v>10</v>
      </c>
      <c r="B30" s="48"/>
    </row>
    <row r="31">
      <c r="A31" s="47">
        <f>ROW()-ROW(Table_EventsCombi[N])</f>
        <v>11</v>
      </c>
      <c r="B31" s="48"/>
    </row>
    <row r="32">
      <c r="A32" s="47">
        <f>ROW()-ROW(Table_EventsCombi[N])</f>
        <v>12</v>
      </c>
      <c r="B32" s="48"/>
    </row>
    <row r="33">
      <c r="A33" s="47">
        <f>ROW()-ROW(Table_EventsCombi[N])</f>
        <v>13</v>
      </c>
      <c r="B33" s="48"/>
    </row>
    <row r="34">
      <c r="A34" s="47">
        <f>ROW()-ROW(Table_EventsCombi[N])</f>
        <v>14</v>
      </c>
      <c r="B34" s="48"/>
    </row>
    <row r="35">
      <c r="A35" s="47">
        <f>ROW()-ROW(Table_EventsCombi[N])</f>
        <v>15</v>
      </c>
      <c r="B35" s="48"/>
    </row>
    <row r="36">
      <c r="A36" s="47">
        <f>ROW()-ROW(Table_EventsCombi[N])</f>
        <v>16</v>
      </c>
      <c r="B36" s="48"/>
    </row>
    <row r="37">
      <c r="A37" s="47">
        <f>ROW()-ROW(Table_EventsCombi[N])</f>
        <v>17</v>
      </c>
      <c r="B37" s="48"/>
    </row>
    <row r="38">
      <c r="A38" s="47">
        <f>ROW()-ROW(Table_EventsCombi[N])</f>
        <v>18</v>
      </c>
      <c r="B38" s="48"/>
    </row>
    <row r="39">
      <c r="A39" s="47">
        <f>ROW()-ROW(Table_EventsCombi[N])</f>
        <v>19</v>
      </c>
      <c r="B39" s="48"/>
    </row>
    <row r="40">
      <c r="A40" s="47">
        <f>ROW()-ROW(Table_EventsCombi[N])</f>
        <v>20</v>
      </c>
      <c r="B40" s="48"/>
    </row>
    <row r="41">
      <c r="A41" s="47">
        <f>ROW()-ROW(Table_EventsCombi[N])</f>
        <v>21</v>
      </c>
      <c r="B41" s="48"/>
    </row>
    <row r="42">
      <c r="A42" s="47">
        <f>ROW()-ROW(Table_EventsCombi[N])</f>
        <v>22</v>
      </c>
      <c r="B42" s="48"/>
    </row>
  </sheetData>
  <dataValidations>
    <dataValidation type="list" allowBlank="1" sqref="E12:E14">
      <formula1>#REF!</formula1>
    </dataValidation>
    <dataValidation type="list" allowBlank="1" sqref="C7:D9 C12:D14 C17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10" t="s">
        <v>0</v>
      </c>
      <c r="B1" s="10" t="s">
        <v>415</v>
      </c>
      <c r="C1" s="10" t="s">
        <v>416</v>
      </c>
    </row>
    <row r="2">
      <c r="A2" s="10">
        <f t="shared" ref="A2:A32" si="1">ROW()-ROW($G$2)</f>
        <v>0</v>
      </c>
      <c r="B2" s="49" t="str">
        <f t="shared" ref="B2:B32" si="2">OFFSET(#REF!,A2,0)</f>
        <v>#REF!</v>
      </c>
      <c r="C2" s="10" t="s">
        <v>417</v>
      </c>
    </row>
    <row r="3">
      <c r="A3" s="10">
        <f t="shared" si="1"/>
        <v>1</v>
      </c>
      <c r="B3" s="49" t="str">
        <f t="shared" si="2"/>
        <v>#REF!</v>
      </c>
      <c r="C3" s="10" t="s">
        <v>417</v>
      </c>
    </row>
    <row r="4">
      <c r="A4" s="10">
        <f t="shared" si="1"/>
        <v>2</v>
      </c>
      <c r="B4" s="49" t="str">
        <f t="shared" si="2"/>
        <v>#REF!</v>
      </c>
      <c r="C4" s="10" t="s">
        <v>417</v>
      </c>
    </row>
    <row r="5">
      <c r="A5" s="10">
        <f t="shared" si="1"/>
        <v>3</v>
      </c>
      <c r="B5" s="49" t="str">
        <f t="shared" si="2"/>
        <v>#REF!</v>
      </c>
      <c r="C5" s="10" t="s">
        <v>417</v>
      </c>
    </row>
    <row r="6">
      <c r="A6" s="10">
        <f t="shared" si="1"/>
        <v>4</v>
      </c>
      <c r="B6" s="49" t="str">
        <f t="shared" si="2"/>
        <v>#REF!</v>
      </c>
      <c r="C6" s="49"/>
    </row>
    <row r="7">
      <c r="A7" s="10">
        <f t="shared" si="1"/>
        <v>5</v>
      </c>
      <c r="B7" s="49" t="str">
        <f t="shared" si="2"/>
        <v>#REF!</v>
      </c>
      <c r="C7" s="49"/>
    </row>
    <row r="8">
      <c r="A8" s="10">
        <f t="shared" si="1"/>
        <v>6</v>
      </c>
      <c r="B8" s="49" t="str">
        <f t="shared" si="2"/>
        <v>#REF!</v>
      </c>
      <c r="C8" s="49"/>
    </row>
    <row r="9">
      <c r="A9" s="10">
        <f t="shared" si="1"/>
        <v>7</v>
      </c>
      <c r="B9" s="49" t="str">
        <f t="shared" si="2"/>
        <v>#REF!</v>
      </c>
      <c r="C9" s="49"/>
    </row>
    <row r="10">
      <c r="A10" s="10">
        <f t="shared" si="1"/>
        <v>8</v>
      </c>
      <c r="B10" s="49" t="str">
        <f t="shared" si="2"/>
        <v>#REF!</v>
      </c>
      <c r="C10" s="49"/>
    </row>
    <row r="11">
      <c r="A11" s="10">
        <f t="shared" si="1"/>
        <v>9</v>
      </c>
      <c r="B11" s="49" t="str">
        <f t="shared" si="2"/>
        <v>#REF!</v>
      </c>
      <c r="C11" s="49"/>
    </row>
    <row r="12">
      <c r="A12" s="10">
        <f t="shared" si="1"/>
        <v>10</v>
      </c>
      <c r="B12" s="49" t="str">
        <f t="shared" si="2"/>
        <v>#REF!</v>
      </c>
      <c r="C12" s="49"/>
    </row>
    <row r="13">
      <c r="A13" s="10">
        <f t="shared" si="1"/>
        <v>11</v>
      </c>
      <c r="B13" s="49" t="str">
        <f t="shared" si="2"/>
        <v>#REF!</v>
      </c>
      <c r="C13" s="49"/>
    </row>
    <row r="14">
      <c r="A14" s="10">
        <f t="shared" si="1"/>
        <v>12</v>
      </c>
      <c r="B14" s="49" t="str">
        <f t="shared" si="2"/>
        <v>#REF!</v>
      </c>
      <c r="C14" s="49"/>
    </row>
    <row r="15">
      <c r="A15" s="10">
        <f t="shared" si="1"/>
        <v>13</v>
      </c>
      <c r="B15" s="49" t="str">
        <f t="shared" si="2"/>
        <v>#REF!</v>
      </c>
      <c r="C15" s="49"/>
    </row>
    <row r="16">
      <c r="A16" s="10">
        <f t="shared" si="1"/>
        <v>14</v>
      </c>
      <c r="B16" s="49" t="str">
        <f t="shared" si="2"/>
        <v>#REF!</v>
      </c>
      <c r="C16" s="49"/>
    </row>
    <row r="17">
      <c r="A17" s="10">
        <f t="shared" si="1"/>
        <v>15</v>
      </c>
      <c r="B17" s="49" t="str">
        <f t="shared" si="2"/>
        <v>#REF!</v>
      </c>
      <c r="C17" s="49"/>
    </row>
    <row r="18">
      <c r="A18" s="10">
        <f t="shared" si="1"/>
        <v>16</v>
      </c>
      <c r="B18" s="49" t="str">
        <f t="shared" si="2"/>
        <v>#REF!</v>
      </c>
      <c r="C18" s="49"/>
    </row>
    <row r="19">
      <c r="A19" s="10">
        <f t="shared" si="1"/>
        <v>17</v>
      </c>
      <c r="B19" s="49" t="str">
        <f t="shared" si="2"/>
        <v>#REF!</v>
      </c>
      <c r="C19" s="49"/>
    </row>
    <row r="20">
      <c r="A20" s="10">
        <f t="shared" si="1"/>
        <v>18</v>
      </c>
      <c r="B20" s="49" t="str">
        <f t="shared" si="2"/>
        <v>#REF!</v>
      </c>
      <c r="C20" s="49"/>
    </row>
    <row r="21">
      <c r="A21" s="10">
        <f t="shared" si="1"/>
        <v>19</v>
      </c>
      <c r="B21" s="49" t="str">
        <f t="shared" si="2"/>
        <v>#REF!</v>
      </c>
      <c r="C21" s="49"/>
    </row>
    <row r="22">
      <c r="A22" s="10">
        <f t="shared" si="1"/>
        <v>20</v>
      </c>
      <c r="B22" s="49" t="str">
        <f t="shared" si="2"/>
        <v>#REF!</v>
      </c>
      <c r="C22" s="49"/>
    </row>
    <row r="23">
      <c r="A23" s="10">
        <f t="shared" si="1"/>
        <v>21</v>
      </c>
      <c r="B23" s="49" t="str">
        <f t="shared" si="2"/>
        <v>#REF!</v>
      </c>
      <c r="C23" s="49"/>
    </row>
    <row r="24">
      <c r="A24" s="10">
        <f t="shared" si="1"/>
        <v>22</v>
      </c>
      <c r="B24" s="49" t="str">
        <f t="shared" si="2"/>
        <v>#REF!</v>
      </c>
      <c r="C24" s="49"/>
    </row>
    <row r="25">
      <c r="A25" s="10">
        <f t="shared" si="1"/>
        <v>23</v>
      </c>
      <c r="B25" s="49" t="str">
        <f t="shared" si="2"/>
        <v>#REF!</v>
      </c>
      <c r="C25" s="49"/>
    </row>
    <row r="26">
      <c r="A26" s="10">
        <f t="shared" si="1"/>
        <v>24</v>
      </c>
      <c r="B26" s="49" t="str">
        <f t="shared" si="2"/>
        <v>#REF!</v>
      </c>
      <c r="C26" s="49"/>
    </row>
    <row r="27">
      <c r="A27" s="10">
        <f t="shared" si="1"/>
        <v>25</v>
      </c>
      <c r="B27" s="49" t="str">
        <f t="shared" si="2"/>
        <v>#REF!</v>
      </c>
      <c r="C27" s="49"/>
    </row>
    <row r="28">
      <c r="A28" s="10">
        <f t="shared" si="1"/>
        <v>26</v>
      </c>
      <c r="B28" s="49" t="str">
        <f t="shared" si="2"/>
        <v>#REF!</v>
      </c>
      <c r="C28" s="49"/>
    </row>
    <row r="29">
      <c r="A29" s="10">
        <f t="shared" si="1"/>
        <v>27</v>
      </c>
      <c r="B29" s="49" t="str">
        <f t="shared" si="2"/>
        <v>#REF!</v>
      </c>
      <c r="C29" s="49"/>
    </row>
    <row r="30">
      <c r="A30" s="10">
        <f t="shared" si="1"/>
        <v>28</v>
      </c>
      <c r="B30" s="49" t="str">
        <f t="shared" si="2"/>
        <v>#REF!</v>
      </c>
      <c r="C30" s="49"/>
    </row>
    <row r="31">
      <c r="A31" s="10">
        <f t="shared" si="1"/>
        <v>29</v>
      </c>
      <c r="B31" s="49" t="str">
        <f t="shared" si="2"/>
        <v>#REF!</v>
      </c>
      <c r="C31" s="49"/>
    </row>
    <row r="32">
      <c r="A32" s="10">
        <f t="shared" si="1"/>
        <v>30</v>
      </c>
      <c r="B32" s="49" t="str">
        <f t="shared" si="2"/>
        <v>#REF!</v>
      </c>
      <c r="C32" s="49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418</v>
      </c>
      <c r="B1" s="19" t="s">
        <v>419</v>
      </c>
      <c r="C1" s="19" t="s">
        <v>420</v>
      </c>
      <c r="D1" s="19" t="s">
        <v>421</v>
      </c>
    </row>
    <row r="2">
      <c r="A2" s="28" t="s">
        <v>422</v>
      </c>
      <c r="B2" s="50">
        <v>1.0</v>
      </c>
      <c r="C2" s="28" t="b">
        <v>1</v>
      </c>
      <c r="D2" s="28" t="b">
        <v>1</v>
      </c>
    </row>
    <row r="3">
      <c r="A3" s="28" t="s">
        <v>423</v>
      </c>
      <c r="B3" s="50">
        <v>1.0</v>
      </c>
      <c r="C3" s="28" t="b">
        <v>0</v>
      </c>
      <c r="D3" s="28" t="b">
        <v>1</v>
      </c>
    </row>
    <row r="4">
      <c r="A4" s="28" t="s">
        <v>424</v>
      </c>
      <c r="B4" s="50">
        <v>3.0</v>
      </c>
      <c r="C4" s="28" t="b">
        <v>1</v>
      </c>
      <c r="D4" s="28" t="b">
        <v>1</v>
      </c>
    </row>
    <row r="5">
      <c r="A5" s="28" t="s">
        <v>425</v>
      </c>
      <c r="B5" s="50">
        <v>1.0</v>
      </c>
      <c r="C5" s="28" t="b">
        <v>1</v>
      </c>
      <c r="D5" s="28" t="b">
        <v>1</v>
      </c>
    </row>
    <row r="6">
      <c r="A6" s="28" t="s">
        <v>426</v>
      </c>
      <c r="B6" s="50">
        <v>3.0</v>
      </c>
      <c r="C6" s="28" t="b">
        <v>1</v>
      </c>
      <c r="D6" s="28" t="b">
        <v>1</v>
      </c>
    </row>
    <row r="7">
      <c r="A7" s="28" t="s">
        <v>427</v>
      </c>
      <c r="B7" s="50">
        <v>3.0</v>
      </c>
      <c r="C7" s="28" t="b">
        <v>1</v>
      </c>
      <c r="D7" s="28" t="b">
        <v>1</v>
      </c>
    </row>
    <row r="8">
      <c r="A8" s="28" t="s">
        <v>428</v>
      </c>
      <c r="B8" s="50">
        <v>5.0</v>
      </c>
      <c r="C8" s="28" t="b">
        <v>1</v>
      </c>
      <c r="D8" s="28" t="b">
        <v>1</v>
      </c>
    </row>
    <row r="9">
      <c r="A9" s="28" t="s">
        <v>429</v>
      </c>
      <c r="B9" s="50">
        <v>4.0</v>
      </c>
      <c r="C9" s="28" t="b">
        <v>0</v>
      </c>
      <c r="D9" s="28" t="b">
        <v>1</v>
      </c>
    </row>
    <row r="10">
      <c r="A10" s="28" t="s">
        <v>430</v>
      </c>
      <c r="B10" s="50"/>
      <c r="C10" s="28" t="b">
        <v>0</v>
      </c>
      <c r="D10" s="28" t="b">
        <v>0</v>
      </c>
    </row>
    <row r="11">
      <c r="A11" s="28" t="s">
        <v>431</v>
      </c>
      <c r="B11" s="50">
        <v>4.0</v>
      </c>
      <c r="C11" s="28" t="b">
        <v>0</v>
      </c>
      <c r="D11" s="28" t="b">
        <v>0</v>
      </c>
    </row>
    <row r="12">
      <c r="A12" s="28" t="s">
        <v>432</v>
      </c>
      <c r="B12" s="50">
        <v>1.0</v>
      </c>
      <c r="C12" s="28" t="b">
        <v>1</v>
      </c>
      <c r="D12" s="28" t="b">
        <v>1</v>
      </c>
    </row>
    <row r="13">
      <c r="A13" s="28" t="s">
        <v>433</v>
      </c>
      <c r="B13" s="50">
        <v>4.0</v>
      </c>
      <c r="C13" s="28" t="b">
        <v>1</v>
      </c>
      <c r="D13" s="28" t="b">
        <v>1</v>
      </c>
    </row>
    <row r="14">
      <c r="A14" s="28" t="s">
        <v>434</v>
      </c>
      <c r="B14" s="50">
        <v>1.0</v>
      </c>
      <c r="C14" s="28" t="b">
        <v>1</v>
      </c>
      <c r="D14" s="28" t="b">
        <v>1</v>
      </c>
    </row>
    <row r="15">
      <c r="A15" s="28" t="s">
        <v>435</v>
      </c>
      <c r="B15" s="50">
        <v>2.0</v>
      </c>
      <c r="C15" s="28" t="b">
        <v>1</v>
      </c>
      <c r="D15" s="28" t="b">
        <v>1</v>
      </c>
    </row>
    <row r="16">
      <c r="A16" s="28" t="s">
        <v>436</v>
      </c>
      <c r="B16" s="50">
        <v>3.0</v>
      </c>
      <c r="C16" s="28" t="b">
        <v>1</v>
      </c>
      <c r="D16" s="28" t="b">
        <v>1</v>
      </c>
    </row>
    <row r="17">
      <c r="A17" s="28" t="s">
        <v>437</v>
      </c>
      <c r="B17" s="50">
        <v>2.0</v>
      </c>
      <c r="C17" s="28" t="b">
        <v>1</v>
      </c>
      <c r="D17" s="28" t="b">
        <v>1</v>
      </c>
    </row>
    <row r="18">
      <c r="A18" s="28" t="s">
        <v>438</v>
      </c>
      <c r="B18" s="50">
        <v>2.0</v>
      </c>
      <c r="C18" s="28" t="b">
        <v>1</v>
      </c>
      <c r="D18" s="28" t="b">
        <v>1</v>
      </c>
    </row>
    <row r="19">
      <c r="A19" s="28" t="s">
        <v>439</v>
      </c>
      <c r="B19" s="50">
        <v>2.0</v>
      </c>
      <c r="C19" s="28" t="b">
        <v>1</v>
      </c>
      <c r="D19" s="28" t="b">
        <v>1</v>
      </c>
    </row>
    <row r="20">
      <c r="A20" s="28" t="s">
        <v>440</v>
      </c>
      <c r="B20" s="50">
        <v>2.0</v>
      </c>
      <c r="C20" s="28" t="b">
        <v>1</v>
      </c>
      <c r="D20" s="28" t="b">
        <v>1</v>
      </c>
    </row>
    <row r="21">
      <c r="A21" s="28" t="s">
        <v>441</v>
      </c>
      <c r="B21" s="50">
        <v>3.0</v>
      </c>
      <c r="C21" s="28" t="b">
        <v>1</v>
      </c>
      <c r="D21" s="28" t="b">
        <v>1</v>
      </c>
    </row>
    <row r="22">
      <c r="A22" s="28" t="s">
        <v>442</v>
      </c>
      <c r="B22" s="50">
        <v>2.0</v>
      </c>
      <c r="C22" s="28" t="b">
        <v>1</v>
      </c>
      <c r="D22" s="28" t="b">
        <v>1</v>
      </c>
    </row>
    <row r="23">
      <c r="A23" s="28" t="s">
        <v>443</v>
      </c>
      <c r="B23" s="50">
        <v>2.0</v>
      </c>
      <c r="C23" s="28" t="b">
        <v>1</v>
      </c>
      <c r="D23" s="28" t="b">
        <v>1</v>
      </c>
    </row>
    <row r="24">
      <c r="A24" s="28" t="s">
        <v>444</v>
      </c>
      <c r="B24" s="50">
        <v>2.0</v>
      </c>
      <c r="C24" s="28" t="b">
        <v>1</v>
      </c>
      <c r="D24" s="28" t="b">
        <v>1</v>
      </c>
    </row>
    <row r="25">
      <c r="A25" s="28" t="s">
        <v>445</v>
      </c>
      <c r="B25" s="50">
        <v>2.0</v>
      </c>
      <c r="C25" s="28" t="b">
        <v>1</v>
      </c>
      <c r="D25" s="28" t="b">
        <v>1</v>
      </c>
    </row>
    <row r="26">
      <c r="A26" s="28" t="s">
        <v>446</v>
      </c>
      <c r="B26" s="50">
        <v>2.0</v>
      </c>
      <c r="C26" s="28" t="b">
        <v>1</v>
      </c>
      <c r="D26" s="28" t="b">
        <v>1</v>
      </c>
    </row>
    <row r="27">
      <c r="A27" s="28" t="s">
        <v>447</v>
      </c>
      <c r="B27" s="50">
        <v>2.0</v>
      </c>
      <c r="C27" s="28" t="b">
        <v>1</v>
      </c>
      <c r="D27" s="28" t="b">
        <v>1</v>
      </c>
    </row>
    <row r="28">
      <c r="A28" s="28" t="s">
        <v>324</v>
      </c>
      <c r="B28" s="50">
        <v>5.0</v>
      </c>
      <c r="C28" s="28" t="b">
        <v>0</v>
      </c>
      <c r="D28" s="28" t="b">
        <v>0</v>
      </c>
    </row>
  </sheetData>
  <conditionalFormatting sqref="B2:B28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8">
    <cfRule type="expression" dxfId="5" priority="2">
      <formula>$C2=TRUE</formula>
    </cfRule>
  </conditionalFormatting>
  <dataValidations>
    <dataValidation type="custom" allowBlank="1" showDropDown="1" sqref="B2:B28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1" t="s">
        <v>448</v>
      </c>
      <c r="B1" s="51" t="s">
        <v>449</v>
      </c>
      <c r="D1" s="51" t="s">
        <v>450</v>
      </c>
      <c r="E1" s="51" t="s">
        <v>449</v>
      </c>
    </row>
    <row r="2" ht="22.5" customHeight="1">
      <c r="A2" s="52" t="str">
        <f>IFERROR(__xludf.DUMMYFUNCTION("FILTER(Table_PickableSprites[WORK],Table_PickableSprites[WORK]&lt;&gt;"""")"),"#N/A")</f>
        <v>#N/A</v>
      </c>
      <c r="B2" s="52" t="str">
        <f t="array" ref="B2:B10">IF(Table_Items[SpritePickable]&lt;&gt;"SPRITE_NONE",Table_Items[SpritePickable],"")</f>
        <v/>
      </c>
      <c r="D2" s="52" t="str">
        <f>IFERROR(__xludf.DUMMYFUNCTION("FILTER(Table_PickableNames[WORK],Table_PickableNames[WORK]&lt;&gt;"""")"),"#N/A")</f>
        <v>#N/A</v>
      </c>
      <c r="E2" s="52" t="str">
        <f t="array" ref="E2:E10">IF(Table_Items[SpritePickable]&lt;&gt;"SPRITE_NONE",Table_Items[Name],"")</f>
        <v/>
      </c>
    </row>
    <row r="3" ht="22.5" customHeight="1">
      <c r="B3" s="52" t="s">
        <v>20</v>
      </c>
      <c r="E3" s="52" t="s">
        <v>20</v>
      </c>
    </row>
    <row r="4" ht="22.5" customHeight="1">
      <c r="B4" s="52" t="s">
        <v>20</v>
      </c>
      <c r="E4" s="52" t="s">
        <v>20</v>
      </c>
    </row>
    <row r="5" ht="22.5" customHeight="1">
      <c r="B5" s="52" t="s">
        <v>20</v>
      </c>
      <c r="E5" s="52" t="s">
        <v>20</v>
      </c>
    </row>
    <row r="6" ht="22.5" customHeight="1">
      <c r="B6" s="52" t="s">
        <v>20</v>
      </c>
      <c r="E6" s="52" t="s">
        <v>20</v>
      </c>
    </row>
    <row r="7" ht="22.5" customHeight="1">
      <c r="B7" s="52" t="s">
        <v>20</v>
      </c>
      <c r="E7" s="52" t="s">
        <v>20</v>
      </c>
    </row>
    <row r="8" ht="22.5" customHeight="1">
      <c r="B8" s="52" t="s">
        <v>20</v>
      </c>
      <c r="E8" s="52" t="s">
        <v>20</v>
      </c>
    </row>
    <row r="9" ht="22.5" customHeight="1">
      <c r="B9" s="52" t="s">
        <v>20</v>
      </c>
      <c r="E9" s="52" t="s">
        <v>20</v>
      </c>
    </row>
    <row r="10" ht="22.5" customHeight="1">
      <c r="B10" s="52" t="s">
        <v>20</v>
      </c>
      <c r="E10" s="52" t="s">
        <v>20</v>
      </c>
    </row>
    <row r="11" ht="22.5" customHeight="1"/>
    <row r="12" ht="22.5" customHeight="1"/>
    <row r="13" ht="22.5" customHeight="1"/>
    <row r="14" ht="22.5" customHeight="1"/>
    <row r="15" ht="22.5" customHeight="1"/>
    <row r="16" ht="22.5" customHeight="1"/>
    <row r="17" ht="22.5" customHeight="1"/>
    <row r="18" ht="22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