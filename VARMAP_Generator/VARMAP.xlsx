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N" sheetId="1" r:id="rId5"/>
    <sheet state="visible" name="VARMAP" sheetId="2" r:id="rId6"/>
    <sheet state="visible" name="SERVICES" sheetId="3" r:id="rId7"/>
    <sheet state="visible" name="ITEMS" sheetId="4" r:id="rId8"/>
    <sheet state="visible" name="ACTION_CONDS" sheetId="5" r:id="rId9"/>
    <sheet state="visible" name="SPRITES" sheetId="6" r:id="rId10"/>
    <sheet state="visible" name="DIALOGS" sheetId="7" r:id="rId11"/>
    <sheet state="visible" name="DECISIONS" sheetId="8" r:id="rId12"/>
    <sheet state="visible" name="NAMES" sheetId="9" r:id="rId13"/>
    <sheet state="visible" name="PHRASES" sheetId="10" r:id="rId14"/>
    <sheet state="visible" name="ROOMS" sheetId="11" r:id="rId15"/>
    <sheet state="visible" name="TYPES" sheetId="12" r:id="rId16"/>
    <sheet state="visible" name="EVENTS" sheetId="13" r:id="rId17"/>
    <sheet state="visible" name="_TODO" sheetId="14" r:id="rId18"/>
  </sheets>
  <definedNames>
    <definedName name="Interval_autoInsertMemento">FN!$A$10:$E$11</definedName>
    <definedName name="Interval_Dialogs">DIALOGS!$A$1:$D$16</definedName>
    <definedName name="Interval_autoInsertRoom">FN!$A$4:$D$5</definedName>
    <definedName name="Interval_Memento_Parent">EVENTS!$A$32:$E$37</definedName>
    <definedName name="Interval_Events">EVENTS!$A$1:$B$30</definedName>
    <definedName name="Interval_Rooms">ROOMS!$A$1:$H$12</definedName>
    <definedName name="Interval_Name">NAMES!$A$1:$D$39</definedName>
    <definedName name="Interval_autoInsertItem">FN!$A$1:$J$2</definedName>
    <definedName name="Interval_Unchain_Conditions">ACTION_CONDS!$A$52:$N$90</definedName>
    <definedName name="Interval_Phrases">PHRASES!$A$1:$G$101</definedName>
    <definedName name="Interval_sprites">SPRITES!$A$1:$C$50</definedName>
    <definedName name="Interval_Items">ITEMS!$A$1:$I$37</definedName>
    <definedName name="Interval_Dialog_Options">DIALOGS!$A$18:$H$41</definedName>
    <definedName name="Interval_Memento">EVENTS!$A$39:$F$47</definedName>
    <definedName name="Interval_autoInsertDialog">FN!$A$7:$I$8</definedName>
    <definedName name="Interval_Action_Conditions">ACTION_CONDS!$A$1:$K$50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5">
      <text>
        <t xml:space="preserve">Calculated</t>
      </text>
    </comment>
    <comment authorId="0" ref="E6">
      <text>
        <t xml:space="preserve">Calculated</t>
      </text>
    </comment>
    <comment authorId="0" ref="E7">
      <text>
        <t xml:space="preserve">Calculated</t>
      </text>
    </comment>
    <comment authorId="0" ref="E8">
      <text>
        <t xml:space="preserve">Calculated</t>
      </text>
    </comment>
    <comment authorId="0" ref="E9">
      <text>
        <t xml:space="preserve">Calculated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18">
      <text>
        <t xml:space="preserve">Event triggered after all phrases</t>
      </text>
    </comment>
    <comment authorId="0" ref="F18">
      <text>
        <t xml:space="preserve">New dialog shown after all phrases have been said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20">
      <text>
        <t xml:space="preserve">NullReferenceException: Object reference not set to an instance of an object
Gob3AQ.GameMenu.Dialog.DialogOptionButtonClass.SetOptionText (System.String&amp; text) (at Assets/Scripts/Menu/DialogOptionButtonClass.cs:27)
Gob3AQ.GameMenu.GameMenuClass.ShowDialogueService (System.ReadOnlySpan`1[T] defaultTalkers, Gob3AQ.VARMAP.Types.DialogType dialog, Gob3AQ.VARMAP.Types.DialogPhrase phrase) (at Assets/Scripts/Master/GameMenuClass.cs:93)
Gob3AQ.GameMaster.GameMasterClass.EnableDialogueService (System.Boolean enable, System.ReadOnlySpan`1[T] talkers, Gob3AQ.VARMAP.Types.DialogType dialog, Gob3AQ.VARMAP.Types.DialogPhrase phrase) (at Assets/Scripts/Master/GameMasterClass.cs:232)
Gob3AQ.LevelMaster.LevelMasterClass.PlayerReachedWaypointService (Gob3AQ.VARMAP.Types.CharacterType character) (at Assets/Scripts/Master/LevelMasterClass.cs:183)
Gob3AQ.GameElement.PlayableChar.PlayableCharScript.StartBufferedInteraction () (at Assets/Scripts/GameElement/PlayableCharScript.cs:351)
Gob3AQ.GameElement.PlayableChar.PlayableCharScript.Execute_Walk () (at Assets/Scripts/GameElement/PlayableCharScript.cs:279)
Gob3AQ.GameElement.PlayableChar.PlayableCharScript.Execute_Play () (at Assets/Scripts/GameElement/PlayableCharScript.cs:234)
Gob3AQ.GameElement.PlayableChar.PlayableCharScript.Update () (at Assets/Scripts/GameElement/PlayableCharScript.cs:164)
</t>
      </text>
    </comment>
  </commentList>
</comments>
</file>

<file path=xl/sharedStrings.xml><?xml version="1.0" encoding="utf-8"?>
<sst xmlns="http://schemas.openxmlformats.org/spreadsheetml/2006/main" count="3070" uniqueCount="1163">
  <si>
    <t>NewItem</t>
  </si>
  <si>
    <t>NewName</t>
  </si>
  <si>
    <t>NewSprite</t>
  </si>
  <si>
    <t>Pickable</t>
  </si>
  <si>
    <t>Spawn</t>
  </si>
  <si>
    <t>Picker_Character</t>
  </si>
  <si>
    <t>ObservationPhrase</t>
  </si>
  <si>
    <t>TakePhrase</t>
  </si>
  <si>
    <t>Room</t>
  </si>
  <si>
    <t>Output</t>
  </si>
  <si>
    <t>ITEM_HIVE1_VALVE</t>
  </si>
  <si>
    <t>NAME_VALVE</t>
  </si>
  <si>
    <t>SPRITE_HIVE1_VALVE_BOX_OPENED</t>
  </si>
  <si>
    <t>CHARACTER_MAIN</t>
  </si>
  <si>
    <t>This valve seems to control water flow to Inn building</t>
  </si>
  <si>
    <t>HIVE1_BACKALLEY</t>
  </si>
  <si>
    <t>NewRoom</t>
  </si>
  <si>
    <t>Background</t>
  </si>
  <si>
    <t>BackgroundNight</t>
  </si>
  <si>
    <t>BACKGROUND_BACKALLEY</t>
  </si>
  <si>
    <t>BACKGROUND_BACKALLEY_NIGHT</t>
  </si>
  <si>
    <t>NewDialog</t>
  </si>
  <si>
    <t>IntroPhrase</t>
  </si>
  <si>
    <t>Talkers</t>
  </si>
  <si>
    <t>Option1</t>
  </si>
  <si>
    <t>Option2</t>
  </si>
  <si>
    <t>Option3</t>
  </si>
  <si>
    <t>Option4</t>
  </si>
  <si>
    <t>Option5</t>
  </si>
  <si>
    <t>Option6</t>
  </si>
  <si>
    <t>DIALOG_HIVE1_POOR_MAN_WC</t>
  </si>
  <si>
    <t>Did you come to laugh at my disgrace?, Did I wake you up?, Are you from health department?</t>
  </si>
  <si>
    <t>ITEM_NONE</t>
  </si>
  <si>
    <t>Terrible night. Ah?, It was that Maño restaurant. Boar was terrible, I saw it full of people. Don't think it was in bad state, Well. Maybe my stomach is not in mood!</t>
  </si>
  <si>
    <t>Are you going to end today?, Haha. Very funny. If I could. I would be out there. Night is young</t>
  </si>
  <si>
    <t>How can I help you?, This nasty Inn is cutting water at night. I cannot let this in this state, Ahh. I see..., Could you please talk to someone to bring water again?, I will see what can I do. But personnel is absent during day. Even worse at night</t>
  </si>
  <si>
    <t>I need to go. Sorry for your situation!</t>
  </si>
  <si>
    <t>NewMementoParent</t>
  </si>
  <si>
    <t>MementoIconSprite</t>
  </si>
  <si>
    <t>MementoParentPhrase</t>
  </si>
  <si>
    <t>Mementos</t>
  </si>
  <si>
    <t>MementoPhrases</t>
  </si>
  <si>
    <t>MEMENTO_PARENT_POOR_MAN_WC</t>
  </si>
  <si>
    <t>SPRITE_MEMENTO_POOR_MAN_WC</t>
  </si>
  <si>
    <t>A poor man in WC</t>
  </si>
  <si>
    <t>MEMENTO_POOR_MAN_WC_1, MEMENTO_POOR_MAN_WC_2, MEMENTO_POOR_MAN_WC_3</t>
  </si>
  <si>
    <t>A poor man can't leave WC because there is no water, It seems to be a valve in back alley but is closed, When water came back. This man gave me an invitation to a Pub where I could meet someone for a job</t>
  </si>
  <si>
    <t>N</t>
  </si>
  <si>
    <t>ENUM_ID</t>
  </si>
  <si>
    <t>TYPE</t>
  </si>
  <si>
    <t>SAFE</t>
  </si>
  <si>
    <t>ARRAY</t>
  </si>
  <si>
    <t>DEFVALUE</t>
  </si>
  <si>
    <t>SAVE</t>
  </si>
  <si>
    <t>Separator</t>
  </si>
  <si>
    <t>GameMaster</t>
  </si>
  <si>
    <t>InputMaster</t>
  </si>
  <si>
    <t>LevelMaster</t>
  </si>
  <si>
    <t>GraphicsMaster</t>
  </si>
  <si>
    <t>GameMenu</t>
  </si>
  <si>
    <t>PlayerMaster</t>
  </si>
  <si>
    <t>ItemMaster</t>
  </si>
  <si>
    <t>GameEventMaster</t>
  </si>
  <si>
    <t>GAME_OPTIONS</t>
  </si>
  <si>
    <t>GameOptionsStruct</t>
  </si>
  <si>
    <t>GameOptionsStruct_Default</t>
  </si>
  <si>
    <t>Y</t>
  </si>
  <si>
    <t/>
  </si>
  <si>
    <t>-</t>
  </si>
  <si>
    <t>R</t>
  </si>
  <si>
    <t>W</t>
  </si>
  <si>
    <t>ELAPSED_TIME_MS</t>
  </si>
  <si>
    <t>ulong</t>
  </si>
  <si>
    <t>0UL</t>
  </si>
  <si>
    <t>ACTUAL_ROOM</t>
  </si>
  <si>
    <t>Room.ROOM_NONE</t>
  </si>
  <si>
    <t>R E</t>
  </si>
  <si>
    <t>EVENTS_OCCURRED</t>
  </si>
  <si>
    <t>MultiBitFieldStruct</t>
  </si>
  <si>
    <t>default</t>
  </si>
  <si>
    <t>UNLOCKED_MEMENTO</t>
  </si>
  <si>
    <t>UNWATCHED_PARENT_MEMENTO</t>
  </si>
  <si>
    <t>PICKABLE_ITEM_OWNER</t>
  </si>
  <si>
    <t>CharacterType</t>
  </si>
  <si>
    <t>CharacterType.CHARACTER_NONE</t>
  </si>
  <si>
    <t>PLAYER_ACTUAL_WAYPOINT</t>
  </si>
  <si>
    <t>int</t>
  </si>
  <si>
    <t>CAMERA_DISPOSITION</t>
  </si>
  <si>
    <t>CameraDispositionStruct</t>
  </si>
  <si>
    <t>CameraDispositionStruct_Default</t>
  </si>
  <si>
    <t>ITEM_MENU_HOVER</t>
  </si>
  <si>
    <t>GameItem</t>
  </si>
  <si>
    <t>GameItem.ITEM_NONE</t>
  </si>
  <si>
    <t>GAMESTATUS</t>
  </si>
  <si>
    <t>Game_Status</t>
  </si>
  <si>
    <t>Game_Status.GAME_STATUS_STOPPED</t>
  </si>
  <si>
    <t>PRESSED_KEYS</t>
  </si>
  <si>
    <t>KeyStruct</t>
  </si>
  <si>
    <t>KeyStruct_Default</t>
  </si>
  <si>
    <t>MOUSE_PROPERTIES</t>
  </si>
  <si>
    <t>MousePropertiesStruct</t>
  </si>
  <si>
    <t>MouseProperties_Default</t>
  </si>
  <si>
    <t>PLAYER_SELECTED</t>
  </si>
  <si>
    <t>PICKABLE_ITEM_CHOSEN</t>
  </si>
  <si>
    <t>ITEM_HOVER</t>
  </si>
  <si>
    <t>USER_INPUT_INTERACTION</t>
  </si>
  <si>
    <t>UserInputInteraction</t>
  </si>
  <si>
    <t>UserInputInteraction.INPUT_INTERACTION_TAKE</t>
  </si>
  <si>
    <t>EVENTS_BEING_PROCESSED</t>
  </si>
  <si>
    <t>bool</t>
  </si>
  <si>
    <t>false</t>
  </si>
  <si>
    <t>DAY_MOMENT</t>
  </si>
  <si>
    <t>MomentType</t>
  </si>
  <si>
    <t>MomentType.MOMENT_MORNING</t>
  </si>
  <si>
    <t>LAST_VARMAP_VAL</t>
  </si>
  <si>
    <t>SERVICE_ID</t>
  </si>
  <si>
    <t>SPECIAL_DELEGATE</t>
  </si>
  <si>
    <t>SERVICE_ROUTE</t>
  </si>
  <si>
    <t>Description</t>
  </si>
  <si>
    <t>START_GAME</t>
  </si>
  <si>
    <t>START_GAME_DELEGATE</t>
  </si>
  <si>
    <t>GameMasterClass.StartGameService</t>
  </si>
  <si>
    <t>Starts game from main menu</t>
  </si>
  <si>
    <t>X</t>
  </si>
  <si>
    <t>SAVE_GAME</t>
  </si>
  <si>
    <t>SAVE_GAME_DELEGATE</t>
  </si>
  <si>
    <t>GameMasterClass.SaveGameService</t>
  </si>
  <si>
    <t>Saves game at any moment</t>
  </si>
  <si>
    <t>LOAD_GAME</t>
  </si>
  <si>
    <t>LOAD_GAME_DELEGATE</t>
  </si>
  <si>
    <t>GameMasterClass.LoadGameService</t>
  </si>
  <si>
    <t>Loads game from any moment</t>
  </si>
  <si>
    <t>LOAD_ROOM</t>
  </si>
  <si>
    <t>LOAD_ROOM_DELEGATE</t>
  </si>
  <si>
    <t>GameMasterClass.LoadRoomService</t>
  </si>
  <si>
    <t>Loads a room (for example when crossing a door)</t>
  </si>
  <si>
    <t>EXIT_GAME</t>
  </si>
  <si>
    <t>EXIT_GAME_DELEGATE</t>
  </si>
  <si>
    <t>GameMasterClass.ExitGameService</t>
  </si>
  <si>
    <t>Exits games to OS</t>
  </si>
  <si>
    <t>MODULE_LOADING_COMPLETED</t>
  </si>
  <si>
    <t>LODING_COMPLETED_DELEGATE</t>
  </si>
  <si>
    <t>GameMasterClass.LoadingCompletedService</t>
  </si>
  <si>
    <t>This service is called when whole room has been loaded</t>
  </si>
  <si>
    <t>IS_MODULE_LOADED</t>
  </si>
  <si>
    <t>IS_MODULE_LOADED_DELEGATE</t>
  </si>
  <si>
    <t>GameMasterClass.IsModuleLoadedService</t>
  </si>
  <si>
    <t>This service returns a bool which tells if given module has been loaded in Room Loading Process</t>
  </si>
  <si>
    <t>ITEM_REGISTER</t>
  </si>
  <si>
    <t>ITEM_REGISTER_DELEGATE</t>
  </si>
  <si>
    <t>LevelMasterClass.ItemRegisterService</t>
  </si>
  <si>
    <t>Registers an item in system</t>
  </si>
  <si>
    <t>MONO_REGISTER</t>
  </si>
  <si>
    <t>MONO_REGISTER_DELEGATE</t>
  </si>
  <si>
    <t>LevelMasterClass.MonoRegisterService</t>
  </si>
  <si>
    <t>Registers a player in scene</t>
  </si>
  <si>
    <t>DOOR_REGISTER</t>
  </si>
  <si>
    <t>DOOR_REGISTER_DELEGATE</t>
  </si>
  <si>
    <t>LevelMasterClass.DoorRegisterService</t>
  </si>
  <si>
    <t>Registers a door in level</t>
  </si>
  <si>
    <t>OBTAIN_SCENARIO_ITEMS</t>
  </si>
  <si>
    <t>OBTAIN_SCENARIO_ITEMS_DELEGATE</t>
  </si>
  <si>
    <t>LevelMasterClass.ObtainScenarioItemsService</t>
  </si>
  <si>
    <t>Obtains dictionary of placed elements in actual Scene</t>
  </si>
  <si>
    <t>PLAYER_WAYPOINT_UPDATE</t>
  </si>
  <si>
    <t>PLAYER_WAYPOINT_UPDATE_DELEGATE</t>
  </si>
  <si>
    <t>LevelMasterClass.PlayerWaypointUpdateService</t>
  </si>
  <si>
    <t>Updates actual player waypoint when crossing or stopping on it</t>
  </si>
  <si>
    <t>GET_WP_LIST</t>
  </si>
  <si>
    <t>GET_WP_LIST_DELEGATE</t>
  </si>
  <si>
    <t>LevelMasterClass.GetWaypointListService</t>
  </si>
  <si>
    <t>Gets list of waypoints and solutions</t>
  </si>
  <si>
    <t>GET_PLAYER_LIST</t>
  </si>
  <si>
    <t>GET_PLAYER_LIST_DELEGATE</t>
  </si>
  <si>
    <t>LevelMasterClass.GetPlayerListService</t>
  </si>
  <si>
    <t>Gets a list of actual players</t>
  </si>
  <si>
    <t>GET_NEAREST_WP</t>
  </si>
  <si>
    <t>GET_NEAREST_WP_DELEGATE</t>
  </si>
  <si>
    <t>LevelMasterClass.GetNearestWPService</t>
  </si>
  <si>
    <t>Gets nearest WP from a given coordinates of level</t>
  </si>
  <si>
    <t>IS_EVENT_COMBI_OCCURRED</t>
  </si>
  <si>
    <t>IS_EVENT_COMBI_OCCURRED_DELEGATE</t>
  </si>
  <si>
    <t>GameEventMasterClass.IsEventCombiOccurredService</t>
  </si>
  <si>
    <t>Checks if a combination of events is totally complied (event absence can also be requested)</t>
  </si>
  <si>
    <t>COMMIT_EVENT</t>
  </si>
  <si>
    <t>COMMIT_EVENT_DELEGATE</t>
  </si>
  <si>
    <t>GameEventMasterClass.CommitEventService</t>
  </si>
  <si>
    <t>Activates/Deactivates an event</t>
  </si>
  <si>
    <t>COMMIT_MEMENTO_NOTIF</t>
  </si>
  <si>
    <t>COMMIT_MEMENTO_NOTIF_DELEGATE</t>
  </si>
  <si>
    <t>GameMenuClass.CommitMementoNotifService</t>
  </si>
  <si>
    <t>Tells Memento Manager (Menu) a new memento has been unlocked</t>
  </si>
  <si>
    <t>IS_MEMENTO_UNLOCKED</t>
  </si>
  <si>
    <t>IS_MEMENTO_UNLOCKED_DELEGATE</t>
  </si>
  <si>
    <t>GameEventMasterClass.IsMementoUnlockedService</t>
  </si>
  <si>
    <t>Tells if a memento is unlocked</t>
  </si>
  <si>
    <t>MEMENTO_PARENT_WATCHED</t>
  </si>
  <si>
    <t>MEMENTO_PARENT_WATCHED_DELEGATE</t>
  </si>
  <si>
    <t>GameEventMasterClass.MementoParentWatchedService</t>
  </si>
  <si>
    <t>If a Memento has been analyzed</t>
  </si>
  <si>
    <t>INTERACT_PLAYER</t>
  </si>
  <si>
    <t>INTERACT_PLAYER_DELEGATE</t>
  </si>
  <si>
    <t>PlayerMasterClass.InteractPlayerService</t>
  </si>
  <si>
    <t>Makes player interact with usage data</t>
  </si>
  <si>
    <t>UNCHAIN_TO_ITEM</t>
  </si>
  <si>
    <t>UNCHAIN_TO_ITEM_DELEGATE</t>
  </si>
  <si>
    <t>ItemMasterClass.UnchainToItemService</t>
  </si>
  <si>
    <t>Applies an unchain event to an item such as spawn or setsprite</t>
  </si>
  <si>
    <t>PLAYER_REACHED_WAYPOINT</t>
  </si>
  <si>
    <t>PLAYER_REACHED_WAYPOINT_DELEGATE</t>
  </si>
  <si>
    <t>LevelMasterClass.PlayerReachedWaypointService</t>
  </si>
  <si>
    <t>Tells LevelMaster that player reached Waypoint to start action in case</t>
  </si>
  <si>
    <t>USE_ITEM</t>
  </si>
  <si>
    <t>USE_ITEM_DELEGATE</t>
  </si>
  <si>
    <t>ItemMasterClass.UseItemService</t>
  </si>
  <si>
    <t>Uses an item with something</t>
  </si>
  <si>
    <t>CANCEL_PICKABLE_ITEM</t>
  </si>
  <si>
    <t>CANCEL_PICKABLE_ITEM_DELEGATE</t>
  </si>
  <si>
    <t>GameMenuClass.CancelPickableItemService</t>
  </si>
  <si>
    <t>Cancels selected item</t>
  </si>
  <si>
    <t>KEY_SUBSCRIPTION</t>
  </si>
  <si>
    <t>KEY_SUBSCRIPTION_DELEGATE</t>
  </si>
  <si>
    <t>InputMasterClass.KeySubscriptionService</t>
  </si>
  <si>
    <t>Subscribe to determined key events to avoid polling</t>
  </si>
  <si>
    <t>LOCK_PLAYER</t>
  </si>
  <si>
    <t>LOCK_PLAYER_DELEGATE</t>
  </si>
  <si>
    <t>PlayerMasterClass.LockPlayerService</t>
  </si>
  <si>
    <t>Locks player so it cannot act until an action over it has been done (or removes lock)</t>
  </si>
  <si>
    <t>CHANGE_GAME_MODE</t>
  </si>
  <si>
    <t>CHANGE_GAME_MODE_DELEGATE</t>
  </si>
  <si>
    <t>GameMasterClass.ChangeGameModeService</t>
  </si>
  <si>
    <t>Asks Game Master to set game mode</t>
  </si>
  <si>
    <t>SHOW_DIALOGUE</t>
  </si>
  <si>
    <t>SHOW_DIALOGUE_DELEGATE</t>
  </si>
  <si>
    <t>GameMenuClass.ShowDialogueService</t>
  </si>
  <si>
    <t>Second part of start dialogue. Tells Game Menu to prepare menu elements</t>
  </si>
  <si>
    <t>ZOOM_SUBSCRIPTION</t>
  </si>
  <si>
    <t>ZOOM_SUBSCRIPTION_DELEGATE</t>
  </si>
  <si>
    <t>GraphicsMasterClass.ZoomSubscriptionService</t>
  </si>
  <si>
    <t>Subscribe to zoom changes</t>
  </si>
  <si>
    <t>SHOW_DECISION</t>
  </si>
  <si>
    <t>SHOW_DECISION_DELEGATE</t>
  </si>
  <si>
    <t>GameMenuClass.ShowDecisionService</t>
  </si>
  <si>
    <t>Shows a set of decisions</t>
  </si>
  <si>
    <t>CHANGE_DAY_MOMENT</t>
  </si>
  <si>
    <t>CHANGE_DAY_MOMENT_DELEGATE</t>
  </si>
  <si>
    <t>GameMasterClass.ChangeDayMomentService</t>
  </si>
  <si>
    <t>Requests to change moment of day to a given one</t>
  </si>
  <si>
    <t>LAST_SERVICE</t>
  </si>
  <si>
    <t>Last service</t>
  </si>
  <si>
    <t>ITEM_ID</t>
  </si>
  <si>
    <t>Name</t>
  </si>
  <si>
    <t>FamilyType</t>
  </si>
  <si>
    <t>Sprites</t>
  </si>
  <si>
    <t>DefaultSprite</t>
  </si>
  <si>
    <t>PICKABLE</t>
  </si>
  <si>
    <t>SpritePickable</t>
  </si>
  <si>
    <t>ActionConditions</t>
  </si>
  <si>
    <t>NAME_NONE</t>
  </si>
  <si>
    <t>ITEM_FAMILY_TYPE_NONE</t>
  </si>
  <si>
    <t>SPRITE_NONE</t>
  </si>
  <si>
    <t>COND_OK</t>
  </si>
  <si>
    <t>ITEM_PLAYER_MAIN</t>
  </si>
  <si>
    <t>NAME_CHAR_MAIN</t>
  </si>
  <si>
    <t>ITEM_FAMILY_TYPE_PLAYER</t>
  </si>
  <si>
    <t>ITEM_HIVE1_CHEST</t>
  </si>
  <si>
    <t>NAME_ITEM_SECR_DESK</t>
  </si>
  <si>
    <t>ITEM_FAMILY_TYPE_OBJECT</t>
  </si>
  <si>
    <t>SPRITE_ITEM_CHEST_OPENED, SPRITE_ITEM_CHEST_CLOSED</t>
  </si>
  <si>
    <t>SPRITE_ITEM_CHEST_CLOSED</t>
  </si>
  <si>
    <t>COND_OPEN_CHEST, COND_CLOSE_CHEST</t>
  </si>
  <si>
    <t>ITEM_CARDS_PICKABLE</t>
  </si>
  <si>
    <t>NAME_ITEM_CARDS</t>
  </si>
  <si>
    <t>SPRITE_ITEM_CARDS</t>
  </si>
  <si>
    <t>SPRITE_ITEM_CARDS_PICKABLE</t>
  </si>
  <si>
    <t>COND_TAKE_CARDS</t>
  </si>
  <si>
    <t>ITEM_HIVE1_WARDROBE</t>
  </si>
  <si>
    <t>NAME_ITEM_WARDROBE</t>
  </si>
  <si>
    <t>SPRITE_BLANK</t>
  </si>
  <si>
    <t>COND_OPEN_HIVE1_WARDROBE</t>
  </si>
  <si>
    <t>ITEM_HIVE1_WARDROBE_OPENED</t>
  </si>
  <si>
    <t>SPRITE_ITEM_WARDROBE_OPENED</t>
  </si>
  <si>
    <t>COND_CLOSE_HIVE1_WARDROBE</t>
  </si>
  <si>
    <t>ITEM_GENERIC_DOOR1</t>
  </si>
  <si>
    <t>NAME_ITEM_CROSS</t>
  </si>
  <si>
    <t>ITEM_FAMILY_TYPE_DOOR</t>
  </si>
  <si>
    <t>ITEM_HIVE1_NPC_REME</t>
  </si>
  <si>
    <t>NAME_NPC_REME</t>
  </si>
  <si>
    <t>ITEM_FAMILY_TYPE_NPC</t>
  </si>
  <si>
    <t>SPRITE_NPC_REME_IDLE</t>
  </si>
  <si>
    <t>COND_TALK_REME_1, COND_USE_CARDS_REME</t>
  </si>
  <si>
    <t>ITEM_GENERIC_DOOR2</t>
  </si>
  <si>
    <t>ITEM_GENERIC_DOOR3</t>
  </si>
  <si>
    <t>ITEM_HIVE1_PERFUME</t>
  </si>
  <si>
    <t>NAME_ITEM_PERFUME</t>
  </si>
  <si>
    <t>COND_USE_HIVE1_PERFUME, COND_USE_HIVE1_PERFUME_NOT_1, COND_USE_HIVE1_PERFUME_NOT_2</t>
  </si>
  <si>
    <t>ITEM_HIVE1_AD_BOARD</t>
  </si>
  <si>
    <t>NAME_ITEM_AD_BOARD</t>
  </si>
  <si>
    <t>COND_OBSERVE_HIVE1_AD_BOARD_1</t>
  </si>
  <si>
    <t>ITEM_HIVE1_EXIT_DOOR</t>
  </si>
  <si>
    <t>COND_EXIT_HIVE1_HALL_1, COND_EXIT_HIVE1_HALL_2, COND_EXIT_HIVE1_HALL_3</t>
  </si>
  <si>
    <t>ITEM_HIVE1_BASIN</t>
  </si>
  <si>
    <t>NAME_ITEM_BASIN</t>
  </si>
  <si>
    <t>COND_USE_HIVE1_BASIN_NO_SOAP, COND_USE_HIVE1_BASIN_W_SOAP, COND_USE_HIVE1_BASIN_W_SOAP_REPEAT</t>
  </si>
  <si>
    <t>ITEM_SOAP_PICKABLE</t>
  </si>
  <si>
    <t>NAME_ITEM_SOAP</t>
  </si>
  <si>
    <t>SPRITE_PICKABLE_SOAP</t>
  </si>
  <si>
    <t>COND_TAKE_SOAP</t>
  </si>
  <si>
    <t>ITEM_HIVE1_BED</t>
  </si>
  <si>
    <t>NAME_ITEM_BED</t>
  </si>
  <si>
    <t>COND_USE_HIVE1_BED</t>
  </si>
  <si>
    <t>ITEM_STREET1_STH_DOOR</t>
  </si>
  <si>
    <t>NAME_SOUTH_NEIGHBORHOOD</t>
  </si>
  <si>
    <t>COND_GO_STREET1_SOUTH_NEIGH</t>
  </si>
  <si>
    <t>ITEM_STREET1_CENTER_DOOR</t>
  </si>
  <si>
    <t>NAME_CITY_CENTER</t>
  </si>
  <si>
    <t>ITEM_STREET2_PERIPH_DOOR</t>
  </si>
  <si>
    <t>NAME_CITY_PERIPH</t>
  </si>
  <si>
    <t>ITEM_PHARMACY_DOOR</t>
  </si>
  <si>
    <t>NAME_PHARMACY</t>
  </si>
  <si>
    <t>ITEM_PHARMACY_NPC_QUEUE</t>
  </si>
  <si>
    <t>NAME_QUEUE_PEOPLE</t>
  </si>
  <si>
    <t>SPRITE_NPC_PHARMACY_QUEUE</t>
  </si>
  <si>
    <t>ITEM_PHARMACY_NPC_OWNER</t>
  </si>
  <si>
    <t>NAME_PHARMACIST</t>
  </si>
  <si>
    <t>SPRITE_NPC_PHARMACY_OWNER</t>
  </si>
  <si>
    <t>COND_TRY_TALK_PHARMACIST</t>
  </si>
  <si>
    <t>ITEM_CITY1_UMBRELLA</t>
  </si>
  <si>
    <t>NAME_UMBRELLA</t>
  </si>
  <si>
    <t>SPRITE_CITY1_MANYO_UMBRELLA</t>
  </si>
  <si>
    <t>SPRITE_PICKABLE_UMBRELLA</t>
  </si>
  <si>
    <t>COND_TAKE_UMBRELLA_MORNING, COND_TAKE_UMBRELLA_NIGHT</t>
  </si>
  <si>
    <t>ITEM_ELMANYO_DOOR</t>
  </si>
  <si>
    <t>NAME_ELMANYO</t>
  </si>
  <si>
    <t>ITEM_ELMANYO_OWNER</t>
  </si>
  <si>
    <t>NAME_OWNER</t>
  </si>
  <si>
    <t>SPRITE_MANYO_OWNER</t>
  </si>
  <si>
    <t>COND_TALK_MANYO_OWNER</t>
  </si>
  <si>
    <t>ITEM_STUFFED_DEER</t>
  </si>
  <si>
    <t>NAME_STUFFED_DEER</t>
  </si>
  <si>
    <t>COND_TALK_DEER</t>
  </si>
  <si>
    <t>ITEM_ELMANYO_OWNER_NIGHT</t>
  </si>
  <si>
    <t>ITEM_ELMANYO_CROWD</t>
  </si>
  <si>
    <t>NAME_CROWD</t>
  </si>
  <si>
    <t>ITEM_HIVE1_POOR_MAN_WC</t>
  </si>
  <si>
    <t>NAME_POOR_MAN_WC</t>
  </si>
  <si>
    <t>SPRITE_HIVE1_POOR_MAN_STEADY</t>
  </si>
  <si>
    <t>COND_OBSERVE_ITEM_HIVE1_POOR_MAN_WC, COND_TALK_POOR_MAN_WC</t>
  </si>
  <si>
    <t>ITEM_HIVE1_ROACH_HEAD</t>
  </si>
  <si>
    <t>NAME_ROACH</t>
  </si>
  <si>
    <t>SPRITE_HIVE1_ROACH_HEAD</t>
  </si>
  <si>
    <t>COND_OBSERVE_ITEM_HIVE1_ROACH, COND_TAKE_HIVE1_ROACH_HEAD</t>
  </si>
  <si>
    <t>ITEM_HIVE1_PIPE</t>
  </si>
  <si>
    <t>NAME_PIPE</t>
  </si>
  <si>
    <t>COND_OBSERVE_ITEM_HIVE1_PIPE, COND_OBSERVE_ITEM_HIVE1_PIPE_2</t>
  </si>
  <si>
    <t>ITEM_HIVE1_VALVE_BOX</t>
  </si>
  <si>
    <t>NAME_VALVE_BOX</t>
  </si>
  <si>
    <t>COND_OBSERVE_ITEM_HIVE1_VALVE_BOX, COND_OBSERVE_ITEM_HIVE1_VALVE_BOX_2, COND_TAKE_VALVE_BOX_1, COND_TAKE_VALVE_BOX_MORNING, COND_USE_SHOELACE_VALVE_BOX</t>
  </si>
  <si>
    <t>ITEM_HIVE1_BACKALLEY_PIPE</t>
  </si>
  <si>
    <t>COND_OBSERVE_ITEM_HIVE1_BACKALLEY_PIPE, COND_OBSERVE_ITEM_HIVE1_BACKALLEY_PIPE_2</t>
  </si>
  <si>
    <t>ITEM_HIVE1_SHOELACE</t>
  </si>
  <si>
    <t>NAME_SHOELACE</t>
  </si>
  <si>
    <t>SPRITE_HIVE1_SHOELACE</t>
  </si>
  <si>
    <t>SPRITE_SHOELACE_PICKABLE</t>
  </si>
  <si>
    <t>COND_OBSERVE_ITEM_HIVE1_SHOELACE, COND_TAKE_ITEM_HIVE1_SHOELACE, COND_TAKE_ITEM_HIVE1_SHOELACE_NOT, COND_TAKE_ITEM_HIVE1_SHOELACE_NOT_2</t>
  </si>
  <si>
    <t>COND_OBSERVE_ITEM_HIVE1_VALVE, COND_TAKE_HIVE1_VALVE, COND_TAKE_HIVE1_VALVE_2</t>
  </si>
  <si>
    <t>ITEM_LAST</t>
  </si>
  <si>
    <t>NAME_NPC_LAST</t>
  </si>
  <si>
    <t>SPRITE_LAST</t>
  </si>
  <si>
    <t>ACTION_COND_ID</t>
  </si>
  <si>
    <t>NeededEvents</t>
  </si>
  <si>
    <t>NeededMomentDay</t>
  </si>
  <si>
    <t>srcChar</t>
  </si>
  <si>
    <t>srcItem</t>
  </si>
  <si>
    <t>Action_OK</t>
  </si>
  <si>
    <t>Animation_OK</t>
  </si>
  <si>
    <t>Dialog_OK</t>
  </si>
  <si>
    <t>Phrase_OK</t>
  </si>
  <si>
    <t>UnchainCombiEvent</t>
  </si>
  <si>
    <t>EVENT_NONE</t>
  </si>
  <si>
    <t>MOMENT_ANY</t>
  </si>
  <si>
    <t>CHARACTER_NONE</t>
  </si>
  <si>
    <t>INTERACTION_NONE</t>
  </si>
  <si>
    <t>ITEM_USE_ANIMATION_NONE</t>
  </si>
  <si>
    <t>DIALOG_NONE</t>
  </si>
  <si>
    <t>PHRASE_NONE</t>
  </si>
  <si>
    <t>COND_OPEN_CHEST</t>
  </si>
  <si>
    <t>(NOT)EVENT_HIVE1_CHEST_OPENED</t>
  </si>
  <si>
    <t>INTERACTION_TAKE</t>
  </si>
  <si>
    <t>ITEM_USE_ANIMATION_TAKE</t>
  </si>
  <si>
    <t>EVENT_HIVE1_CHEST_OPENED</t>
  </si>
  <si>
    <t>COND_CLOSE_CHEST</t>
  </si>
  <si>
    <t>(NOT)EVENT_CARDS_PICKABLE_TAKEN</t>
  </si>
  <si>
    <t>EVENT_CARDS_PICKABLE_TAKEN</t>
  </si>
  <si>
    <t>(NOT)EVENT_HIVE1_WARDROBE_OPENED</t>
  </si>
  <si>
    <t>EVENT_HIVE1_WARDROBE_OPENED</t>
  </si>
  <si>
    <t>COND_TALK_REME_1</t>
  </si>
  <si>
    <t>INTERACTION_TALK</t>
  </si>
  <si>
    <t>DIALOG_REME_INTRO</t>
  </si>
  <si>
    <t>INTERACTION_OBSERVE</t>
  </si>
  <si>
    <t>ITEM_USE_ANIMATION_STARE_SCREEN</t>
  </si>
  <si>
    <t>DIALOG_SIMPLE</t>
  </si>
  <si>
    <t>PHRASE_OBSERVE_HIVE1_AD_BOARD_1</t>
  </si>
  <si>
    <t>EVENT_HIVE1_AD_BOARD_OBSERVED_1</t>
  </si>
  <si>
    <t>COND_EXIT_HIVE1_HALL_1</t>
  </si>
  <si>
    <t>(NOT)EVENT_HIVE1_AD_BOARD_OBSERVED_1</t>
  </si>
  <si>
    <t>INTERACTION_CROSS_DOOR</t>
  </si>
  <si>
    <t>PHRASE_NOT_EXIT_HIVE1_HALL_1</t>
  </si>
  <si>
    <t>COND_EXIT_HIVE1_HALL_2</t>
  </si>
  <si>
    <t>(NOT)EVENT_HIVE1_USED_BASIN</t>
  </si>
  <si>
    <t>PHRASE_NOT_EXIT_HIVE1_HALL_2</t>
  </si>
  <si>
    <t>COND_EXIT_HIVE1_HALL_3</t>
  </si>
  <si>
    <t>(NOT)EVENT_HIVE1_USED_PERFUME</t>
  </si>
  <si>
    <t>COND_USE_HIVE1_BASIN_NO_SOAP</t>
  </si>
  <si>
    <t>PHRASE_TAKE_HIVE1_BASIN_NO_SOAP</t>
  </si>
  <si>
    <t>COND_USE_HIVE1_BASIN_W_SOAP</t>
  </si>
  <si>
    <t>INTERACTION_USE</t>
  </si>
  <si>
    <t>ITEM_USE_ANIMATION_NORMAL</t>
  </si>
  <si>
    <t>PHRASE_TAKE_HIVE1_BASIN_SOAP</t>
  </si>
  <si>
    <t>EVENT_HIVE1_USED_BASIN</t>
  </si>
  <si>
    <t>COND_USE_HIVE1_BASIN_W_SOAP_REPEAT</t>
  </si>
  <si>
    <t>ITEM_USE_ANIMATION_CONFUSE</t>
  </si>
  <si>
    <t>PHRASE_ALREADY_COMBI</t>
  </si>
  <si>
    <t>(NOT)EVENT_SOAP_PICKABLE_TAKEN</t>
  </si>
  <si>
    <t>EVENT_SOAP_PICKABLE_TAKEN</t>
  </si>
  <si>
    <t>COND_USE_HIVE1_PERFUME</t>
  </si>
  <si>
    <t>(NOT)EVENT_HIVE1_USED_PERFUME, EVENT_HIVE1_USED_BASIN</t>
  </si>
  <si>
    <t>PHRASE_USE_HIVE1_PERFUME</t>
  </si>
  <si>
    <t>EVENT_HIVE1_USED_PERFUME</t>
  </si>
  <si>
    <t>COND_USE_HIVE1_PERFUME_NOT_1</t>
  </si>
  <si>
    <t>(NOT)EVENT_HIVE1_USED_PERFUME, (NOT)EVENT_HIVE1_USED_BASIN</t>
  </si>
  <si>
    <t>PHRASE_USE_HIVE1_PERFUME_NOT_1</t>
  </si>
  <si>
    <t>COND_USE_HIVE1_PERFUME_NOT_2</t>
  </si>
  <si>
    <t>PHRASE_USE_HIVE1_PERFUME_NOT_2</t>
  </si>
  <si>
    <t>COND_USE_CARDS_REME</t>
  </si>
  <si>
    <t>DIALOG_REME_CARDS</t>
  </si>
  <si>
    <t>EVENT_LAUNCH_SLEEP_DECISION</t>
  </si>
  <si>
    <t>(NOT)EVENT_CAN_GO_SOUTH_NEIGH</t>
  </si>
  <si>
    <t>PHRASE_WONT_GO_SOUTH_NEIGH</t>
  </si>
  <si>
    <t>(NOT)EVENT_PHARMACY_EMPTY</t>
  </si>
  <si>
    <t>DIALOG_TRY_TALK_PHARMACIST_1</t>
  </si>
  <si>
    <t>PHRASE_HELLO_DEER</t>
  </si>
  <si>
    <t>DIALOG_MANYO_OWNER_INTRO</t>
  </si>
  <si>
    <t>COND_TAKE_UMBRELLA_MORNING</t>
  </si>
  <si>
    <t>(NOT)EVENT_UMBRELLA_PICKABLE_TAKEN</t>
  </si>
  <si>
    <t>MOMENT_MORNING</t>
  </si>
  <si>
    <t>DIALOG_MANYO_UMBRELLA</t>
  </si>
  <si>
    <t>COND_TAKE_UMBRELLA_NIGHT</t>
  </si>
  <si>
    <t>MOMENT_NIGHT</t>
  </si>
  <si>
    <t>PHRASE_DIALOG_UMBRELLA_TAKEN</t>
  </si>
  <si>
    <t>EVENT_UMBRELLA_PICKABLE_TAKEN</t>
  </si>
  <si>
    <t>COND_DIALOGUE_MANYO_BCKG</t>
  </si>
  <si>
    <t>INTERACTION_AUTO_6s</t>
  </si>
  <si>
    <t>DIALOG_MANYO_BCKG_CROWD</t>
  </si>
  <si>
    <t>COND_OBSERVE_ITEM_HIVE1_POOR_MAN_WC</t>
  </si>
  <si>
    <t>PHRASE_OBSERVE_ITEM_HIVE1_POOR_MAN_WC</t>
  </si>
  <si>
    <t>COND_DIALOGUE_POOR_MAN_WC_BCKG</t>
  </si>
  <si>
    <t>EVENT_MANYO_LOOK_FOR_RECIPE_MISSION</t>
  </si>
  <si>
    <t>DIALOG_HIVE1_BCKG_POOR_MAN_WC</t>
  </si>
  <si>
    <t>COND_TALK_POOR_MAN_WC</t>
  </si>
  <si>
    <t>DIALOG_HIVE1_POOR_MAN_WC_INTRO</t>
  </si>
  <si>
    <t>COND_OBSERVE_ITEM_HIVE1_ROACH</t>
  </si>
  <si>
    <t>PHRASE_OBSERVE_ITEM_HIVE1_ROACH</t>
  </si>
  <si>
    <t>COND_OBSERVE_ITEM_HIVE1_PIPE</t>
  </si>
  <si>
    <t>(NOT)EVENT_POOR_MAN_WC_NEED_WATER</t>
  </si>
  <si>
    <t>PHRASE_OBSERVE_ITEM_HIVE1_BACKALLEY_PIPE</t>
  </si>
  <si>
    <t>COND_OBSERVE_ITEM_HIVE1_PIPE_2</t>
  </si>
  <si>
    <t>EVENT_POOR_MAN_WC_NEED_WATER</t>
  </si>
  <si>
    <t>PHRASE_OBSERVE_ITEM_HIVE1_PIPE</t>
  </si>
  <si>
    <t>EVENT_PIPE_OBSERVATION_1</t>
  </si>
  <si>
    <t>COND_TAKE_HIVE1_ROACH_HEAD</t>
  </si>
  <si>
    <t>PHRASE_TAKE_ITEM_HIVE1_ROACH_HEAD</t>
  </si>
  <si>
    <t>EVENT_COCKROACH_SCARED</t>
  </si>
  <si>
    <t>COND_OBSERVE_ITEM_HIVE1_VALVE_BOX</t>
  </si>
  <si>
    <t>(NOT)EVENT_PIPE_OBSERVATION_2</t>
  </si>
  <si>
    <t>PHRASE_OBSERVE_ITEM_HIVE1_VALVE_BOX</t>
  </si>
  <si>
    <t>COND_OBSERVE_ITEM_HIVE1_BACKALLEY_PIPE</t>
  </si>
  <si>
    <t>(NOT)EVENT_PIPE_OBSERVATION_1</t>
  </si>
  <si>
    <t>COND_OBSERVE_ITEM_HIVE1_BACKALLEY_PIPE_2</t>
  </si>
  <si>
    <t>PHRASE_OBSERVE_ITEM_HIVE1_BACKALLEY_PIPE_2</t>
  </si>
  <si>
    <t>EVENT_PIPE_OBSERVATION_2</t>
  </si>
  <si>
    <t>COND_OBSERVE_ITEM_HIVE1_VALVE_BOX_2</t>
  </si>
  <si>
    <t>PHRASE_OBSERVE_ITEM_HIVE1_VALVE_BOX_2</t>
  </si>
  <si>
    <t>COND_TAKE_VALVE_BOX_1</t>
  </si>
  <si>
    <t>PHRASE_TAKE_VALVE_BOX_CLOSED</t>
  </si>
  <si>
    <t>EVENT_VALVE_BOX_NEED_OPEN</t>
  </si>
  <si>
    <t>COND_TAKE_VALVE_BOX_MORNING</t>
  </si>
  <si>
    <t>PHRASE_TAKE_VALVE_BOX_CLOSED_MORNING</t>
  </si>
  <si>
    <t>COND_OBSERVE_ITEM_HIVE1_SHOELACE</t>
  </si>
  <si>
    <t>PHRASE_OBSERVE_ITEM_HIVE1_SHOELACE</t>
  </si>
  <si>
    <t>COND_TAKE_ITEM_HIVE1_SHOELACE_NOT</t>
  </si>
  <si>
    <t>(NOT)EVENT_VALVE_BOX_NEED_OPEN</t>
  </si>
  <si>
    <t>PHRASE_NO_REASON_TO_DO</t>
  </si>
  <si>
    <t>COND_TAKE_ITEM_HIVE1_SHOELACE_NOT_2</t>
  </si>
  <si>
    <t>COND_TAKE_ITEM_HIVE1_SHOELACE</t>
  </si>
  <si>
    <t>PHRASE_TAKE_ITEM_HIVE1_SHOELACE</t>
  </si>
  <si>
    <t>EVENT_ITEM_HIVE1_SHOELACE_PICKABLE_TAKEN</t>
  </si>
  <si>
    <t>COND_OBSERVE_ITEM_HIVE1_VALVE</t>
  </si>
  <si>
    <t>PHRASE_OBSERVE_ITEM_HIVE1_VALVE</t>
  </si>
  <si>
    <t>COND_USE_SHOELACE_VALVE_BOX</t>
  </si>
  <si>
    <t>(NOT)EVENT_VALVE_BOX_OPENED</t>
  </si>
  <si>
    <t>ITEM_USE_ANIMATION_POUR</t>
  </si>
  <si>
    <t>PHRASE_USE_SHOELACE_VALVE_BOX</t>
  </si>
  <si>
    <t>EVENT_VALVE_BOX_OPENED</t>
  </si>
  <si>
    <t>COND_TAKE_HIVE1_VALVE</t>
  </si>
  <si>
    <t>(NOT)EVENT_HIVE1_VALVE_ACTIVATED</t>
  </si>
  <si>
    <t>PHRASE_USE_HIVE1_VALVE</t>
  </si>
  <si>
    <t>EVENT_HIVE1_VALVE_ACTIVATED</t>
  </si>
  <si>
    <t>COND_TAKE_HIVE1_VALVE_2</t>
  </si>
  <si>
    <t>PHRASE_USE_HIVE1_VALVE_NOT</t>
  </si>
  <si>
    <t>COND_LAST</t>
  </si>
  <si>
    <t>UNCHAIN_ID</t>
  </si>
  <si>
    <t>Repeat</t>
  </si>
  <si>
    <t>Type</t>
  </si>
  <si>
    <t>IgnoreIfEvent</t>
  </si>
  <si>
    <t>TargetItem</t>
  </si>
  <si>
    <t>TargetSprite</t>
  </si>
  <si>
    <t>TargetCharacter</t>
  </si>
  <si>
    <t>TargetMemento</t>
  </si>
  <si>
    <t>TargetEvents</t>
  </si>
  <si>
    <t>TargetDecision</t>
  </si>
  <si>
    <t>TargetMomentOfDay</t>
  </si>
  <si>
    <t>UNCHAIN_ROOM1_INITIAL_MEMENTO_1</t>
  </si>
  <si>
    <t>UNCHAIN_TYPE_EVENT</t>
  </si>
  <si>
    <t>EVENT_FIRST</t>
  </si>
  <si>
    <t>MEMENTO_NONE</t>
  </si>
  <si>
    <t>DECISION_NONE</t>
  </si>
  <si>
    <t>UNCHAIN_ROOM1_INITIAL_MEMENTO_2</t>
  </si>
  <si>
    <t>UNCHAIN_TYPE_MEMENTO</t>
  </si>
  <si>
    <t>MEMENTO_JOB_FIND_1_1</t>
  </si>
  <si>
    <t>UNCHAIN_HIVE1_OPEN_CHEST_1</t>
  </si>
  <si>
    <t>UNCHAIN_TYPE_SET_SPRITE</t>
  </si>
  <si>
    <t>SPRITE_ITEM_CHEST_OPENED</t>
  </si>
  <si>
    <t>UNCHAIN_HIVE1_OPEN_CHEST_2</t>
  </si>
  <si>
    <t>UNCHAIN_TYPE_SPAWN</t>
  </si>
  <si>
    <t>UNCHAIN_HIVE1_OPEN_CHEST_3</t>
  </si>
  <si>
    <t>UNCHAIN_HIVE1_CLOSE_CHEST_1</t>
  </si>
  <si>
    <t>UNCHAIN_HIVE1_CLOSE_CHEST_2</t>
  </si>
  <si>
    <t>UNCHAIN_TYPE_DESPAWN</t>
  </si>
  <si>
    <t>UNCHAIN_HIVE1_CLOSE_CHEST_3</t>
  </si>
  <si>
    <t>UNCHAIN_CARDS_PICKABLE_TAKE_1</t>
  </si>
  <si>
    <t>UNCHAIN_TYPE_DESTROY</t>
  </si>
  <si>
    <t>UNCHAIN_CARDS_PICKABLE_TAKE_2</t>
  </si>
  <si>
    <t>UNCHAIN_TYPE_EARN_ITEM</t>
  </si>
  <si>
    <t>UNCHAIN_HIVE1_OPEN_WARDROBE_1</t>
  </si>
  <si>
    <t>UNCHAIN_HIVE1_OPEN_WARDROBE_2</t>
  </si>
  <si>
    <t>UNCHAIN_HIVE1_OPEN_WARDROBE_3</t>
  </si>
  <si>
    <t>UNCHAIN_HIVE1_CLOSE_WARDROBE_1</t>
  </si>
  <si>
    <t>UNCHAIN_HIVE1_CLOSE_WARDROBE_2</t>
  </si>
  <si>
    <t>UNCHAIN_HIVE1_CLOSE_WARDROBE_3</t>
  </si>
  <si>
    <t>UNCHAIN_OBSERVE_HIVE1_AD_BOARD_1</t>
  </si>
  <si>
    <t>MEMENTO_JOB_FIND_1_2</t>
  </si>
  <si>
    <t>UNCHAIN_SOAP_PICKABLE_TAKE_1</t>
  </si>
  <si>
    <t>UNCHAIN_SOAP_PICKABLE_TAKE_2</t>
  </si>
  <si>
    <t>UNCHAIN_SLEEP_DECISION</t>
  </si>
  <si>
    <t>UNCHAIN_TYPE_DECISION</t>
  </si>
  <si>
    <t>DECISION_SLEEP_1</t>
  </si>
  <si>
    <t>UNCHAIN_SLEEP_DECISION_2</t>
  </si>
  <si>
    <t>(NOT)EVENT_LAUNCH_SLEEP_DECISION</t>
  </si>
  <si>
    <t>UNCHAIN_REME_DAY</t>
  </si>
  <si>
    <t>UNCHAIN_PHARMACY_DOOR_AVAIL</t>
  </si>
  <si>
    <t>UNCHAIN_MANYO_OWNER</t>
  </si>
  <si>
    <t>UNCHAIN_MANYO_OWNER_NIGHT</t>
  </si>
  <si>
    <t>UNCHAIN_RECEIPT_MISSION_MEMENTO</t>
  </si>
  <si>
    <t>MEMENTO_RECIPE_MISSION_1</t>
  </si>
  <si>
    <t>UNCHAIN_UMBRELLA_TAKE_1</t>
  </si>
  <si>
    <t>UNCHAIN_UMBRELLA_TAKE_2</t>
  </si>
  <si>
    <t>UNCHAINER_ITEM_HIVE1_POOR_MAN_WC_SPAWN</t>
  </si>
  <si>
    <t>UNCHAIN_POOR_MAN_WC_EVENT_1</t>
  </si>
  <si>
    <t>MEMENTO_POOR_MAN_WC_1</t>
  </si>
  <si>
    <t>UNCHAINER_ITEM_HIVE1_ROACH_HEAD_SPAWN</t>
  </si>
  <si>
    <t>(NOT)EVENT_COCKROACH_CHEATED</t>
  </si>
  <si>
    <t>UNCHAINER_ITEM_HIVE1_ROACH_HEAD_DESPAWN</t>
  </si>
  <si>
    <t>UNCHAIN_REBUILD_COCHROACH_SCARED</t>
  </si>
  <si>
    <t>EVENT_COCKROACH_CHEATED</t>
  </si>
  <si>
    <t>EVENT_MASTER_CHANGE_ROOM</t>
  </si>
  <si>
    <t>(NOT)EVENT_COCKROACH_SCARED</t>
  </si>
  <si>
    <t>UNCHAINER_ITEM_HIVE1_SHOELACE_TAKE_1</t>
  </si>
  <si>
    <t>UNCHAINER_ITEM_HIVE1_SHOELACE_TAKE_2</t>
  </si>
  <si>
    <t>UNCHAINER_ITEM_HIVE1_VALVE_BOX_DESPAWN</t>
  </si>
  <si>
    <t>UNCHAINER_ITEM_HIVE1_VALVE_SPAWN</t>
  </si>
  <si>
    <t>UNCHAIN_LAST</t>
  </si>
  <si>
    <t>SPRITE_ID</t>
  </si>
  <si>
    <t>PATH</t>
  </si>
  <si>
    <t>SPRITE_ATLAS_UI_0[SPRITE_BLANK]</t>
  </si>
  <si>
    <t>SPRITE_CURSOR_NORMAL</t>
  </si>
  <si>
    <t>SPRITE_ATLAS_UI_0[SPRITE_CURSOR_NORMAL]</t>
  </si>
  <si>
    <t>SPRITE_CURSOR_USING</t>
  </si>
  <si>
    <t>SPRITE_ATLAS_UI_0[SPRITE_CURSOR_USING]</t>
  </si>
  <si>
    <t>SPRITE_CURSOR_DRAG</t>
  </si>
  <si>
    <t>SPRITE_ATLAS_UI_0[SPRITE_CURSOR_DRAG]</t>
  </si>
  <si>
    <t>SPRITE_INVENTORY</t>
  </si>
  <si>
    <t>SPRITE_ATLAS_UI_0[SPRITE_INVENTORY]</t>
  </si>
  <si>
    <t>SPRITE_UI_TAKE</t>
  </si>
  <si>
    <t>SPRITE_ATLAS_UI_0[SPRITE_ACTION_TAKE]</t>
  </si>
  <si>
    <t>SPRITE_UI_TALK</t>
  </si>
  <si>
    <t>SPRITE_ATLAS_UI_0[SPRITE_ACTION_TALK]</t>
  </si>
  <si>
    <t>SPRITE_UI_OBSERVE</t>
  </si>
  <si>
    <t>SPRITE_ATLAS_UI_0[SPRITE_ACTION_OBSERVE]</t>
  </si>
  <si>
    <t>SPRITE_UI_MOUSE_MOVE</t>
  </si>
  <si>
    <t>SPRITE_ATLAS_UI_0[SPRITE_MOUSE_MOVE]</t>
  </si>
  <si>
    <t>SPRITE_UI_CURSOR_DOOR</t>
  </si>
  <si>
    <t>SPRITE_ATLAS_UI_0[SPRITE_CURSOR_DOOR]</t>
  </si>
  <si>
    <t>BACKGROUND_HIVE1_ROOM1</t>
  </si>
  <si>
    <t>SPRITE_ATLAS_HIVE1_0[BACKGROUND_HIVE1_ROOM1]</t>
  </si>
  <si>
    <t>SPRITE_ATLAS_HIVE1_0[SPRITE_HIVE1_CHEST_CLOSED]</t>
  </si>
  <si>
    <t>SPRITE_ATLAS_HIVE1_0[SPRITE_HIVE1_CHEST_OPENED]</t>
  </si>
  <si>
    <t>SPRITE_ATLAS_HIVE1_0[SPRITE_HIVE1_CHEST_CARDS]</t>
  </si>
  <si>
    <t>SPRITE_ATLAS_PICKABLE_0[SPRITE_PICKABLE_CARDS]</t>
  </si>
  <si>
    <t>SPRITE_ITEM_DECO_BED_LAYER</t>
  </si>
  <si>
    <t>SPRITE_ATLAS_HIVE1_0[SPRITE_HIVE1_BED_LAYER]</t>
  </si>
  <si>
    <t>SPRITE_ATLAS_HIVE1_0[SPRITE_HIVE1_WARDROBE_OPENED]</t>
  </si>
  <si>
    <t>BACKGROUND_HIVE1_CORRIDOR1</t>
  </si>
  <si>
    <t>SPRITE_ATLAS_HIVE1_1[BACKGROUND_HIVE1_CORRIDOR1]</t>
  </si>
  <si>
    <t>SPRITE_ATLAS_HIVE1_1[SPRITE_HIVE1_REME_IDLE]</t>
  </si>
  <si>
    <t>BACKGROUND_HIVE1_HALL1</t>
  </si>
  <si>
    <t>SPRITE_ATLAS_HIVE1_2[BACKGROUND_HIVE1_HALL1]</t>
  </si>
  <si>
    <t>BACKGROUND_HIVE1_WC</t>
  </si>
  <si>
    <t>SPRITE_ATLAS_HIVE1_3[BACKGROUND_HIVE1_WC]</t>
  </si>
  <si>
    <t>SPRITE_MEMENTO_JOB</t>
  </si>
  <si>
    <t>SPRITE_ATLAS_PICKABLE_0[SPRITE_MEMENTO_JOB]</t>
  </si>
  <si>
    <t>SPRITE_ATLAS_PICKABLE_0[SPRITE_PICKABLE_SOAP]</t>
  </si>
  <si>
    <t>BACKGROUND_HIVE1_CORRIDOR1_N</t>
  </si>
  <si>
    <t>SPRITE_ATLAS_HIVE1_4[BACKGROUND_HIVE1_CORRIDOR1_NIGHT]</t>
  </si>
  <si>
    <t>BACKGROUND_HIVE1_HALL1_N</t>
  </si>
  <si>
    <t>SPRITE_ATLAS_HIVE1_5[BACKGROUND_HIVE1_HALL1_NIGHT]</t>
  </si>
  <si>
    <t>BACKGROUND_HIVE1_WC_N</t>
  </si>
  <si>
    <t>SPRITE_ATLAS_HIVE1_6[BACKGROUND_HIVE1_WC_NIGHT]</t>
  </si>
  <si>
    <t>BACKGROUND_CITY1_STREET1</t>
  </si>
  <si>
    <t>SPRITE_ATLAS_CITY1_1[BACKGROUND_CITY1_STREET1]</t>
  </si>
  <si>
    <t>BACKGROUND_CITY1_STREET1_N</t>
  </si>
  <si>
    <t>SPRITE_ATLAS_CITY1_2[BACKGROUND_CITY1_STREET1_NIGHT]</t>
  </si>
  <si>
    <t>BACKGROUND_CITY1_STREET2</t>
  </si>
  <si>
    <t>SPRITE_ATLAS_CITY2_1[BACKGROUND_CITY1_STREET2]</t>
  </si>
  <si>
    <t>BACKGROUND_CITY1_STREET2_N</t>
  </si>
  <si>
    <t>SPRITE_ATLAS_CITY2_2[BACKGROUND_CITY1_STREET2_NIGHT]</t>
  </si>
  <si>
    <t>BACKGROUND_PHARMACY1</t>
  </si>
  <si>
    <t>SPRITE_ATLAS_PHARMACY1_1[BACKGROUND_PHARMACY1]</t>
  </si>
  <si>
    <t>SPRITE_ATLAS_PHARMACY1_1[SPRITE_PHARMACY_QUEUE_1]</t>
  </si>
  <si>
    <t>SPRITE_ATLAS_PHARMACY1_1[SPRITE_PHARMACY_OWNER]</t>
  </si>
  <si>
    <t>BACKGROUND_CITY1_MANYO</t>
  </si>
  <si>
    <t>SPRITE_ATLAS_MANYO_0[BACKGROUND_CITY1_MANYO]</t>
  </si>
  <si>
    <t>BACKGROUND_CITY1_MANYO_NIGHT</t>
  </si>
  <si>
    <t>SPRITE_ATLAS_MANYO_1[BACKGROUND_CITY1_MANYO_NIGHT]</t>
  </si>
  <si>
    <t>SPRITE_ATLAS_MANYO_0[SPRITE_CITY1_MANYO_UMBRELLA]</t>
  </si>
  <si>
    <t>SPRITE_ATLAS_PICKABLE_0[SPRITE_PICKABLE_UMBRELLA]</t>
  </si>
  <si>
    <t>SPRITE_ATLAS_MANYO_0[SPRITE_MANYO_OWNER]</t>
  </si>
  <si>
    <t>SPRITE_MEMENTO_RECIPE</t>
  </si>
  <si>
    <t>SPRITE_ATLAS_PICKABLE_0[SPRITE_MEMENTO_RECIPE]</t>
  </si>
  <si>
    <t>SPRITE_ATLAS_HIVE1_6[SPRITE_HIVE1_POOR_MAN_STEADY]</t>
  </si>
  <si>
    <t>SPRITE_ATLAS_HIVE1_6[SPRITE_HIVE1_ROACH_HEAD]</t>
  </si>
  <si>
    <t>SPRITE_ATLAS_HIVE1_7[BACKGROUND_HIVE1_BACKALLEY]</t>
  </si>
  <si>
    <t>SPRITE_ATLAS_HIVE1_8[BACKGROUND_HIVE1_BACKALLEY_NIGHT]</t>
  </si>
  <si>
    <t>SPRITE_ATLAS_HIVE1_2[SPRITE_HIVE1_SHOELACE]</t>
  </si>
  <si>
    <t>SPRITE_ATLAS_PICKABLE_0[SPRITE_PICKABLE_SHOELACE]</t>
  </si>
  <si>
    <t>SPRITE_ATLAS_HIVE1_7[SPRITE_HIVE1_VALVE_BOX_OPENED]</t>
  </si>
  <si>
    <t>DIALOG_ID</t>
  </si>
  <si>
    <t>Options</t>
  </si>
  <si>
    <t>DIALOG_OPTION_NONE</t>
  </si>
  <si>
    <t>DIALOG_OPTION_SIMPLE</t>
  </si>
  <si>
    <t>DIALOG_OPTION_REME_INTRO</t>
  </si>
  <si>
    <t>DIALOG_REME</t>
  </si>
  <si>
    <t>DIALOG_OPTION_REME_1, DIALOG_OPTION_REME_2</t>
  </si>
  <si>
    <t>DIALOG_OPTION_REME_CARDS</t>
  </si>
  <si>
    <t>DIALOG_OPTION_TRY_TALK_PHARMACIST</t>
  </si>
  <si>
    <t>DIALOG_TRY_TALK_PHARMACIST_2</t>
  </si>
  <si>
    <t>DIALOG_OPTION_PHARMACIST_BUSY</t>
  </si>
  <si>
    <t>DIALOG_OPTION_MANYO_ONWER_INTRO</t>
  </si>
  <si>
    <t>DIALOG_MANYO_OWNER</t>
  </si>
  <si>
    <t>DIALOG_OPTION_MANYO_WORK_NOTE, DIALOG_OPTION_MANYO_WORKS_CITY, DIALOG_OPTION_MANYO_MENU_DAY, DIALOG_OPTION_MANYO_CROWD, DIALOG_OPTION_MANYO_BYE</t>
  </si>
  <si>
    <t>ITEM_PLAYER_MAIN, ITEM_ELMANYO_OWNER</t>
  </si>
  <si>
    <t>DIALOG_OPTION_MANYO_UMBRELLA</t>
  </si>
  <si>
    <t>DIALOG_OPTION_MANYO_BCKG_CROWD</t>
  </si>
  <si>
    <t>DIALOG_HIVE1_BCKG_POOR_MAN_WC_OPTIONS</t>
  </si>
  <si>
    <t>DIALOG_HIVE1_POOR_MAN_WC_OPTION_0, DIALOG_HIVE1_POOR_MAN_WC_OPTION_1, DIALOG_HIVE1_POOR_MAN_WC_OPTION_2, DIALOG_HIVE1_POOR_MAN_WC_OPTION_3</t>
  </si>
  <si>
    <t>DIALOG_HIVE1_POOR_MAN_WC_OPTION_INTRO</t>
  </si>
  <si>
    <t>DIALOG_LAST</t>
  </si>
  <si>
    <t>DIALOG_OPTION_ID</t>
  </si>
  <si>
    <t>NeededMomentOfDay</t>
  </si>
  <si>
    <t>EventTriggered</t>
  </si>
  <si>
    <t>DialogTriggered</t>
  </si>
  <si>
    <t>IsRandomized</t>
  </si>
  <si>
    <t>Phrases</t>
  </si>
  <si>
    <t>PHRASE_DIALOG_REME_INTRO_1, PHRASE_DIALOG_REME_INTRO_2, PHRASE_DIALOG_REME_INTRO_3</t>
  </si>
  <si>
    <t>DIALOG_OPTION_REME_1</t>
  </si>
  <si>
    <t>PHRASE_DIALOG_REME_1_1, PHRASE_DIALOG_REME_1_2, PHRASE_DIALOG_REME_1_3</t>
  </si>
  <si>
    <t>DIALOG_OPTION_REME_2</t>
  </si>
  <si>
    <t>PHRASE_DIALOG_REME_2_1</t>
  </si>
  <si>
    <t>PHRASE_USE_CARDS_REME_1, PHRASE_USE_CARDS_REME_2</t>
  </si>
  <si>
    <t>PHRASE_TRY_TALK_PHARMACIST_BUSY</t>
  </si>
  <si>
    <t>PHRASE_PHARMACIST_BUSY_1, PHRASE_PHARMACIST_BUSY_2</t>
  </si>
  <si>
    <t>PHRASE_DIALOG_MANYO_INTRO_1, PHRASE_DIALOG_MANYO_INTRO_2</t>
  </si>
  <si>
    <t>DIALOG_OPTION_MANYO_WORK_NOTE</t>
  </si>
  <si>
    <t>EVENT_MANYO_REFUSED_WORK</t>
  </si>
  <si>
    <t>PHRASE_DIALOG_MANYO_WORK_NOTE_1, PHRASE_DIALOG_MANYO_WORK_NOTE_2, PHRASE_DIALOG_MANYO_WORK_NOTE_3, PHRASE_DIALOG_MANYO_WORK_NOTE_4</t>
  </si>
  <si>
    <t>DIALOG_OPTION_MANYO_WORKS_CITY</t>
  </si>
  <si>
    <t>PHRASE_DIALOG_MANYO_WORKS_CITY_1, PHRASE_DIALOG_MANYO_WORKS_CITY_2</t>
  </si>
  <si>
    <t>DIALOG_OPTION_MANYO_MENU_DAY</t>
  </si>
  <si>
    <t>PHRASE_DIALOG_MANYO_MENU_DAY_1, PHRASE_DIALOG_MANYO_MENU_DAY_2, PHRASE_DIALOG_MANYO_MENU_DAY_3, PHRASE_DIALOG_MANYO_MENU_DAY_4, PHRASE_DIALOG_MANYO_MENU_DAY_5, PHRASE_DIALOG_MANYO_MENU_DAY_6</t>
  </si>
  <si>
    <t>DIALOG_OPTION_MANYO_CROWD</t>
  </si>
  <si>
    <t>PHRASE_DIALOG_MANYO_CROWD_1, PHRASE_DIALOG_MANYO_CROWD_2, PHRASE_DIALOG_MANYO_CROWD_3, PHRASE_DIALOG_MANYO_CROWD_4, PHRASE_DIALOG_MANYO_CROWD_5</t>
  </si>
  <si>
    <t>DIALOG_OPTION_MANYO_BYE</t>
  </si>
  <si>
    <t>PHRASE_DIALOG_MANYO_BYE_1</t>
  </si>
  <si>
    <t>PHRASE_DIALOG_MANYO_UMBRELLA_NOT_1</t>
  </si>
  <si>
    <t>PHRASE_DIALOG_MANYO_BCKG_CROWD_1, PHRASE_DIALOG_MANYO_BCKG_CROWD_2, PHRASE_DIALOG_MANYO_BCKG_CROWD_3</t>
  </si>
  <si>
    <t>PHRASE_DIALOG_HIVE1_BCKG_POOR_MAN_WC_OPTION_0_0, PHRASE_DIALOG_HIVE1_BCKG_POOR_MAN_WC_OPTION_1_0, PHRASE_DIALOG_HIVE1_BCKG_POOR_MAN_WC_OPTION_2_0, PHRASE_DIALOG_HIVE1_BCKG_POOR_MAN_WC_OPTION_3_0</t>
  </si>
  <si>
    <t>DIALOG_HIVE1_POOR_MAN_WC_OPTION_0</t>
  </si>
  <si>
    <t>PHRASE_DIALOG_HIVE1_POOR_MAN_WC_OPTION_0_0, PHRASE_DIALOG_HIVE1_POOR_MAN_WC_OPTION_0_1, PHRASE_DIALOG_HIVE1_POOR_MAN_WC_OPTION_0_2, PHRASE_DIALOG_HIVE1_POOR_MAN_WC_OPTION_0_3</t>
  </si>
  <si>
    <t>DIALOG_HIVE1_POOR_MAN_WC_OPTION_1</t>
  </si>
  <si>
    <t>PHRASE_DIALOG_HIVE1_POOR_MAN_WC_OPTION_1_0, PHRASE_DIALOG_HIVE1_POOR_MAN_WC_OPTION_1_1</t>
  </si>
  <si>
    <t>DIALOG_HIVE1_POOR_MAN_WC_OPTION_2</t>
  </si>
  <si>
    <t>PHRASE_DIALOG_HIVE1_POOR_MAN_WC_OPTION_2_0, PHRASE_DIALOG_HIVE1_POOR_MAN_WC_OPTION_2_1, PHRASE_DIALOG_HIVE1_POOR_MAN_WC_OPTION_2_2, PHRASE_DIALOG_HIVE1_POOR_MAN_WC_OPTION_2_3, PHRASE_DIALOG_HIVE1_POOR_MAN_WC_OPTION_2_4</t>
  </si>
  <si>
    <t>DIALOG_HIVE1_POOR_MAN_WC_OPTION_3</t>
  </si>
  <si>
    <t>PHRASE_DIALOG_HIVE1_POOR_MAN_WC_OPTION_3_0</t>
  </si>
  <si>
    <t>PHRASE_DIALOG_HIVE1_POOR_MAN_WC_INTRO_0, PHRASE_DIALOG_HIVE1_POOR_MAN_WC_INTRO_1, PHRASE_DIALOG_HIVE1_POOR_MAN_WC_INTRO_2</t>
  </si>
  <si>
    <t>DIALOG_OPTION_LAST</t>
  </si>
  <si>
    <t>DECISION_ID</t>
  </si>
  <si>
    <t>OPTIONS</t>
  </si>
  <si>
    <t>DECISION_OPTION_NONE</t>
  </si>
  <si>
    <t>DECISION_OPTION_NOT_SLEEP, DECISION_OPTION_SLEEP_NAP, DECISION_OPTION_SLEEP_LONG</t>
  </si>
  <si>
    <t>DECISION_ID_LAST</t>
  </si>
  <si>
    <t>DECISION_OPTION_LAST</t>
  </si>
  <si>
    <t>DECISION_OPTION_ID</t>
  </si>
  <si>
    <t>Phrase</t>
  </si>
  <si>
    <t>DECISION_OPTION_NOT_SLEEP</t>
  </si>
  <si>
    <t>PHRASE_DECISION_NOT_SLEEP</t>
  </si>
  <si>
    <t>DECISION_OPTION_SLEEP_NAP</t>
  </si>
  <si>
    <t>PHRASE_DECISION_SLEEP_NAP</t>
  </si>
  <si>
    <t>EVENT_MASTER_PENDING_SLEEP_NAP</t>
  </si>
  <si>
    <t>DECISION_OPTION_SLEEP_LONG</t>
  </si>
  <si>
    <t>PHRASE_DECISION_SLEEP_LONG</t>
  </si>
  <si>
    <t>EVENT_MASTER_PENDING_SLEEP_LONG</t>
  </si>
  <si>
    <t>NAME_ID</t>
  </si>
  <si>
    <t>Name_English</t>
  </si>
  <si>
    <t>Name_Spanish</t>
  </si>
  <si>
    <t>Constantino</t>
  </si>
  <si>
    <t>NAME_INTERACTION_TALK</t>
  </si>
  <si>
    <t>Talk</t>
  </si>
  <si>
    <t>Hablar</t>
  </si>
  <si>
    <t>NAME_INTERACTION_OBSERVE</t>
  </si>
  <si>
    <t>Observe</t>
  </si>
  <si>
    <t>Observar</t>
  </si>
  <si>
    <t>NAME_INTERACTION_TAKE</t>
  </si>
  <si>
    <t>Take</t>
  </si>
  <si>
    <t>Tomar</t>
  </si>
  <si>
    <t>Secretary desk</t>
  </si>
  <si>
    <t>Cajonera</t>
  </si>
  <si>
    <t>Remedios</t>
  </si>
  <si>
    <t>Perfum</t>
  </si>
  <si>
    <t>Perfume</t>
  </si>
  <si>
    <t>Card set</t>
  </si>
  <si>
    <t>Baraja naipes</t>
  </si>
  <si>
    <t>NAME_ITEM_MATCHES</t>
  </si>
  <si>
    <t>Matches</t>
  </si>
  <si>
    <t>Cerillas</t>
  </si>
  <si>
    <t>NAME_ITEM_DOPP</t>
  </si>
  <si>
    <t>Dopp kit</t>
  </si>
  <si>
    <t>Bolsa de aseo</t>
  </si>
  <si>
    <t>Wardrobe</t>
  </si>
  <si>
    <t>Armario</t>
  </si>
  <si>
    <t>Cross</t>
  </si>
  <si>
    <t>Cruzar</t>
  </si>
  <si>
    <t>NAME_MEMENTO_FIND_JOB_1</t>
  </si>
  <si>
    <t>Find job</t>
  </si>
  <si>
    <t>Encontrar trabajo</t>
  </si>
  <si>
    <t>Ad board</t>
  </si>
  <si>
    <t>Tablón de anuncios</t>
  </si>
  <si>
    <t>Basin</t>
  </si>
  <si>
    <t>Lavabo</t>
  </si>
  <si>
    <t>Soap</t>
  </si>
  <si>
    <t>Jabón</t>
  </si>
  <si>
    <t>Bed</t>
  </si>
  <si>
    <t>Cama</t>
  </si>
  <si>
    <t>South neighborhood</t>
  </si>
  <si>
    <t>Barrio sur</t>
  </si>
  <si>
    <t>City center</t>
  </si>
  <si>
    <t>Centro de la ciudad</t>
  </si>
  <si>
    <t>City periphery</t>
  </si>
  <si>
    <t>Barrio periferia</t>
  </si>
  <si>
    <t>Pharmacy</t>
  </si>
  <si>
    <t>Botica</t>
  </si>
  <si>
    <t>Client queue</t>
  </si>
  <si>
    <t>Cola de clientes</t>
  </si>
  <si>
    <t>Pharmacist</t>
  </si>
  <si>
    <t>Boticario</t>
  </si>
  <si>
    <t>Umbrella</t>
  </si>
  <si>
    <t>Paraguas</t>
  </si>
  <si>
    <t>Restaurant El Maño</t>
  </si>
  <si>
    <t>Restaurante El Maño</t>
  </si>
  <si>
    <t>Owner</t>
  </si>
  <si>
    <t>Propietario</t>
  </si>
  <si>
    <t>Stuffed deer</t>
  </si>
  <si>
    <t>Ciervo disecado</t>
  </si>
  <si>
    <t>NAME_MEMENTO_RECIPE_MISSION</t>
  </si>
  <si>
    <t>New recipe for El Maño</t>
  </si>
  <si>
    <t>Nueva receta para El Maño</t>
  </si>
  <si>
    <t>Crowd</t>
  </si>
  <si>
    <t>Gentío</t>
  </si>
  <si>
    <t>Poor man in WC</t>
  </si>
  <si>
    <t>Pobre hombre en letrina</t>
  </si>
  <si>
    <t>NAME_MEMENTO_PARENT_POOR_MAN_WC</t>
  </si>
  <si>
    <t>Un pobre hombre en la letrina</t>
  </si>
  <si>
    <t>Cockroach</t>
  </si>
  <si>
    <t>Cucaracha</t>
  </si>
  <si>
    <t>Pipe</t>
  </si>
  <si>
    <t>Tubería</t>
  </si>
  <si>
    <t>Valve box</t>
  </si>
  <si>
    <t>Caja de válvula</t>
  </si>
  <si>
    <t>Shoelace</t>
  </si>
  <si>
    <t>Cordón de bota</t>
  </si>
  <si>
    <t>Valve</t>
  </si>
  <si>
    <t>Válvula</t>
  </si>
  <si>
    <t>Last</t>
  </si>
  <si>
    <t>Ultimo</t>
  </si>
  <si>
    <t>PHRASE_ID</t>
  </si>
  <si>
    <t>TalkerIndex</t>
  </si>
  <si>
    <t>Sound</t>
  </si>
  <si>
    <t>CharAnimation</t>
  </si>
  <si>
    <t>Text_English</t>
  </si>
  <si>
    <t>Text_Spanish</t>
  </si>
  <si>
    <t>DIALOG_ANIMATION_NONE</t>
  </si>
  <si>
    <t>PHRASE_NONSENSE</t>
  </si>
  <si>
    <t>DIALOG_ANIMATION_TALK</t>
  </si>
  <si>
    <t>That has no sense!</t>
  </si>
  <si>
    <t>¡Eso no tiene sentido!</t>
  </si>
  <si>
    <t>PHRASE_NONSENSE_OBSERVE</t>
  </si>
  <si>
    <t>That has nothing outstanding</t>
  </si>
  <si>
    <t>No tiene nada del otro mundo</t>
  </si>
  <si>
    <t>PHRASE_NONSENSE_TALK</t>
  </si>
  <si>
    <t>Nothing to tell</t>
  </si>
  <si>
    <t>Nada que decir</t>
  </si>
  <si>
    <t>PHRASE_NONSENSE_NOT_THOUGHT</t>
  </si>
  <si>
    <t>I see no reason for doing that</t>
  </si>
  <si>
    <t>No veo razón para hacer eso</t>
  </si>
  <si>
    <t>PHRASE_NONSENSE_COMBI</t>
  </si>
  <si>
    <t>I don't get it - Too complicated</t>
  </si>
  <si>
    <t>No lo pillo - Es demasiado complicado</t>
  </si>
  <si>
    <t>I already thought that</t>
  </si>
  <si>
    <t>Ya le di una vuelta a aquello</t>
  </si>
  <si>
    <t>PHRASE_GREAT_IDEA_COMBI</t>
  </si>
  <si>
    <t>That is a great idea!</t>
  </si>
  <si>
    <t>Es una genial idea!</t>
  </si>
  <si>
    <t>PHRASE_DIALOG_REME_INTRO_1</t>
  </si>
  <si>
    <t>Good morning Reme</t>
  </si>
  <si>
    <t>Buenos días Reme</t>
  </si>
  <si>
    <t>PHRASE_DIALOG_REME_INTRO_2</t>
  </si>
  <si>
    <t>Be careful! It's just cleaned</t>
  </si>
  <si>
    <t>Me vas a pisar lo fregado!</t>
  </si>
  <si>
    <t>PHRASE_DIALOG_REME_INTRO_3</t>
  </si>
  <si>
    <t>(Oh... pretty clean)</t>
  </si>
  <si>
    <t>(Limpísimo está)</t>
  </si>
  <si>
    <t>PHRASE_DIALOG_REME_1_1</t>
  </si>
  <si>
    <t>Do you know if WC is usable today?</t>
  </si>
  <si>
    <t>Sabes si el aseo está usable hoy?</t>
  </si>
  <si>
    <t>PHRASE_DIALOG_REME_1_2</t>
  </si>
  <si>
    <t>It always works. It's you and all the scum living here who think you are highborn</t>
  </si>
  <si>
    <t>Claro que funciona. Tú y toda la morralla que vivís aquí os pensáis que sois marqueses</t>
  </si>
  <si>
    <t>PHRASE_DIALOG_REME_1_3</t>
  </si>
  <si>
    <t>It's downstairs as always! Be fast. Now there is nobody using it</t>
  </si>
  <si>
    <t>Está en el piso de abajo como siempre! Sé rápido. Ahora mismo no hay nadie usándolo</t>
  </si>
  <si>
    <t>Well! Have a nice day Reme!</t>
  </si>
  <si>
    <t>Bueno! Que tengas un florido día Reme!</t>
  </si>
  <si>
    <t>PHRASE_MEMENTO_FIND_JOB_1</t>
  </si>
  <si>
    <t>I moved to find a job. It is important to find something as soon as possible</t>
  </si>
  <si>
    <t>Me trasladé aquí para encontrar trabajo. Es importante encontrar algo tan pronto como sea</t>
  </si>
  <si>
    <t>They are offering cooker job in center of city. I don't know how this offer came here. I could try! It's called 'El maño'</t>
  </si>
  <si>
    <t>Se necesita cocinero en el centro de la ciudad. No sé ni cómo este anuncio ha llegado hasta aquí. Se podría intentar! El lugar se llama 'El maño'</t>
  </si>
  <si>
    <t>First I need to know WHERE to go</t>
  </si>
  <si>
    <t>Primero necesitaría saber a dónde voy</t>
  </si>
  <si>
    <t>I need to give a good first impression. Cannot go in this way</t>
  </si>
  <si>
    <t>Debo dar una buena impresión. No puedo ir así</t>
  </si>
  <si>
    <t>Self cleaning only with water is a mess</t>
  </si>
  <si>
    <t>Lavarse solo con agua es una guarrada</t>
  </si>
  <si>
    <t>Now that's actually self cleaning</t>
  </si>
  <si>
    <t>Ahora esto sí que es asearse</t>
  </si>
  <si>
    <t>Now that's actually good smelling! My father gifted it to me</t>
  </si>
  <si>
    <t>Esto sí que es oler bien! Mi padre me lo regaló</t>
  </si>
  <si>
    <t>Using perfume not being washed is a pig fact. Not my style</t>
  </si>
  <si>
    <t>Echarse perfume sin estar limpio es muy cerdo. No es mi estilo</t>
  </si>
  <si>
    <t>It's a matter of making it last as long as possible. I already used it</t>
  </si>
  <si>
    <t>Lo suyo es que el perfume me dure. Ya me he echado</t>
  </si>
  <si>
    <t>PHRASE_USE_CARDS_REME_1</t>
  </si>
  <si>
    <t>Do you want to play with cards?</t>
  </si>
  <si>
    <t>Quiere usted jugar una partidilla de cartas?</t>
  </si>
  <si>
    <t>PHRASE_USE_CARDS_REME_2</t>
  </si>
  <si>
    <t>WHO did you think I am? Card games is pure evil</t>
  </si>
  <si>
    <t>QUIEN se ha creido que soy? Los juegos de naipes son el mismísimo demonio</t>
  </si>
  <si>
    <t>Don't sleep</t>
  </si>
  <si>
    <t>No dormir</t>
  </si>
  <si>
    <t>Sleep for a while</t>
  </si>
  <si>
    <t>Echarse un rato</t>
  </si>
  <si>
    <t>Sleep until next day</t>
  </si>
  <si>
    <t>Dormir hasta el día siguiente</t>
  </si>
  <si>
    <t>That neighborhood is dangerous. Don't need to go there</t>
  </si>
  <si>
    <t>Ese barrio es muy peligroso. No necesito pasar por ahí</t>
  </si>
  <si>
    <t>Excuse me sir. It will be only one second</t>
  </si>
  <si>
    <t>Disculpe. Solo será un segundo</t>
  </si>
  <si>
    <t>PHRASE_PHARMACIST_BUSY_1</t>
  </si>
  <si>
    <t>Young! Don't you see I'm busy?</t>
  </si>
  <si>
    <t>Joven! No ves que estoy ocupado?</t>
  </si>
  <si>
    <t>PHRASE_PHARMACIST_BUSY_2</t>
  </si>
  <si>
    <t>Please go to queue if you want something</t>
  </si>
  <si>
    <t>Por favor. A la cola si quieres algo</t>
  </si>
  <si>
    <t>Hello!</t>
  </si>
  <si>
    <t>Hola!</t>
  </si>
  <si>
    <t>PHRASE_DIALOG_MANYO_INTRO_1</t>
  </si>
  <si>
    <t>How is it going sir?</t>
  </si>
  <si>
    <t>Cómo va la cosa señor?</t>
  </si>
  <si>
    <t>PHRASE_DIALOG_MANYO_INTRO_2</t>
  </si>
  <si>
    <t>Did you do a reservation?</t>
  </si>
  <si>
    <t>Hizo reserva para hoy?</t>
  </si>
  <si>
    <t>PHRASE_DIALOG_MANYO_WORK_NOTE_1</t>
  </si>
  <si>
    <t>I saw a note out there. You are searching for a cooker. Right?</t>
  </si>
  <si>
    <t>Vi una nota. Estáis buscando un cocinero. Verdad?</t>
  </si>
  <si>
    <t>PHRASE_DIALOG_MANYO_WORK_NOTE_2</t>
  </si>
  <si>
    <t>Yes. That was six months ago! We have a cooker and things are going on quite good</t>
  </si>
  <si>
    <t>Sí. Eso fue hace seis meses! Tenemos cocinero y las cosas están yendo bastante bien</t>
  </si>
  <si>
    <t>PHRASE_DIALOG_MANYO_WORK_NOTE_3</t>
  </si>
  <si>
    <t>I see... Ok. So you are not looking for any worker here</t>
  </si>
  <si>
    <t>Ya veo... Ok. Entonces no estáis buscando a ningún trabajador aquí</t>
  </si>
  <si>
    <t>PHRASE_DIALOG_MANYO_WORK_NOTE_4</t>
  </si>
  <si>
    <t>I'm sorry for you. By the moment is all covered here</t>
  </si>
  <si>
    <t>Lo siento por ti. Por el momento aquí está todo cubierto</t>
  </si>
  <si>
    <t>PHRASE_DIALOG_MANYO_WORKS_CITY_1</t>
  </si>
  <si>
    <t>Do you know about some business here looking for a worker?</t>
  </si>
  <si>
    <t>Conoces de algún negocio por aquí que busquen trabajadores?</t>
  </si>
  <si>
    <t>PHRASE_DIALOG_MANYO_WORKS_CITY_2</t>
  </si>
  <si>
    <t>By the moment... Just wait. I guess Pharmacist in this street was looking for help</t>
  </si>
  <si>
    <t>Por el momento... Espera. Creo que el boticario de esta calle estaba buscando ayuda</t>
  </si>
  <si>
    <t>PHRASE_DIALOG_MANYO_MENU_DAY_1</t>
  </si>
  <si>
    <t>What are you cooking today?</t>
  </si>
  <si>
    <t>Qué cocináis para hoy?</t>
  </si>
  <si>
    <t>PHRASE_DIALOG_MANYO_MENU_DAY_2</t>
  </si>
  <si>
    <t>How good is you are asking for it!</t>
  </si>
  <si>
    <t>Qué bueno que lo preguntes!</t>
  </si>
  <si>
    <t>PHRASE_DIALOG_MANYO_MENU_DAY_3</t>
  </si>
  <si>
    <t>We have boar from La Mancha with potatoes. Also carrot for dessert</t>
  </si>
  <si>
    <t>Tenemos jabalí manchego con patatas. Y de postre zanahoria</t>
  </si>
  <si>
    <t>PHRASE_DIALOG_MANYO_MENU_DAY_4</t>
  </si>
  <si>
    <t>Yuuk</t>
  </si>
  <si>
    <t>Puaj</t>
  </si>
  <si>
    <t>PHRASE_DIALOG_MANYO_MENU_DAY_5</t>
  </si>
  <si>
    <t>Are you eating here today?</t>
  </si>
  <si>
    <t>Comerás aquí hoy?</t>
  </si>
  <si>
    <t>PHRASE_DIALOG_MANYO_MENU_DAY_6</t>
  </si>
  <si>
    <t>Nope</t>
  </si>
  <si>
    <t>No</t>
  </si>
  <si>
    <t>PHRASE_DIALOG_MANYO_CROWD_1</t>
  </si>
  <si>
    <t>It's incredible. There is no free place this night!</t>
  </si>
  <si>
    <t>Impresionante. No queda un hueco esta noche</t>
  </si>
  <si>
    <t>PHRASE_DIALOG_MANYO_CROWD_2</t>
  </si>
  <si>
    <t>They are tasting boar with potatoes! But I fear they won't come again if we don't offer new menus</t>
  </si>
  <si>
    <t>Están probando el jabalí con patatas! Pero temo que no volverán hasta que no ofrezcamos menus nuevos</t>
  </si>
  <si>
    <t>PHRASE_DIALOG_MANYO_CROWD_3</t>
  </si>
  <si>
    <t>Do you know of a new receipt for this restaurant? You wanted to be cooker. Right?</t>
  </si>
  <si>
    <t>Conoces nuevas recetas para el restaurante? Tú querías ser cocinero. Verdad?</t>
  </si>
  <si>
    <t>PHRASE_DIALOG_MANYO_CROWD_4</t>
  </si>
  <si>
    <t>If you find out new recipes. Don't hesitate and come one morning and tell me. I will reward you</t>
  </si>
  <si>
    <t>Si averiguas nuevas recetas. No dudes en acercarte una mañana y contarme. Te recompensaré</t>
  </si>
  <si>
    <t>PHRASE_DIALOG_MANYO_CROWD_5</t>
  </si>
  <si>
    <t>I'll review my sources and keep you informed. Sir!</t>
  </si>
  <si>
    <t>Revisaré mis fuentes y te mantendré informado. Señor!</t>
  </si>
  <si>
    <t>Have a nice day!</t>
  </si>
  <si>
    <t>Que tenga un buen día!</t>
  </si>
  <si>
    <t>PHRASE_MEMENTO_RECIPE_MISSION_1</t>
  </si>
  <si>
    <t>Restaurant owner needs a new recipe to have new customers. He promises a reward</t>
  </si>
  <si>
    <t>El dueño del restaurante necesita una nueva receta para tener nuevos clientes. Él promete una recompensa</t>
  </si>
  <si>
    <t>Is this umbrella yours? Somebody left it days ago. God people don't take what doesn't belong to them</t>
  </si>
  <si>
    <t>Es tuyo el paraguas? Alguien se lo dejó hace días. La gente de Dios no se apropia de lo que no es suyo</t>
  </si>
  <si>
    <t>I'll give you back some day!</t>
  </si>
  <si>
    <t>Te lo traeré de vuelta algún día!</t>
  </si>
  <si>
    <t>PHRASE_DIALOG_MANYO_BCKG_CROWD_1</t>
  </si>
  <si>
    <t>You must try the wine</t>
  </si>
  <si>
    <t>Tienes que probar el vino!</t>
  </si>
  <si>
    <t>PHRASE_DIALOG_MANYO_BCKG_CROWD_2</t>
  </si>
  <si>
    <t>For sure! I'm getting dry with this meat</t>
  </si>
  <si>
    <t>Desde luego! Me estoy quedando seco con esta carne</t>
  </si>
  <si>
    <t>PHRASE_DIALOG_MANYO_BCKG_CROWD_3</t>
  </si>
  <si>
    <t>Card match is promising this night</t>
  </si>
  <si>
    <t>La partida de naipes esta noche va a ser de cine</t>
  </si>
  <si>
    <t>It was a poor man suffering of a bad dinner</t>
  </si>
  <si>
    <t>Era un pobre hombre sufriendo de una mala cena</t>
  </si>
  <si>
    <t>PHRASE_DIALOG_HIVE1_BCKG_POOR_MAN_WC_OPTION_0_0</t>
  </si>
  <si>
    <t>(Prrrrr)</t>
  </si>
  <si>
    <t>PHRASE_DIALOG_HIVE1_BCKG_POOR_MAN_WC_OPTION_1_0</t>
  </si>
  <si>
    <t>Is this going to end somewhen?</t>
  </si>
  <si>
    <t>PHRASE_DIALOG_HIVE1_BCKG_POOR_MAN_WC_OPTION_2_0</t>
  </si>
  <si>
    <t>This is torture</t>
  </si>
  <si>
    <t>PHRASE_DIALOG_HIVE1_BCKG_POOR_MAN_WC_OPTION_3_0</t>
  </si>
  <si>
    <t>I should have never eat that dinner</t>
  </si>
  <si>
    <t>PHRASE_DIALOG_HIVE1_POOR_MAN_WC_OPTION_0_0</t>
  </si>
  <si>
    <t>Terrible night. Ah?</t>
  </si>
  <si>
    <t>PHRASE_DIALOG_HIVE1_POOR_MAN_WC_OPTION_0_1</t>
  </si>
  <si>
    <t>It was that Maño restaurant. Boar was terrible</t>
  </si>
  <si>
    <t>PHRASE_DIALOG_HIVE1_POOR_MAN_WC_OPTION_0_2</t>
  </si>
  <si>
    <t>I saw it full of people. Don't think it was in bad state</t>
  </si>
  <si>
    <t>PHRASE_DIALOG_HIVE1_POOR_MAN_WC_OPTION_0_3</t>
  </si>
  <si>
    <t>Well. Maybe my stomach is not in mood!</t>
  </si>
  <si>
    <t>PHRASE_DIALOG_HIVE1_POOR_MAN_WC_OPTION_1_0</t>
  </si>
  <si>
    <t>Are you going to end today?</t>
  </si>
  <si>
    <t>PHRASE_DIALOG_HIVE1_POOR_MAN_WC_OPTION_1_1</t>
  </si>
  <si>
    <t>Haha. Very funny. If I could. I would be out there. Night is young</t>
  </si>
  <si>
    <t>PHRASE_DIALOG_HIVE1_POOR_MAN_WC_OPTION_2_0</t>
  </si>
  <si>
    <t>How can I help you?</t>
  </si>
  <si>
    <t>PHRASE_DIALOG_HIVE1_POOR_MAN_WC_OPTION_2_1</t>
  </si>
  <si>
    <t>This nasty Inn is cutting water at night. I cannot let this in this state</t>
  </si>
  <si>
    <t>PHRASE_DIALOG_HIVE1_POOR_MAN_WC_OPTION_2_2</t>
  </si>
  <si>
    <t>Ahh. I see...</t>
  </si>
  <si>
    <t>PHRASE_DIALOG_HIVE1_POOR_MAN_WC_OPTION_2_3</t>
  </si>
  <si>
    <t>Could you please talk to someone to bring water again?</t>
  </si>
  <si>
    <t>PHRASE_DIALOG_HIVE1_POOR_MAN_WC_OPTION_2_4</t>
  </si>
  <si>
    <t>I will see what can I do. But personnel is absent during day. Even worse at night</t>
  </si>
  <si>
    <t>PHRASE_DIALOG_HIVE1_POOR_MAN_WC_INTRO_0</t>
  </si>
  <si>
    <t>Did you come to laugh at my disgrace?</t>
  </si>
  <si>
    <t>PHRASE_DIALOG_HIVE1_POOR_MAN_WC_INTRO_1</t>
  </si>
  <si>
    <t>Did I wake you up?</t>
  </si>
  <si>
    <t>PHRASE_DIALOG_HIVE1_POOR_MAN_WC_INTRO_2</t>
  </si>
  <si>
    <t>Are you from health department?</t>
  </si>
  <si>
    <t>PHRASE_MEMENTO_POOR_MAN_WC_1</t>
  </si>
  <si>
    <t>A poor man can't leave WC because there is no water in toilet system</t>
  </si>
  <si>
    <t>El pobre hombre no puede irse porque no hay agua en las cisternas de los inodoros</t>
  </si>
  <si>
    <t>PHRASE_MEMENTO_POOR_MAN_WC_2</t>
  </si>
  <si>
    <t>It seems to be a valve in back alley but is closed</t>
  </si>
  <si>
    <t>Parece haber una válvula en el callejón de atrás pero está cerrada</t>
  </si>
  <si>
    <t>PHRASE_MEMENTO_POOR_MAN_WC_3</t>
  </si>
  <si>
    <t>When water came back. This man gave me an invitation to a Pub where I could meet someone for a job</t>
  </si>
  <si>
    <t>Cuando el agua volvió. Este hombre me dio una invitación a un Pub donde podría conocer a alguien para un trabajo</t>
  </si>
  <si>
    <t>It is a tiny cockroach! The only living being human is terrified of</t>
  </si>
  <si>
    <t>Es una cucarachita pequeña! El único ser vivo al que el ser humano teme</t>
  </si>
  <si>
    <t>This pipe may bring water to toilets and is comming from outside</t>
  </si>
  <si>
    <t>It squeezed! I need to try it again or be smarter</t>
  </si>
  <si>
    <t>Se escapó! Necesito volver a intentarlo o ser más listo que ella</t>
  </si>
  <si>
    <t>It seems like a closed box for some mechanism</t>
  </si>
  <si>
    <t>Parece una caja de control de algún mecanismo</t>
  </si>
  <si>
    <t>Its a normal pipe</t>
  </si>
  <si>
    <t>Es una tubería normal</t>
  </si>
  <si>
    <t>This is the next part of toilets pipe. Therefore Its valve should be in that box</t>
  </si>
  <si>
    <t>Esta es la continuación de la tubería de los aseos. Por lo que la válvula debería estar en ese cuadro</t>
  </si>
  <si>
    <t>Valve to activate water should be inside that box</t>
  </si>
  <si>
    <t>La válvula para abrir el agua debería estar dentro de ese cuadro</t>
  </si>
  <si>
    <t>Door is unlocked. But its hard to open. I can't put my fingers inside and open</t>
  </si>
  <si>
    <t>La cerradura está abierta. Pero es difícil de abrir. No me caben los dedos en la rendija para abrir</t>
  </si>
  <si>
    <t>I don't want to be seen manipulating things at this hour</t>
  </si>
  <si>
    <t>No quiero que me vean manipulando cosas a esta hora del día</t>
  </si>
  <si>
    <t>It's a shoelace lost from some guest</t>
  </si>
  <si>
    <t>I don't have a reason to take it</t>
  </si>
  <si>
    <t>No tengo razón para cogerlo</t>
  </si>
  <si>
    <t>Maybe it could be useful to open things</t>
  </si>
  <si>
    <t>Podría ser útil para abrir cosas</t>
  </si>
  <si>
    <t>Esta válvula parece controlar el flujo de agua a la pensión</t>
  </si>
  <si>
    <t>Much easier with lace help!</t>
  </si>
  <si>
    <t>Mucho mejor con ayuda del cordón!</t>
  </si>
  <si>
    <t>Water should be flowing now inside!</t>
  </si>
  <si>
    <t>El agua ahora debería fluir hacia la pensión</t>
  </si>
  <si>
    <t>I am not manipulating that thing again</t>
  </si>
  <si>
    <t>No pienso volver a manipular eso</t>
  </si>
  <si>
    <t>PHRASE_DIALOG_LAST</t>
  </si>
  <si>
    <t>Last one</t>
  </si>
  <si>
    <t>ROOM_ID</t>
  </si>
  <si>
    <t>BackgroundSprite</t>
  </si>
  <si>
    <t>NeededBackgrounds_Sprites</t>
  </si>
  <si>
    <t>NeededItems</t>
  </si>
  <si>
    <t>NeededNames</t>
  </si>
  <si>
    <t>BackgroundActionConditions</t>
  </si>
  <si>
    <t>NeededPhrases</t>
  </si>
  <si>
    <t>ROOM_NONE</t>
  </si>
  <si>
    <t>HIVE1_ROOM_1</t>
  </si>
  <si>
    <t>BACKGROUND_HIVE1_ROOM1, SPRITE_ITEM_DECO_BED_LAYER</t>
  </si>
  <si>
    <t>ITEM_CARDS_PICKABLE, ITEM_HIVE1_CHEST, ITEM_HIVE1_WARDROBE, ITEM_HIVE1_WARDROBE_OPENED, ITEM_GENERIC_DOOR1, ITEM_HIVE1_PERFUME, ITEM_SOAP_PICKABLE, ITEM_HIVE1_BED</t>
  </si>
  <si>
    <t>PHRASE_NONSENSE, PHRASE_DECISION_NOT_SLEEP, PHRASE_DECISION_SLEEP_NAP, PHRASE_DECISION_SLEEP_LONG</t>
  </si>
  <si>
    <t>HIVE1_CORRIDOR_1</t>
  </si>
  <si>
    <t>BACKGROUND_HIVE1_CORRIDOR1, BACKGROUND_HIVE1_CORRIDOR1_N</t>
  </si>
  <si>
    <t>ITEM_GENERIC_DOOR1, ITEM_HIVE1_NPC_REME</t>
  </si>
  <si>
    <t>HIVE1_HALL_1</t>
  </si>
  <si>
    <t>BACKGROUND_HIVE1_HALL1, BACKGROUND_HIVE1_HALL1_N</t>
  </si>
  <si>
    <t>ITEM_GENERIC_DOOR1, ITEM_GENERIC_DOOR2, ITEM_HIVE1_AD_BOARD, ITEM_HIVE1_EXIT_DOOR, ITEM_HIVE1_POOR_MAN_WC, ITEM_HIVE1_SHOELACE</t>
  </si>
  <si>
    <t>HIVE1_WC_1</t>
  </si>
  <si>
    <t>BACKGROUND_HIVE1_WC, BACKGROUND_HIVE1_WC_N</t>
  </si>
  <si>
    <t>ITEM_GENERIC_DOOR1, ITEM_HIVE1_BASIN, ITEM_HIVE1_POOR_MAN_WC, ITEM_HIVE1_ROACH_HEAD, ITEM_HIVE1_PIPE</t>
  </si>
  <si>
    <t>CITY1_STREET_1</t>
  </si>
  <si>
    <t>BACKGROUND_CITY1_STREET1, BACKGROUND_CITY1_STREET1_N</t>
  </si>
  <si>
    <t>ITEM_GENERIC_DOOR1, ITEM_STREET1_STH_DOOR, ITEM_STREET1_CENTER_DOOR</t>
  </si>
  <si>
    <t>CITY1_STREET_2</t>
  </si>
  <si>
    <t>BACKGROUND_CITY1_STREET2, BACKGROUND_CITY1_STREET2_N</t>
  </si>
  <si>
    <t>ITEM_STREET2_PERIPH_DOOR, ITEM_PHARMACY_DOOR, ITEM_ELMANYO_DOOR</t>
  </si>
  <si>
    <t>PHARMACY_1</t>
  </si>
  <si>
    <t>ITEM_GENERIC_DOOR1, ITEM_PHARMACY_NPC_QUEUE, ITEM_PHARMACY_NPC_OWNER</t>
  </si>
  <si>
    <t>MANYO_1</t>
  </si>
  <si>
    <t>BACKGROUND_CITY1_MANYO, BACKGROUND_CITY1_MANYO_NIGHT</t>
  </si>
  <si>
    <t>ITEM_CITY1_UMBRELLA, ITEM_GENERIC_DOOR1, ITEM_ELMANYO_OWNER, ITEM_STUFFED_DEER, ITEM_ELMANYO_OWNER_NIGHT, ITEM_ELMANYO_CROWD</t>
  </si>
  <si>
    <t>BACKGROUND_BACKALLEY, BACKGROUND_BACKALLEY_NIGHT</t>
  </si>
  <si>
    <t>ITEM_GENERIC_DOOR1, ITEM_HIVE1_VALVE_BOX, ITEM_HIVE1_BACKALLEY_PIPE, ITEM_HIVE1_VALVE</t>
  </si>
  <si>
    <t>ROOM_LAST</t>
  </si>
  <si>
    <t>CHARACTER_TYPE_ID</t>
  </si>
  <si>
    <t>CHARACTER_PARROT</t>
  </si>
  <si>
    <t>CHARACTER_SNAKE</t>
  </si>
  <si>
    <t>ANIMATION_ID</t>
  </si>
  <si>
    <t>INTERACTION_ID</t>
  </si>
  <si>
    <t>INTERACTION_MOVE</t>
  </si>
  <si>
    <t>UNCHAIN_TYPE_ID</t>
  </si>
  <si>
    <t>UNCHAIN_TYPE_UNCLICKABLE</t>
  </si>
  <si>
    <t>UNCHAIN_TYPE_LOSE_ITEM</t>
  </si>
  <si>
    <t>UNCHAIN_TYPE_NOTIF</t>
  </si>
  <si>
    <t>UNCHAIN_TYPE_CHANGE_MOMENT_DAY</t>
  </si>
  <si>
    <t>DIALOG_ANIMATION_ID</t>
  </si>
  <si>
    <t>ITEM_FAMILY_TYPE_ID</t>
  </si>
  <si>
    <t>MOMENT_TYPE_ID</t>
  </si>
  <si>
    <t>EVENT_ID</t>
  </si>
  <si>
    <t>EVENT_MASTER_CHANGE_MOMENT_DAY</t>
  </si>
  <si>
    <t>EVENT_CAN_GO_SOUTH_NEIGH</t>
  </si>
  <si>
    <t>EVENT_PHARMACY_EMPTY</t>
  </si>
  <si>
    <t>EVENT_LAST</t>
  </si>
  <si>
    <t>MEMENTO_PARENT_ID</t>
  </si>
  <si>
    <t>Sprite</t>
  </si>
  <si>
    <t>Children</t>
  </si>
  <si>
    <t>MEMENTO_PARENT_NONE</t>
  </si>
  <si>
    <t>MEMENTO_PARENT_JOB_FIND_1</t>
  </si>
  <si>
    <t>MEMENTO_PARENT_RECIPE_MISSION</t>
  </si>
  <si>
    <t>MEMENTO_PARENT_LAST</t>
  </si>
  <si>
    <t>MEMENTO_ID</t>
  </si>
  <si>
    <t>Parent</t>
  </si>
  <si>
    <t>Combinations</t>
  </si>
  <si>
    <t>Final</t>
  </si>
  <si>
    <t>MEMENTO_COMBI_NONE</t>
  </si>
  <si>
    <t>MEMENTO_POOR_MAN_WC_2</t>
  </si>
  <si>
    <t>MEMENTO_POOR_MAN_WC_3</t>
  </si>
  <si>
    <t>MEMENTO_LAST</t>
  </si>
  <si>
    <t>MEMENTO_COMBI_ID</t>
  </si>
  <si>
    <t>TriggeredEvent</t>
  </si>
  <si>
    <t>EVENT_COMBI_ID</t>
  </si>
  <si>
    <t>TASK</t>
  </si>
  <si>
    <t>PRIO</t>
  </si>
  <si>
    <t>DONE</t>
  </si>
  <si>
    <t>ONGOING</t>
  </si>
  <si>
    <t>Talk with characters</t>
  </si>
  <si>
    <t>Plot (1st part)</t>
  </si>
  <si>
    <t>Improve Waypoint Tool (naming)</t>
  </si>
  <si>
    <t>Language files</t>
  </si>
  <si>
    <t>Background objects layers</t>
  </si>
  <si>
    <t>Bug with menu of items (not selecting)</t>
  </si>
  <si>
    <t>Loading screen between rooms</t>
  </si>
  <si>
    <t>Main event list (Tomba style)</t>
  </si>
  <si>
    <t>Parry - Notifications - Max 4 queue</t>
  </si>
  <si>
    <t>Trophies</t>
  </si>
  <si>
    <t>Observe items, NPCs, trigger events</t>
  </si>
  <si>
    <t>Seealso in services. Add owner in descr</t>
  </si>
  <si>
    <t>Avoid services modifying VARMAP</t>
  </si>
  <si>
    <t>Normalize menu items with dialog opts</t>
  </si>
  <si>
    <t>Use Dictionaries for LevelManager</t>
  </si>
  <si>
    <t>State change deactivation/activation</t>
  </si>
  <si>
    <t>Adressables instead of Resources</t>
  </si>
  <si>
    <t>Sprite Atlas addressable</t>
  </si>
  <si>
    <t>Enshorten stack</t>
  </si>
  <si>
    <t>Re-think usage of ITEM_TAKE, USE_TALK</t>
  </si>
  <si>
    <t>Spawn/Despawn conditions</t>
  </si>
  <si>
    <t>Drag with mouse</t>
  </si>
  <si>
    <t>Zoom</t>
  </si>
  <si>
    <t>More upper button commands</t>
  </si>
  <si>
    <t>Waypoint numeration in Editor</t>
  </si>
  <si>
    <t>Use one raycast for all objets (Input)</t>
  </si>
  <si>
    <t>Make character go slower on far depths</t>
  </si>
  <si>
    <t>Waypoints only reachable for actions</t>
  </si>
  <si>
    <t>Decission actions (like dialogs)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</si>
</sst>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1.0"/>
      <color theme="1"/>
      <name val="Calibri"/>
      <scheme val="minor"/>
    </font>
    <font>
      <color theme="1"/>
      <name val="Calibri"/>
      <scheme val="minor"/>
    </font>
    <font>
      <color theme="1"/>
      <name val="Calibri"/>
    </font>
    <font>
      <sz val="11.0"/>
      <color rgb="FF000000"/>
      <name val="Calibri"/>
    </font>
    <font>
      <sz val="11.0"/>
      <color theme="1"/>
      <name val="Calibri"/>
    </font>
  </fonts>
  <fills count="6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6D9EEB"/>
        <bgColor rgb="FF6D9EEB"/>
      </patternFill>
    </fill>
    <fill>
      <patternFill patternType="solid">
        <fgColor rgb="FF4A86E8"/>
        <bgColor rgb="FF4A86E8"/>
      </patternFill>
    </fill>
    <fill>
      <patternFill patternType="solid">
        <fgColor rgb="FFC9DAF8"/>
        <bgColor rgb="FFC9DAF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1" fillId="2" fontId="1" numFmtId="0" xfId="0" applyAlignment="1" applyBorder="1" applyFill="1" applyFont="1">
      <alignment readingOrder="0" shrinkToFit="0" vertical="center" wrapText="0"/>
    </xf>
    <xf borderId="1" fillId="2" fontId="1" numFmtId="0" xfId="0" applyAlignment="1" applyBorder="1" applyFont="1">
      <alignment horizontal="center" readingOrder="0" shrinkToFit="0" vertical="center" wrapText="0"/>
    </xf>
    <xf borderId="1" fillId="2" fontId="1" numFmtId="0" xfId="0" applyAlignment="1" applyBorder="1" applyFont="1">
      <alignment readingOrder="0" shrinkToFit="0" vertical="center" wrapText="0"/>
    </xf>
    <xf borderId="1" fillId="3" fontId="1" numFmtId="0" xfId="0" applyAlignment="1" applyBorder="1" applyFill="1" applyFont="1">
      <alignment readingOrder="0" shrinkToFit="0" vertical="center" wrapText="0"/>
    </xf>
    <xf borderId="1" fillId="4" fontId="1" numFmtId="0" xfId="0" applyAlignment="1" applyBorder="1" applyFill="1" applyFont="1">
      <alignment shrinkToFit="0" vertical="center" wrapText="0"/>
    </xf>
    <xf borderId="1" fillId="2" fontId="1" numFmtId="0" xfId="0" applyAlignment="1" applyBorder="1" applyFont="1">
      <alignment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borderId="0" fillId="5" fontId="3" numFmtId="0" xfId="0" applyAlignment="1" applyFill="1" applyFont="1">
      <alignment shrinkToFit="0" vertical="center" wrapText="0"/>
    </xf>
    <xf borderId="0" fillId="5" fontId="3" numFmtId="0" xfId="0" applyAlignment="1" applyFont="1">
      <alignment readingOrder="0" shrinkToFit="0" vertical="center" wrapText="0"/>
    </xf>
    <xf borderId="0" fillId="0" fontId="3" numFmtId="0" xfId="0" applyAlignment="1" applyFont="1">
      <alignment shrinkToFit="0" vertical="center" wrapText="0"/>
    </xf>
    <xf quotePrefix="1"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bottom" wrapText="0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readingOrder="0" shrinkToFit="0" vertical="bottom" wrapText="0"/>
    </xf>
    <xf borderId="0" fillId="0" fontId="4" numFmtId="0" xfId="0" applyAlignment="1" applyFont="1">
      <alignment vertical="bottom"/>
    </xf>
    <xf borderId="0" fillId="0" fontId="3" numFmtId="0" xfId="0" applyAlignment="1" applyFont="1">
      <alignment shrinkToFit="0" vertical="bottom" wrapText="0"/>
    </xf>
    <xf borderId="0" fillId="0" fontId="3" numFmtId="0" xfId="0" applyAlignment="1" applyFont="1">
      <alignment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shrinkToFit="0" vertical="center" wrapText="1"/>
    </xf>
    <xf borderId="0" fillId="0" fontId="1" numFmtId="0" xfId="0" applyAlignment="1" applyFont="1">
      <alignment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Font="1"/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  <xf borderId="1" fillId="0" fontId="1" numFmtId="0" xfId="0" applyAlignment="1" applyBorder="1" applyFont="1">
      <alignment horizontal="left" readingOrder="0" shrinkToFit="0" vertical="center" wrapText="0"/>
    </xf>
    <xf borderId="1" fillId="0" fontId="1" numFmtId="49" xfId="0" applyAlignment="1" applyBorder="1" applyFont="1" applyNumberFormat="1">
      <alignment horizontal="left" readingOrder="0" shrinkToFit="0" vertical="center" wrapText="0"/>
    </xf>
    <xf borderId="1" fillId="0" fontId="1" numFmtId="0" xfId="0" applyAlignment="1" applyBorder="1" applyFont="1">
      <alignment shrinkToFit="0" vertical="center" wrapText="0"/>
    </xf>
    <xf borderId="0" fillId="0" fontId="1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shrinkToFit="0" vertical="center" wrapText="1"/>
    </xf>
    <xf borderId="1" fillId="5" fontId="1" numFmtId="0" xfId="0" applyAlignment="1" applyBorder="1" applyFon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1"/>
    </xf>
    <xf borderId="0" fillId="0" fontId="1" numFmtId="49" xfId="0" applyAlignment="1" applyFont="1" applyNumberFormat="1">
      <alignment horizontal="left" readingOrder="0" shrinkToFit="0" vertical="center" wrapText="0"/>
    </xf>
    <xf borderId="0" fillId="5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>
        <strike/>
      </font>
      <fill>
        <patternFill patternType="solid">
          <fgColor rgb="FFB7E1CD"/>
          <bgColor rgb="FFB7E1CD"/>
        </patternFill>
      </fill>
      <border/>
    </dxf>
  </dxfs>
  <tableStyles count="30">
    <tableStyle count="4" pivot="0" name="FN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N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VARMAP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ERVIC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ITE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ACTION_COND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SPRIT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IALOG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DECISION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NAM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PHRAS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ROOM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6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TYPES-style 7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2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3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4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EVENTS-style 5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_TODO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10</xdr:col>
      <xdr:colOff>152400</xdr:colOff>
      <xdr:row>0</xdr:row>
      <xdr:rowOff>228600</xdr:rowOff>
    </xdr:from>
    <xdr:ext cx="619125" cy="219075"/>
    <xdr:grpSp>
      <xdr:nvGrpSpPr>
        <xdr:cNvPr id="2" name="Shape 2" title="Dibujo"/>
        <xdr:cNvGrpSpPr/>
      </xdr:nvGrpSpPr>
      <xdr:grpSpPr>
        <a:xfrm>
          <a:off x="0" y="-63450"/>
          <a:ext cx="610500" cy="276900"/>
          <a:chOff x="0" y="-63450"/>
          <a:chExt cx="610500" cy="276900"/>
        </a:xfrm>
      </xdr:grpSpPr>
      <xdr:sp>
        <xdr:nvSpPr>
          <xdr:cNvPr id="3" name="Shape 3"/>
          <xdr:cNvSpPr/>
        </xdr:nvSpPr>
        <xdr:spPr>
          <a:xfrm>
            <a:off x="0" y="0"/>
            <a:ext cx="610500" cy="1500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4" name="Shape 4"/>
          <xdr:cNvSpPr txBox="1"/>
        </xdr:nvSpPr>
        <xdr:spPr>
          <a:xfrm>
            <a:off x="100050" y="-63450"/>
            <a:ext cx="410400" cy="2769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600"/>
              <a:t>Exec</a:t>
            </a:r>
            <a:endParaRPr sz="600"/>
          </a:p>
        </xdr:txBody>
      </xdr:sp>
    </xdr:grpSp>
    <xdr:clientData fLocksWithSheet="0"/>
  </xdr:oneCellAnchor>
  <xdr:oneCellAnchor>
    <xdr:from>
      <xdr:col>4</xdr:col>
      <xdr:colOff>57150</xdr:colOff>
      <xdr:row>3</xdr:row>
      <xdr:rowOff>142875</xdr:rowOff>
    </xdr:from>
    <xdr:ext cx="609600" cy="219075"/>
    <xdr:grpSp>
      <xdr:nvGrpSpPr>
        <xdr:cNvPr id="2" name="Shape 2" title="Dibujo"/>
        <xdr:cNvGrpSpPr/>
      </xdr:nvGrpSpPr>
      <xdr:grpSpPr>
        <a:xfrm>
          <a:off x="130100" y="80050"/>
          <a:ext cx="590400" cy="190250"/>
          <a:chOff x="130100" y="80050"/>
          <a:chExt cx="590400" cy="190250"/>
        </a:xfrm>
      </xdr:grpSpPr>
      <xdr:sp>
        <xdr:nvSpPr>
          <xdr:cNvPr id="5" name="Shape 5"/>
          <xdr:cNvSpPr/>
        </xdr:nvSpPr>
        <xdr:spPr>
          <a:xfrm>
            <a:off x="130100" y="80050"/>
            <a:ext cx="590400" cy="1902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6" name="Shape 6"/>
          <xdr:cNvSpPr txBox="1"/>
        </xdr:nvSpPr>
        <xdr:spPr>
          <a:xfrm>
            <a:off x="150100" y="80100"/>
            <a:ext cx="570300" cy="19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500"/>
              <a:t>EXEC</a:t>
            </a:r>
            <a:endParaRPr sz="500"/>
          </a:p>
        </xdr:txBody>
      </xdr:sp>
    </xdr:grpSp>
    <xdr:clientData fLocksWithSheet="0"/>
  </xdr:oneCellAnchor>
  <xdr:oneCellAnchor>
    <xdr:from>
      <xdr:col>9</xdr:col>
      <xdr:colOff>76200</xdr:colOff>
      <xdr:row>6</xdr:row>
      <xdr:rowOff>57150</xdr:rowOff>
    </xdr:from>
    <xdr:ext cx="866775" cy="323850"/>
    <xdr:grpSp>
      <xdr:nvGrpSpPr>
        <xdr:cNvPr id="2" name="Shape 2" title="Dibujo"/>
        <xdr:cNvGrpSpPr/>
      </xdr:nvGrpSpPr>
      <xdr:grpSpPr>
        <a:xfrm>
          <a:off x="130100" y="0"/>
          <a:ext cx="850600" cy="310200"/>
          <a:chOff x="130100" y="0"/>
          <a:chExt cx="850600" cy="310200"/>
        </a:xfrm>
      </xdr:grpSpPr>
      <xdr:sp>
        <xdr:nvSpPr>
          <xdr:cNvPr id="7" name="Shape 7"/>
          <xdr:cNvSpPr/>
        </xdr:nvSpPr>
        <xdr:spPr>
          <a:xfrm>
            <a:off x="130100" y="60050"/>
            <a:ext cx="850500" cy="24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140100" y="0"/>
            <a:ext cx="840600" cy="31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5</xdr:col>
      <xdr:colOff>142875</xdr:colOff>
      <xdr:row>8</xdr:row>
      <xdr:rowOff>276225</xdr:rowOff>
    </xdr:from>
    <xdr:ext cx="971550" cy="390525"/>
    <xdr:grpSp>
      <xdr:nvGrpSpPr>
        <xdr:cNvPr id="2" name="Shape 2" title="Dibujo"/>
        <xdr:cNvGrpSpPr/>
      </xdr:nvGrpSpPr>
      <xdr:grpSpPr>
        <a:xfrm>
          <a:off x="180125" y="130100"/>
          <a:ext cx="950700" cy="370200"/>
          <a:chOff x="180125" y="130100"/>
          <a:chExt cx="950700" cy="370200"/>
        </a:xfrm>
      </xdr:grpSpPr>
      <xdr:sp>
        <xdr:nvSpPr>
          <xdr:cNvPr id="9" name="Shape 9"/>
          <xdr:cNvSpPr/>
        </xdr:nvSpPr>
        <xdr:spPr>
          <a:xfrm>
            <a:off x="180125" y="130100"/>
            <a:ext cx="950700" cy="3603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0" name="Shape 10"/>
          <xdr:cNvSpPr txBox="1"/>
        </xdr:nvSpPr>
        <xdr:spPr>
          <a:xfrm>
            <a:off x="200150" y="130100"/>
            <a:ext cx="930600" cy="37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EXEC</a:t>
            </a:r>
            <a:endParaRPr sz="1400"/>
          </a:p>
        </xdr:txBody>
      </xdr:sp>
    </xdr:grpSp>
    <xdr:clientData fLocksWithSheet="0"/>
  </xdr:oneCellAnchor>
  <xdr:oneCellAnchor>
    <xdr:from>
      <xdr:col>0</xdr:col>
      <xdr:colOff>342900</xdr:colOff>
      <xdr:row>13</xdr:row>
      <xdr:rowOff>142875</xdr:rowOff>
    </xdr:from>
    <xdr:ext cx="1581150" cy="390525"/>
    <xdr:grpSp>
      <xdr:nvGrpSpPr>
        <xdr:cNvPr id="2" name="Shape 2" title="Dibujo"/>
        <xdr:cNvGrpSpPr/>
      </xdr:nvGrpSpPr>
      <xdr:grpSpPr>
        <a:xfrm>
          <a:off x="210150" y="109900"/>
          <a:ext cx="1561200" cy="370600"/>
          <a:chOff x="210150" y="109900"/>
          <a:chExt cx="1561200" cy="370600"/>
        </a:xfrm>
      </xdr:grpSpPr>
      <xdr:sp>
        <xdr:nvSpPr>
          <xdr:cNvPr id="11" name="Shape 11"/>
          <xdr:cNvSpPr/>
        </xdr:nvSpPr>
        <xdr:spPr>
          <a:xfrm>
            <a:off x="210150" y="130100"/>
            <a:ext cx="1561200" cy="350400"/>
          </a:xfrm>
          <a:prstGeom prst="rect">
            <a:avLst/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12" name="Shape 12"/>
          <xdr:cNvSpPr txBox="1"/>
        </xdr:nvSpPr>
        <xdr:spPr>
          <a:xfrm>
            <a:off x="230175" y="109900"/>
            <a:ext cx="1511100" cy="3504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no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Add Unchainer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2" displayName="Table_autoInsertItem" name="Table_autoInsertItem" id="1">
  <tableColumns count="10">
    <tableColumn name="NewItem" id="1"/>
    <tableColumn name="NewName" id="2"/>
    <tableColumn name="NewSprite" id="3"/>
    <tableColumn name="Pickable" id="4"/>
    <tableColumn name="Spawn" id="5"/>
    <tableColumn name="Picker_Character" id="6"/>
    <tableColumn name="ObservationPhrase" id="7"/>
    <tableColumn name="TakePhrase" id="8"/>
    <tableColumn name="Room" id="9"/>
    <tableColumn name="Output" id="10"/>
  </tableColumns>
  <tableStyleInfo name="FN-style" showColumnStripes="0" showFirstColumn="1" showLastColumn="1" showRowStripes="1"/>
</table>
</file>

<file path=xl/tables/table2.xml><?xml version="1.0" encoding="utf-8"?>
<table xmlns="http://schemas.openxmlformats.org/spreadsheetml/2006/main" ref="A4:D5" displayName="Table_autoInsertRoom" name="Table_autoInsertRoom" id="2">
  <tableColumns count="4">
    <tableColumn name="NewRoom" id="1"/>
    <tableColumn name="Background" id="2"/>
    <tableColumn name="BackgroundNight" id="3"/>
    <tableColumn name="Output" id="4"/>
  </tableColumns>
  <tableStyleInfo name="FN-style 2" showColumnStripes="0" showFirstColumn="1" showLastColumn="1" showRowStripes="1"/>
</table>
</file>

<file path=xl/tables/table3.xml><?xml version="1.0" encoding="utf-8"?>
<table xmlns="http://schemas.openxmlformats.org/spreadsheetml/2006/main" ref="A7:I8" displayName="Table_autoInsertDialog" name="Table_autoInsertDialog" id="3">
  <tableColumns count="9">
    <tableColumn name="NewDialog" id="1"/>
    <tableColumn name="IntroPhrase" id="2"/>
    <tableColumn name="Talkers" id="3"/>
    <tableColumn name="Option1" id="4"/>
    <tableColumn name="Option2" id="5"/>
    <tableColumn name="Option3" id="6"/>
    <tableColumn name="Option4" id="7"/>
    <tableColumn name="Option5" id="8"/>
    <tableColumn name="Option6" id="9"/>
  </tableColumns>
  <tableStyleInfo name="FN-style 3" showColumnStripes="0" showFirstColumn="1" showLastColumn="1" showRowStripes="1"/>
</table>
</file>

<file path=xl/tables/table4.xml><?xml version="1.0" encoding="utf-8"?>
<table xmlns="http://schemas.openxmlformats.org/spreadsheetml/2006/main" ref="A10:E11" displayName="Table_autoInsertMemento" name="Table_autoInsertMemento" id="4">
  <tableColumns count="5">
    <tableColumn name="NewMementoParent" id="1"/>
    <tableColumn name="MementoIconSprite" id="2"/>
    <tableColumn name="MementoParentPhrase" id="3"/>
    <tableColumn name="Mementos" id="4"/>
    <tableColumn name="MementoPhrases" id="5"/>
  </tableColumns>
  <tableStyleInfo name="FN-style 4" showColumnStripes="0" showFirstColumn="1" showLastColumn="1" showRowStripes="1"/>
</table>
</file>

<file path=xl/tables/table5.xml><?xml version="1.0" encoding="utf-8"?>
<table xmlns="http://schemas.openxmlformats.org/spreadsheetml/2006/main" ref="A1:P21" displayName="Table_Varmap" name="Table_Varmap" id="5">
  <tableColumns count="16">
    <tableColumn name="N" id="1"/>
    <tableColumn name="ENUM_ID" id="2"/>
    <tableColumn name="TYPE" id="3"/>
    <tableColumn name="SAFE" id="4"/>
    <tableColumn name="ARRAY" id="5"/>
    <tableColumn name="DEFVALUE" id="6"/>
    <tableColumn name="SAVE" id="7"/>
    <tableColumn name="Separator" id="8"/>
    <tableColumn name="GameMaster" id="9"/>
    <tableColumn name="InputMaster" id="10"/>
    <tableColumn name="LevelMaster" id="11"/>
    <tableColumn name="GraphicsMaster" id="12"/>
    <tableColumn name="GameMenu" id="13"/>
    <tableColumn name="PlayerMaster" id="14"/>
    <tableColumn name="ItemMaster" id="15"/>
    <tableColumn name="GameEventMaster" id="16"/>
  </tableColumns>
  <tableStyleInfo name="VARMAP-style" showColumnStripes="0" showFirstColumn="1" showLastColumn="1" showRowStripes="1"/>
</table>
</file>

<file path=xl/tables/table6.xml><?xml version="1.0" encoding="utf-8"?>
<table xmlns="http://schemas.openxmlformats.org/spreadsheetml/2006/main" ref="A1:N34" displayName="Table_Services" name="Table_Services" id="6">
  <tableColumns count="14">
    <tableColumn name="N" id="1"/>
    <tableColumn name="SERVICE_ID" id="2"/>
    <tableColumn name="SPECIAL_DELEGATE" id="3"/>
    <tableColumn name="SERVICE_ROUTE" id="4"/>
    <tableColumn name="Description" id="5"/>
    <tableColumn name="Separator" id="6"/>
    <tableColumn name="GameMaster" id="7"/>
    <tableColumn name="InputMaster" id="8"/>
    <tableColumn name="LevelMaster" id="9"/>
    <tableColumn name="GraphicsMaster" id="10"/>
    <tableColumn name="GameMenu" id="11"/>
    <tableColumn name="PlayerMaster" id="12"/>
    <tableColumn name="ItemMaster" id="13"/>
    <tableColumn name="GameEventMaster" id="14"/>
  </tableColumns>
  <tableStyleInfo name="SERVICES-style" showColumnStripes="0" showFirstColumn="1" showLastColumn="1" showRowStripes="1"/>
</table>
</file>

<file path=xl/tables/table7.xml><?xml version="1.0" encoding="utf-8"?>
<table xmlns="http://schemas.openxmlformats.org/spreadsheetml/2006/main" ref="A1:I37" displayName="Table_Items" name="Table_Items" id="7">
  <tableColumns count="9">
    <tableColumn name="N" id="1"/>
    <tableColumn name="ITEM_ID" id="2"/>
    <tableColumn name="Name" id="3"/>
    <tableColumn name="FamilyType" id="4"/>
    <tableColumn name="Sprites" id="5"/>
    <tableColumn name="DefaultSprite" id="6"/>
    <tableColumn name="PICKABLE" id="7"/>
    <tableColumn name="SpritePickable" id="8"/>
    <tableColumn name="ActionConditions" id="9"/>
  </tableColumns>
  <tableStyleInfo name="ITEMS-style" showColumnStripes="0" showFirstColumn="1" showLastColumn="1" showRowStripes="1"/>
</table>
</file>

<file path=xl/tables/table8.xml><?xml version="1.0" encoding="utf-8"?>
<table xmlns="http://schemas.openxmlformats.org/spreadsheetml/2006/main" ref="A1:K50" displayName="Table_Action_Conditions" name="Table_Action_Conditions" id="8">
  <tableColumns count="11">
    <tableColumn name="N" id="1"/>
    <tableColumn name="ACTION_COND_ID" id="2"/>
    <tableColumn name="NeededEvents" id="3"/>
    <tableColumn name="NeededMomentDay" id="4"/>
    <tableColumn name="srcChar" id="5"/>
    <tableColumn name="srcItem" id="6"/>
    <tableColumn name="Action_OK" id="7"/>
    <tableColumn name="Animation_OK" id="8"/>
    <tableColumn name="Dialog_OK" id="9"/>
    <tableColumn name="Phrase_OK" id="10"/>
    <tableColumn name="UnchainCombiEvent" id="11"/>
  </tableColumns>
  <tableStyleInfo name="ACTION_CONDS-style" showColumnStripes="0" showFirstColumn="1" showLastColumn="1" showRowStripes="1"/>
</table>
</file>

<file path=xl/tables/table9.xml><?xml version="1.0" encoding="utf-8"?>
<table xmlns="http://schemas.openxmlformats.org/spreadsheetml/2006/main" ref="A52:N90" displayName="Table_Unchain_Conditions" name="Table_Unchain_Conditions" id="9">
  <tableColumns count="14">
    <tableColumn name="N" id="1"/>
    <tableColumn name="UNCHAIN_ID" id="2"/>
    <tableColumn name="Repeat" id="3"/>
    <tableColumn name="Type" id="4"/>
    <tableColumn name="IgnoreIfEvent" id="5"/>
    <tableColumn name="NeededEvents" id="6"/>
    <tableColumn name="NeededMomentDay" id="7"/>
    <tableColumn name="TargetItem" id="8"/>
    <tableColumn name="TargetSprite" id="9"/>
    <tableColumn name="TargetCharacter" id="10"/>
    <tableColumn name="TargetMemento" id="11"/>
    <tableColumn name="TargetEvents" id="12"/>
    <tableColumn name="TargetDecision" id="13"/>
    <tableColumn name="TargetMomentOfDay" id="14"/>
  </tableColumns>
  <tableStyleInfo name="ACTION_CONDS-style 2" showColumnStripes="0" showFirstColumn="1" showLastColumn="1" showRowStripes="1"/>
</table>
</file>

<file path=xl/tables/table10.xml><?xml version="1.0" encoding="utf-8"?>
<table xmlns="http://schemas.openxmlformats.org/spreadsheetml/2006/main" ref="A1:C50" displayName="Table_sprites" name="Table_sprites" id="10">
  <tableColumns count="3">
    <tableColumn name="N" id="1"/>
    <tableColumn name="SPRITE_ID" id="2"/>
    <tableColumn name="PATH" id="3"/>
  </tableColumns>
  <tableStyleInfo name="SPRITES-style" showColumnStripes="0" showFirstColumn="1" showLastColumn="1" showRowStripes="1"/>
</table>
</file>

<file path=xl/tables/table11.xml><?xml version="1.0" encoding="utf-8"?>
<table xmlns="http://schemas.openxmlformats.org/spreadsheetml/2006/main" ref="A1:D16" displayName="Table_Dialogs" name="Table_Dialogs" id="11">
  <tableColumns count="4">
    <tableColumn name="N" id="1"/>
    <tableColumn name="DIALOG_ID" id="2"/>
    <tableColumn name="Talkers" id="3"/>
    <tableColumn name="Options" id="4"/>
  </tableColumns>
  <tableStyleInfo name="DIALOGS-style" showColumnStripes="0" showFirstColumn="1" showLastColumn="1" showRowStripes="1"/>
</table>
</file>

<file path=xl/tables/table12.xml><?xml version="1.0" encoding="utf-8"?>
<table xmlns="http://schemas.openxmlformats.org/spreadsheetml/2006/main" ref="A18:H41" displayName="Table_Dialog_Options" name="Table_Dialog_Options" id="12">
  <tableColumns count="8">
    <tableColumn name="N" id="1"/>
    <tableColumn name="DIALOG_OPTION_ID" id="2"/>
    <tableColumn name="NeededEvents" id="3"/>
    <tableColumn name="NeededMomentOfDay" id="4"/>
    <tableColumn name="EventTriggered" id="5"/>
    <tableColumn name="DialogTriggered" id="6"/>
    <tableColumn name="IsRandomized" id="7"/>
    <tableColumn name="Phrases" id="8"/>
  </tableColumns>
  <tableStyleInfo name="DIALOGS-style 2" showColumnStripes="0" showFirstColumn="1" showLastColumn="1" showRowStripes="1"/>
</table>
</file>

<file path=xl/tables/table13.xml><?xml version="1.0" encoding="utf-8"?>
<table xmlns="http://schemas.openxmlformats.org/spreadsheetml/2006/main" ref="A1:C4" displayName="Table_Decisions" name="Table_Decisions" id="13">
  <tableColumns count="3">
    <tableColumn name="N" id="1"/>
    <tableColumn name="DECISION_ID" id="2"/>
    <tableColumn name="OPTIONS" id="3"/>
  </tableColumns>
  <tableStyleInfo name="DECISIONS-style" showColumnStripes="0" showFirstColumn="1" showLastColumn="1" showRowStripes="1"/>
</table>
</file>

<file path=xl/tables/table14.xml><?xml version="1.0" encoding="utf-8"?>
<table xmlns="http://schemas.openxmlformats.org/spreadsheetml/2006/main" ref="A6:D11" displayName="Table_Decision_Options" name="Table_Decision_Options" id="14">
  <tableColumns count="4">
    <tableColumn name="N" id="1"/>
    <tableColumn name="DECISION_OPTION_ID" id="2"/>
    <tableColumn name="Phrase" id="3"/>
    <tableColumn name="EventTriggered" id="4"/>
  </tableColumns>
  <tableStyleInfo name="DECISIONS-style 2" showColumnStripes="0" showFirstColumn="1" showLastColumn="1" showRowStripes="1"/>
</table>
</file>

<file path=xl/tables/table15.xml><?xml version="1.0" encoding="utf-8"?>
<table xmlns="http://schemas.openxmlformats.org/spreadsheetml/2006/main" ref="A1:D39" displayName="Table_Name" name="Table_Name" id="15">
  <tableColumns count="4">
    <tableColumn name="N" id="1"/>
    <tableColumn name="NAME_ID" id="2"/>
    <tableColumn name="Name_English" id="3"/>
    <tableColumn name="Name_Spanish" id="4"/>
  </tableColumns>
  <tableStyleInfo name="NAMES-style" showColumnStripes="0" showFirstColumn="1" showLastColumn="1" showRowStripes="1"/>
</table>
</file>

<file path=xl/tables/table16.xml><?xml version="1.0" encoding="utf-8"?>
<table xmlns="http://schemas.openxmlformats.org/spreadsheetml/2006/main" ref="A1:G101" displayName="Table_Phrases" name="Table_Phrases" id="16">
  <tableColumns count="7">
    <tableColumn name="N" id="1"/>
    <tableColumn name="PHRASE_ID" id="2"/>
    <tableColumn name="TalkerIndex" id="3"/>
    <tableColumn name="Sound" id="4"/>
    <tableColumn name="CharAnimation" id="5"/>
    <tableColumn name="Text_English" id="6"/>
    <tableColumn name="Text_Spanish" id="7"/>
  </tableColumns>
  <tableStyleInfo name="PHRASES-style" showColumnStripes="0" showFirstColumn="1" showLastColumn="1" showRowStripes="1"/>
</table>
</file>

<file path=xl/tables/table17.xml><?xml version="1.0" encoding="utf-8"?>
<table xmlns="http://schemas.openxmlformats.org/spreadsheetml/2006/main" ref="A1:H12" displayName="Table_Rooms" name="Table_Rooms" id="17">
  <tableColumns count="8">
    <tableColumn name="N" id="1"/>
    <tableColumn name="ROOM_ID" id="2"/>
    <tableColumn name="BackgroundSprite" id="3"/>
    <tableColumn name="NeededBackgrounds_Sprites" id="4"/>
    <tableColumn name="NeededItems" id="5"/>
    <tableColumn name="NeededNames" id="6"/>
    <tableColumn name="BackgroundActionConditions" id="7"/>
    <tableColumn name="NeededPhrases" id="8"/>
  </tableColumns>
  <tableStyleInfo name="ROOMS-style" showColumnStripes="0" showFirstColumn="1" showLastColumn="1" showRowStripes="1"/>
</table>
</file>

<file path=xl/tables/table18.xml><?xml version="1.0" encoding="utf-8"?>
<table xmlns="http://schemas.openxmlformats.org/spreadsheetml/2006/main" ref="A1:B5" displayName="Table_Characters" name="Table_Characters" id="18">
  <tableColumns count="2">
    <tableColumn name="N" id="1"/>
    <tableColumn name="CHARACTER_TYPE_ID" id="2"/>
  </tableColumns>
  <tableStyleInfo name="TYPES-style" showColumnStripes="0" showFirstColumn="1" showLastColumn="1" showRowStripes="1"/>
</table>
</file>

<file path=xl/tables/table19.xml><?xml version="1.0" encoding="utf-8"?>
<table xmlns="http://schemas.openxmlformats.org/spreadsheetml/2006/main" ref="A7:B13" displayName="Table_ItemUse_Animation" name="Table_ItemUse_Animation" id="19">
  <tableColumns count="2">
    <tableColumn name="N" id="1"/>
    <tableColumn name="ANIMATION_ID" id="2"/>
  </tableColumns>
  <tableStyleInfo name="TYPES-style 2" showColumnStripes="0" showFirstColumn="1" showLastColumn="1" showRowStripes="1"/>
</table>
</file>

<file path=xl/tables/table20.xml><?xml version="1.0" encoding="utf-8"?>
<table xmlns="http://schemas.openxmlformats.org/spreadsheetml/2006/main" ref="A15:B23" displayName="Table_Interaction" name="Table_Interaction" id="20">
  <tableColumns count="2">
    <tableColumn name="N" id="1"/>
    <tableColumn name="INTERACTION_ID" id="2"/>
  </tableColumns>
  <tableStyleInfo name="TYPES-style 3" showColumnStripes="0" showFirstColumn="1" showLastColumn="1" showRowStripes="1"/>
</table>
</file>

<file path=xl/tables/table21.xml><?xml version="1.0" encoding="utf-8"?>
<table xmlns="http://schemas.openxmlformats.org/spreadsheetml/2006/main" ref="A25:B37" displayName="Table_Unchain_Type" name="Table_Unchain_Type" id="21">
  <tableColumns count="2">
    <tableColumn name="N" id="1"/>
    <tableColumn name="UNCHAIN_TYPE_ID" id="2"/>
  </tableColumns>
  <tableStyleInfo name="TYPES-style 4" showColumnStripes="0" showFirstColumn="1" showLastColumn="1" showRowStripes="1"/>
</table>
</file>

<file path=xl/tables/table22.xml><?xml version="1.0" encoding="utf-8"?>
<table xmlns="http://schemas.openxmlformats.org/spreadsheetml/2006/main" ref="A39:B41" displayName="Table_Dialog_Animation" name="Table_Dialog_Animation" id="22">
  <tableColumns count="2">
    <tableColumn name="N" id="1"/>
    <tableColumn name="DIALOG_ANIMATION_ID" id="2"/>
  </tableColumns>
  <tableStyleInfo name="TYPES-style 5" showColumnStripes="0" showFirstColumn="1" showLastColumn="1" showRowStripes="1"/>
</table>
</file>

<file path=xl/tables/table23.xml><?xml version="1.0" encoding="utf-8"?>
<table xmlns="http://schemas.openxmlformats.org/spreadsheetml/2006/main" ref="A43:B48" displayName="Table_Item_Family_Type" name="Table_Item_Family_Type" id="23">
  <tableColumns count="2">
    <tableColumn name="N" id="1"/>
    <tableColumn name="ITEM_FAMILY_TYPE_ID" id="2"/>
  </tableColumns>
  <tableStyleInfo name="TYPES-style 6" showColumnStripes="0" showFirstColumn="1" showLastColumn="1" showRowStripes="1"/>
</table>
</file>

<file path=xl/tables/table24.xml><?xml version="1.0" encoding="utf-8"?>
<table xmlns="http://schemas.openxmlformats.org/spreadsheetml/2006/main" ref="A50:B53" displayName="Table_Moment_Day" name="Table_Moment_Day" id="24">
  <tableColumns count="2">
    <tableColumn name="N" id="1"/>
    <tableColumn name="MOMENT_TYPE_ID" id="2"/>
  </tableColumns>
  <tableStyleInfo name="TYPES-style 7" showColumnStripes="0" showFirstColumn="1" showLastColumn="1" showRowStripes="1"/>
</table>
</file>

<file path=xl/tables/table25.xml><?xml version="1.0" encoding="utf-8"?>
<table xmlns="http://schemas.openxmlformats.org/spreadsheetml/2006/main" ref="A1:B30" displayName="Table_Events" name="Table_Events" id="25">
  <tableColumns count="2">
    <tableColumn name="N" id="1"/>
    <tableColumn name="EVENT_ID" id="2"/>
  </tableColumns>
  <tableStyleInfo name="EVENTS-style" showColumnStripes="0" showFirstColumn="1" showLastColumn="1" showRowStripes="1"/>
</table>
</file>

<file path=xl/tables/table26.xml><?xml version="1.0" encoding="utf-8"?>
<table xmlns="http://schemas.openxmlformats.org/spreadsheetml/2006/main" ref="A32:E37" displayName="Table_Memento_Parent" name="Table_Memento_Parent" id="26">
  <tableColumns count="5">
    <tableColumn name="N" id="1"/>
    <tableColumn name="MEMENTO_PARENT_ID" id="2"/>
    <tableColumn name="Name" id="3"/>
    <tableColumn name="Sprite" id="4"/>
    <tableColumn name="Children" id="5"/>
  </tableColumns>
  <tableStyleInfo name="EVENTS-style 2" showColumnStripes="0" showFirstColumn="1" showLastColumn="1" showRowStripes="1"/>
</table>
</file>

<file path=xl/tables/table27.xml><?xml version="1.0" encoding="utf-8"?>
<table xmlns="http://schemas.openxmlformats.org/spreadsheetml/2006/main" ref="A39:F47" displayName="Table_Memento" name="Table_Memento" id="27">
  <tableColumns count="6">
    <tableColumn name="N" id="1"/>
    <tableColumn name="MEMENTO_ID" id="2"/>
    <tableColumn name="Parent" id="3"/>
    <tableColumn name="Phrase" id="4"/>
    <tableColumn name="Combinations" id="5"/>
    <tableColumn name="Final" id="6"/>
  </tableColumns>
  <tableStyleInfo name="EVENTS-style 3" showColumnStripes="0" showFirstColumn="1" showLastColumn="1" showRowStripes="1"/>
</table>
</file>

<file path=xl/tables/table28.xml><?xml version="1.0" encoding="utf-8"?>
<table xmlns="http://schemas.openxmlformats.org/spreadsheetml/2006/main" ref="A49:C50" displayName="Table_Memento_Combi" name="Table_Memento_Combi" id="28">
  <tableColumns count="3">
    <tableColumn name="N" id="1"/>
    <tableColumn name="MEMENTO_COMBI_ID" id="2"/>
    <tableColumn name="TriggeredEvent" id="3"/>
  </tableColumns>
  <tableStyleInfo name="EVENTS-style 4" showColumnStripes="0" showFirstColumn="1" showLastColumn="1" showRowStripes="1"/>
</table>
</file>

<file path=xl/tables/table29.xml><?xml version="1.0" encoding="utf-8"?>
<table xmlns="http://schemas.openxmlformats.org/spreadsheetml/2006/main" ref="A52:B162" displayName="Table_EventsCombi" name="Table_EventsCombi" id="29">
  <tableColumns count="2">
    <tableColumn name="N" id="1"/>
    <tableColumn name="EVENT_COMBI_ID" id="2"/>
  </tableColumns>
  <tableStyleInfo name="EVENTS-style 5" showColumnStripes="0" showFirstColumn="1" showLastColumn="1" showRowStripes="1"/>
</table>
</file>

<file path=xl/tables/table30.xml><?xml version="1.0" encoding="utf-8"?>
<table xmlns="http://schemas.openxmlformats.org/spreadsheetml/2006/main" ref="A1:D31" displayName="Table_TODO" name="Table_TODO" id="30">
  <tableColumns count="4">
    <tableColumn name="TASK" id="1"/>
    <tableColumn name="PRIO" id="2"/>
    <tableColumn name="DONE" id="3"/>
    <tableColumn name="ONGOING" id="4"/>
  </tableColumns>
  <tableStyleInfo name="_TODO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9" Type="http://schemas.openxmlformats.org/officeDocument/2006/relationships/table" Target="../tables/table4.xml"/><Relationship Id="rId6" Type="http://schemas.openxmlformats.org/officeDocument/2006/relationships/table" Target="../tables/table1.xml"/><Relationship Id="rId7" Type="http://schemas.openxmlformats.org/officeDocument/2006/relationships/table" Target="../tables/table2.xml"/><Relationship Id="rId8" Type="http://schemas.openxmlformats.org/officeDocument/2006/relationships/table" Target="../tables/table3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5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6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7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Relationship Id="rId4" Type="http://schemas.openxmlformats.org/officeDocument/2006/relationships/table" Target="../tables/table8.xml"/><Relationship Id="rId5" Type="http://schemas.openxmlformats.org/officeDocument/2006/relationships/table" Target="../tables/table9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10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7.xml"/><Relationship Id="rId3" Type="http://schemas.openxmlformats.org/officeDocument/2006/relationships/vmlDrawing" Target="../drawings/vmlDrawing2.vml"/><Relationship Id="rId6" Type="http://schemas.openxmlformats.org/officeDocument/2006/relationships/table" Target="../tables/table11.xml"/><Relationship Id="rId7" Type="http://schemas.openxmlformats.org/officeDocument/2006/relationships/table" Target="../tables/table12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Relationship Id="rId4" Type="http://schemas.openxmlformats.org/officeDocument/2006/relationships/table" Target="../tables/table13.xml"/><Relationship Id="rId5" Type="http://schemas.openxmlformats.org/officeDocument/2006/relationships/table" Target="../tables/table14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Relationship Id="rId3" Type="http://schemas.openxmlformats.org/officeDocument/2006/relationships/table" Target="../tables/table15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Relationship Id="rId3" Type="http://schemas.openxmlformats.org/officeDocument/2006/relationships/table" Target="../tables/table16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Relationship Id="rId3" Type="http://schemas.openxmlformats.org/officeDocument/2006/relationships/table" Target="../tables/table17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Relationship Id="rId11" Type="http://schemas.openxmlformats.org/officeDocument/2006/relationships/table" Target="../tables/table20.xml"/><Relationship Id="rId10" Type="http://schemas.openxmlformats.org/officeDocument/2006/relationships/table" Target="../tables/table19.xml"/><Relationship Id="rId13" Type="http://schemas.openxmlformats.org/officeDocument/2006/relationships/table" Target="../tables/table22.xml"/><Relationship Id="rId12" Type="http://schemas.openxmlformats.org/officeDocument/2006/relationships/table" Target="../tables/table21.xml"/><Relationship Id="rId9" Type="http://schemas.openxmlformats.org/officeDocument/2006/relationships/table" Target="../tables/table18.xml"/><Relationship Id="rId15" Type="http://schemas.openxmlformats.org/officeDocument/2006/relationships/table" Target="../tables/table24.xml"/><Relationship Id="rId14" Type="http://schemas.openxmlformats.org/officeDocument/2006/relationships/table" Target="../tables/table23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Relationship Id="rId11" Type="http://schemas.openxmlformats.org/officeDocument/2006/relationships/table" Target="../tables/table29.xml"/><Relationship Id="rId10" Type="http://schemas.openxmlformats.org/officeDocument/2006/relationships/table" Target="../tables/table28.xml"/><Relationship Id="rId9" Type="http://schemas.openxmlformats.org/officeDocument/2006/relationships/table" Target="../tables/table27.xml"/><Relationship Id="rId7" Type="http://schemas.openxmlformats.org/officeDocument/2006/relationships/table" Target="../tables/table25.xml"/><Relationship Id="rId8" Type="http://schemas.openxmlformats.org/officeDocument/2006/relationships/table" Target="../tables/table26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4.xml"/><Relationship Id="rId3" Type="http://schemas.openxmlformats.org/officeDocument/2006/relationships/vmlDrawing" Target="../drawings/vmlDrawing3.vml"/><Relationship Id="rId5" Type="http://schemas.openxmlformats.org/officeDocument/2006/relationships/table" Target="../tables/table3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6.57"/>
    <col customWidth="1" min="2" max="2" width="32.57"/>
    <col customWidth="1" min="3" max="3" width="27.43"/>
    <col customWidth="1" min="4" max="4" width="35.86"/>
    <col customWidth="1" min="5" max="5" width="46.14"/>
    <col customWidth="1" min="6" max="6" width="25.0"/>
    <col customWidth="1" min="7" max="7" width="25.29"/>
    <col customWidth="1" min="8" max="9" width="23.0"/>
  </cols>
  <sheetData>
    <row r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7</v>
      </c>
      <c r="I1" s="1" t="s">
        <v>8</v>
      </c>
      <c r="J1" s="1" t="s">
        <v>9</v>
      </c>
    </row>
    <row r="2">
      <c r="A2" s="3" t="s">
        <v>10</v>
      </c>
      <c r="B2" s="3" t="s">
        <v>11</v>
      </c>
      <c r="C2" s="3" t="s">
        <v>12</v>
      </c>
      <c r="D2" s="4" t="b">
        <v>0</v>
      </c>
      <c r="E2" s="4" t="b">
        <v>1</v>
      </c>
      <c r="F2" s="5" t="s">
        <v>13</v>
      </c>
      <c r="G2" s="3" t="s">
        <v>14</v>
      </c>
      <c r="H2" s="3"/>
      <c r="I2" s="5" t="s">
        <v>15</v>
      </c>
      <c r="J2" s="6"/>
    </row>
    <row r="4">
      <c r="A4" s="1" t="s">
        <v>16</v>
      </c>
      <c r="B4" s="1" t="s">
        <v>17</v>
      </c>
      <c r="C4" s="1" t="s">
        <v>18</v>
      </c>
      <c r="D4" s="1" t="s">
        <v>9</v>
      </c>
    </row>
    <row r="5">
      <c r="A5" s="3" t="s">
        <v>15</v>
      </c>
      <c r="B5" s="3" t="s">
        <v>19</v>
      </c>
      <c r="C5" s="3" t="s">
        <v>20</v>
      </c>
      <c r="D5" s="7"/>
    </row>
    <row r="7">
      <c r="A7" s="1" t="s">
        <v>21</v>
      </c>
      <c r="B7" s="1" t="s">
        <v>22</v>
      </c>
      <c r="C7" s="2" t="s">
        <v>23</v>
      </c>
      <c r="D7" s="1" t="s">
        <v>24</v>
      </c>
      <c r="E7" s="1" t="s">
        <v>25</v>
      </c>
      <c r="F7" s="1" t="s">
        <v>26</v>
      </c>
      <c r="G7" s="1" t="s">
        <v>27</v>
      </c>
      <c r="H7" s="2" t="s">
        <v>28</v>
      </c>
      <c r="I7" s="1" t="s">
        <v>29</v>
      </c>
    </row>
    <row r="8">
      <c r="A8" s="3" t="s">
        <v>30</v>
      </c>
      <c r="B8" s="3" t="s">
        <v>31</v>
      </c>
      <c r="C8" s="3" t="s">
        <v>32</v>
      </c>
      <c r="D8" s="3" t="s">
        <v>33</v>
      </c>
      <c r="E8" s="3" t="s">
        <v>34</v>
      </c>
      <c r="F8" s="3" t="s">
        <v>35</v>
      </c>
      <c r="G8" s="3" t="s">
        <v>36</v>
      </c>
      <c r="H8" s="8"/>
      <c r="I8" s="8"/>
    </row>
    <row r="10">
      <c r="A10" s="1" t="s">
        <v>37</v>
      </c>
      <c r="B10" s="2" t="s">
        <v>38</v>
      </c>
      <c r="C10" s="1" t="s">
        <v>39</v>
      </c>
      <c r="D10" s="1" t="s">
        <v>40</v>
      </c>
      <c r="E10" s="1" t="s">
        <v>41</v>
      </c>
    </row>
    <row r="11">
      <c r="A11" s="3" t="s">
        <v>42</v>
      </c>
      <c r="B11" s="3" t="s">
        <v>43</v>
      </c>
      <c r="C11" s="3" t="s">
        <v>44</v>
      </c>
      <c r="D11" s="3" t="s">
        <v>45</v>
      </c>
      <c r="E11" s="3" t="s">
        <v>46</v>
      </c>
    </row>
  </sheetData>
  <dataValidations>
    <dataValidation type="list" allowBlank="1" sqref="C8">
      <formula1>#REF!</formula1>
    </dataValidation>
    <dataValidation type="list" allowBlank="1" sqref="F2 I2">
      <formula1>#REF!</formula1>
    </dataValidation>
  </dataValidations>
  <drawing r:id="rId1"/>
  <tableParts count="4"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34.29"/>
    <col customWidth="1" min="3" max="3" width="23.57"/>
    <col customWidth="1" min="4" max="4" width="14.14"/>
    <col customWidth="1" min="5" max="5" width="11.86"/>
    <col customWidth="1" min="6" max="6" width="42.71"/>
    <col customWidth="1" min="7" max="7" width="14.29"/>
    <col customWidth="1" min="8" max="8" width="4.29"/>
    <col customWidth="1" min="9" max="9" width="21.14"/>
    <col customWidth="1" min="10" max="10" width="20.57"/>
    <col customWidth="1" min="11" max="11" width="20.43"/>
    <col customWidth="1" min="12" max="12" width="23.43"/>
    <col customWidth="1" min="13" max="13" width="20.14"/>
    <col customWidth="1" min="14" max="14" width="21.29"/>
    <col customWidth="1" min="15" max="15" width="19.57"/>
    <col customWidth="1" min="16" max="16" width="20.0"/>
    <col customWidth="1" min="17" max="17" width="25.86"/>
    <col customWidth="1" min="18" max="24" width="10.71"/>
  </cols>
  <sheetData>
    <row r="1">
      <c r="A1" s="9" t="s">
        <v>47</v>
      </c>
      <c r="B1" s="9" t="s">
        <v>48</v>
      </c>
      <c r="C1" s="9" t="s">
        <v>49</v>
      </c>
      <c r="D1" s="9" t="s">
        <v>50</v>
      </c>
      <c r="E1" s="9" t="s">
        <v>51</v>
      </c>
      <c r="F1" s="9" t="s">
        <v>52</v>
      </c>
      <c r="G1" s="9" t="s">
        <v>53</v>
      </c>
      <c r="H1" s="9" t="s">
        <v>54</v>
      </c>
      <c r="I1" s="9" t="s">
        <v>55</v>
      </c>
      <c r="J1" s="9" t="s">
        <v>56</v>
      </c>
      <c r="K1" s="9" t="s">
        <v>57</v>
      </c>
      <c r="L1" s="9" t="s">
        <v>58</v>
      </c>
      <c r="M1" s="9" t="s">
        <v>59</v>
      </c>
      <c r="N1" s="9" t="s">
        <v>60</v>
      </c>
      <c r="O1" s="9" t="s">
        <v>61</v>
      </c>
      <c r="P1" s="9" t="s">
        <v>62</v>
      </c>
    </row>
    <row r="2">
      <c r="A2" s="10">
        <f t="shared" ref="A2:A21" si="1">ROW()-ROW($A$2)</f>
        <v>0</v>
      </c>
      <c r="B2" s="11" t="s">
        <v>63</v>
      </c>
      <c r="C2" s="11" t="s">
        <v>64</v>
      </c>
      <c r="D2" s="12">
        <v>0.0</v>
      </c>
      <c r="E2" s="11">
        <v>0.0</v>
      </c>
      <c r="F2" s="11" t="s">
        <v>65</v>
      </c>
      <c r="G2" s="13" t="s">
        <v>66</v>
      </c>
      <c r="H2" s="11" t="s">
        <v>67</v>
      </c>
      <c r="I2" s="12" t="s">
        <v>68</v>
      </c>
      <c r="J2" s="12" t="s">
        <v>69</v>
      </c>
      <c r="K2" s="13" t="s">
        <v>69</v>
      </c>
      <c r="L2" s="13" t="s">
        <v>69</v>
      </c>
      <c r="M2" s="13" t="s">
        <v>70</v>
      </c>
      <c r="N2" s="12" t="s">
        <v>68</v>
      </c>
      <c r="O2" s="12" t="s">
        <v>68</v>
      </c>
      <c r="P2" s="12" t="s">
        <v>68</v>
      </c>
    </row>
    <row r="3">
      <c r="A3" s="10">
        <f t="shared" si="1"/>
        <v>1</v>
      </c>
      <c r="B3" s="11" t="s">
        <v>71</v>
      </c>
      <c r="C3" s="11" t="s">
        <v>72</v>
      </c>
      <c r="D3" s="13">
        <v>2.0</v>
      </c>
      <c r="E3" s="11">
        <v>0.0</v>
      </c>
      <c r="F3" s="11" t="s">
        <v>73</v>
      </c>
      <c r="G3" s="13" t="s">
        <v>66</v>
      </c>
      <c r="H3" s="11" t="s">
        <v>67</v>
      </c>
      <c r="I3" s="13" t="s">
        <v>70</v>
      </c>
      <c r="J3" s="13" t="s">
        <v>69</v>
      </c>
      <c r="K3" s="13" t="s">
        <v>69</v>
      </c>
      <c r="L3" s="13" t="s">
        <v>69</v>
      </c>
      <c r="M3" s="13" t="s">
        <v>69</v>
      </c>
      <c r="N3" s="12" t="s">
        <v>68</v>
      </c>
      <c r="O3" s="12" t="s">
        <v>68</v>
      </c>
      <c r="P3" s="12" t="s">
        <v>68</v>
      </c>
    </row>
    <row r="4">
      <c r="A4" s="10">
        <f t="shared" si="1"/>
        <v>2</v>
      </c>
      <c r="B4" s="11" t="s">
        <v>74</v>
      </c>
      <c r="C4" s="11" t="s">
        <v>8</v>
      </c>
      <c r="D4" s="13">
        <v>2.0</v>
      </c>
      <c r="E4" s="11">
        <v>0.0</v>
      </c>
      <c r="F4" s="10" t="s">
        <v>75</v>
      </c>
      <c r="G4" s="13" t="s">
        <v>66</v>
      </c>
      <c r="H4" s="11" t="s">
        <v>67</v>
      </c>
      <c r="I4" s="13" t="s">
        <v>70</v>
      </c>
      <c r="J4" s="12" t="s">
        <v>68</v>
      </c>
      <c r="K4" s="13" t="s">
        <v>69</v>
      </c>
      <c r="L4" s="12" t="s">
        <v>69</v>
      </c>
      <c r="M4" s="12" t="s">
        <v>76</v>
      </c>
      <c r="N4" s="12" t="s">
        <v>68</v>
      </c>
      <c r="O4" s="12" t="s">
        <v>68</v>
      </c>
      <c r="P4" s="12" t="s">
        <v>69</v>
      </c>
    </row>
    <row r="5">
      <c r="A5" s="10">
        <f t="shared" si="1"/>
        <v>3</v>
      </c>
      <c r="B5" s="11" t="s">
        <v>77</v>
      </c>
      <c r="C5" s="10" t="s">
        <v>78</v>
      </c>
      <c r="D5" s="13">
        <v>2.0</v>
      </c>
      <c r="E5" s="14">
        <f>CEILING((COUNT(Table_Events[N])-1)/64,1)</f>
        <v>1</v>
      </c>
      <c r="F5" s="10" t="s">
        <v>79</v>
      </c>
      <c r="G5" s="13" t="s">
        <v>66</v>
      </c>
      <c r="H5" s="11" t="s">
        <v>67</v>
      </c>
      <c r="I5" s="12" t="s">
        <v>68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  <c r="O5" s="12" t="s">
        <v>68</v>
      </c>
      <c r="P5" s="12" t="s">
        <v>70</v>
      </c>
    </row>
    <row r="6">
      <c r="A6" s="10">
        <f t="shared" si="1"/>
        <v>4</v>
      </c>
      <c r="B6" s="10" t="s">
        <v>80</v>
      </c>
      <c r="C6" s="10" t="s">
        <v>78</v>
      </c>
      <c r="D6" s="12">
        <v>2.0</v>
      </c>
      <c r="E6" s="15">
        <f>CEILING((COUNT(Table_Memento[N])-1)/64,1)</f>
        <v>1</v>
      </c>
      <c r="F6" s="10" t="s">
        <v>79</v>
      </c>
      <c r="G6" s="12" t="s">
        <v>66</v>
      </c>
      <c r="H6" s="11"/>
      <c r="I6" s="12" t="s">
        <v>68</v>
      </c>
      <c r="J6" s="12" t="s">
        <v>68</v>
      </c>
      <c r="K6" s="12" t="s">
        <v>68</v>
      </c>
      <c r="L6" s="12" t="s">
        <v>68</v>
      </c>
      <c r="M6" s="12" t="s">
        <v>68</v>
      </c>
      <c r="N6" s="12" t="s">
        <v>68</v>
      </c>
      <c r="O6" s="12" t="s">
        <v>68</v>
      </c>
      <c r="P6" s="12" t="s">
        <v>70</v>
      </c>
    </row>
    <row r="7">
      <c r="A7" s="10">
        <f t="shared" si="1"/>
        <v>5</v>
      </c>
      <c r="B7" s="10" t="s">
        <v>81</v>
      </c>
      <c r="C7" s="10" t="s">
        <v>78</v>
      </c>
      <c r="D7" s="12">
        <v>0.0</v>
      </c>
      <c r="E7" s="15">
        <f>CEILING((COUNT(Table_Memento_Parent[N])-1)/64,1)</f>
        <v>1</v>
      </c>
      <c r="F7" s="10" t="s">
        <v>79</v>
      </c>
      <c r="G7" s="12" t="s">
        <v>66</v>
      </c>
      <c r="H7" s="11"/>
      <c r="I7" s="12" t="s">
        <v>68</v>
      </c>
      <c r="J7" s="12" t="s">
        <v>68</v>
      </c>
      <c r="K7" s="12" t="s">
        <v>69</v>
      </c>
      <c r="L7" s="12" t="s">
        <v>68</v>
      </c>
      <c r="M7" s="12" t="s">
        <v>68</v>
      </c>
      <c r="N7" s="12" t="s">
        <v>68</v>
      </c>
      <c r="O7" s="12" t="s">
        <v>68</v>
      </c>
      <c r="P7" s="12" t="s">
        <v>70</v>
      </c>
    </row>
    <row r="8">
      <c r="A8" s="10">
        <f t="shared" si="1"/>
        <v>6</v>
      </c>
      <c r="B8" s="10" t="s">
        <v>82</v>
      </c>
      <c r="C8" s="10" t="s">
        <v>83</v>
      </c>
      <c r="D8" s="12">
        <v>2.0</v>
      </c>
      <c r="E8" s="15">
        <f>COUNTIF(Table_Items[PICKABLE],"=TRUE")</f>
        <v>4</v>
      </c>
      <c r="F8" s="10" t="s">
        <v>84</v>
      </c>
      <c r="G8" s="12" t="s">
        <v>66</v>
      </c>
      <c r="H8" s="11"/>
      <c r="I8" s="12" t="s">
        <v>68</v>
      </c>
      <c r="J8" s="12" t="s">
        <v>68</v>
      </c>
      <c r="K8" s="12" t="s">
        <v>69</v>
      </c>
      <c r="L8" s="12" t="s">
        <v>68</v>
      </c>
      <c r="M8" s="12" t="s">
        <v>76</v>
      </c>
      <c r="N8" s="12" t="s">
        <v>68</v>
      </c>
      <c r="O8" s="12" t="s">
        <v>70</v>
      </c>
      <c r="P8" s="12" t="s">
        <v>68</v>
      </c>
    </row>
    <row r="9">
      <c r="A9" s="10">
        <f t="shared" si="1"/>
        <v>7</v>
      </c>
      <c r="B9" s="10" t="s">
        <v>85</v>
      </c>
      <c r="C9" s="10" t="s">
        <v>86</v>
      </c>
      <c r="D9" s="12">
        <v>2.0</v>
      </c>
      <c r="E9" s="15">
        <f>COUNT(Table_Characters[N])-1</f>
        <v>3</v>
      </c>
      <c r="F9" s="10">
        <v>-1.0</v>
      </c>
      <c r="G9" s="12" t="s">
        <v>66</v>
      </c>
      <c r="H9" s="11"/>
      <c r="I9" s="12" t="s">
        <v>68</v>
      </c>
      <c r="J9" s="12" t="s">
        <v>68</v>
      </c>
      <c r="K9" s="12" t="s">
        <v>70</v>
      </c>
      <c r="L9" s="12" t="s">
        <v>68</v>
      </c>
      <c r="M9" s="12" t="s">
        <v>68</v>
      </c>
      <c r="N9" s="12" t="s">
        <v>69</v>
      </c>
      <c r="O9" s="12" t="s">
        <v>68</v>
      </c>
      <c r="P9" s="12" t="s">
        <v>68</v>
      </c>
    </row>
    <row r="10">
      <c r="A10" s="10">
        <f t="shared" si="1"/>
        <v>8</v>
      </c>
      <c r="B10" s="10" t="s">
        <v>87</v>
      </c>
      <c r="C10" s="10" t="s">
        <v>88</v>
      </c>
      <c r="D10" s="12">
        <v>0.0</v>
      </c>
      <c r="E10" s="10">
        <v>0.0</v>
      </c>
      <c r="F10" s="10" t="s">
        <v>89</v>
      </c>
      <c r="G10" s="12" t="s">
        <v>66</v>
      </c>
      <c r="H10" s="11"/>
      <c r="I10" s="12" t="s">
        <v>68</v>
      </c>
      <c r="J10" s="12" t="s">
        <v>68</v>
      </c>
      <c r="K10" s="12" t="s">
        <v>68</v>
      </c>
      <c r="L10" s="12" t="s">
        <v>70</v>
      </c>
      <c r="M10" s="12" t="s">
        <v>68</v>
      </c>
      <c r="N10" s="12" t="s">
        <v>68</v>
      </c>
      <c r="O10" s="12" t="s">
        <v>68</v>
      </c>
      <c r="P10" s="12" t="s">
        <v>68</v>
      </c>
    </row>
    <row r="11">
      <c r="A11" s="10">
        <f t="shared" si="1"/>
        <v>9</v>
      </c>
      <c r="B11" s="10" t="s">
        <v>90</v>
      </c>
      <c r="C11" s="10" t="s">
        <v>91</v>
      </c>
      <c r="D11" s="12">
        <v>0.0</v>
      </c>
      <c r="E11" s="10">
        <v>0.0</v>
      </c>
      <c r="F11" s="10" t="s">
        <v>92</v>
      </c>
      <c r="G11" s="12" t="s">
        <v>47</v>
      </c>
      <c r="H11" s="11"/>
      <c r="I11" s="12" t="s">
        <v>68</v>
      </c>
      <c r="J11" s="12" t="s">
        <v>68</v>
      </c>
      <c r="K11" s="12" t="s">
        <v>69</v>
      </c>
      <c r="L11" s="12" t="s">
        <v>68</v>
      </c>
      <c r="M11" s="12" t="s">
        <v>70</v>
      </c>
      <c r="N11" s="12" t="s">
        <v>68</v>
      </c>
      <c r="O11" s="12" t="s">
        <v>68</v>
      </c>
      <c r="P11" s="12" t="s">
        <v>68</v>
      </c>
    </row>
    <row r="12">
      <c r="A12" s="10">
        <f t="shared" si="1"/>
        <v>10</v>
      </c>
      <c r="B12" s="11" t="s">
        <v>93</v>
      </c>
      <c r="C12" s="11" t="s">
        <v>94</v>
      </c>
      <c r="D12" s="13">
        <v>0.0</v>
      </c>
      <c r="E12" s="11">
        <v>0.0</v>
      </c>
      <c r="F12" s="11" t="s">
        <v>95</v>
      </c>
      <c r="G12" s="13" t="s">
        <v>47</v>
      </c>
      <c r="H12" s="11" t="s">
        <v>67</v>
      </c>
      <c r="I12" s="13" t="s">
        <v>70</v>
      </c>
      <c r="J12" s="12" t="s">
        <v>76</v>
      </c>
      <c r="K12" s="13" t="s">
        <v>76</v>
      </c>
      <c r="L12" s="13" t="s">
        <v>76</v>
      </c>
      <c r="M12" s="13" t="s">
        <v>76</v>
      </c>
      <c r="N12" s="13" t="s">
        <v>76</v>
      </c>
      <c r="O12" s="12" t="s">
        <v>76</v>
      </c>
      <c r="P12" s="12" t="s">
        <v>76</v>
      </c>
    </row>
    <row r="13">
      <c r="A13" s="10">
        <f t="shared" si="1"/>
        <v>11</v>
      </c>
      <c r="B13" s="11" t="s">
        <v>96</v>
      </c>
      <c r="C13" s="11" t="s">
        <v>97</v>
      </c>
      <c r="D13" s="13">
        <v>0.0</v>
      </c>
      <c r="E13" s="11">
        <v>0.0</v>
      </c>
      <c r="F13" s="11" t="s">
        <v>98</v>
      </c>
      <c r="G13" s="13" t="s">
        <v>47</v>
      </c>
      <c r="H13" s="11" t="s">
        <v>67</v>
      </c>
      <c r="I13" s="13" t="s">
        <v>69</v>
      </c>
      <c r="J13" s="12" t="s">
        <v>70</v>
      </c>
      <c r="K13" s="12" t="s">
        <v>69</v>
      </c>
      <c r="L13" s="12" t="s">
        <v>69</v>
      </c>
      <c r="M13" s="13" t="s">
        <v>69</v>
      </c>
      <c r="N13" s="12" t="s">
        <v>68</v>
      </c>
      <c r="O13" s="12" t="s">
        <v>68</v>
      </c>
      <c r="P13" s="12" t="s">
        <v>68</v>
      </c>
    </row>
    <row r="14">
      <c r="A14" s="10">
        <f t="shared" si="1"/>
        <v>12</v>
      </c>
      <c r="B14" s="11" t="s">
        <v>99</v>
      </c>
      <c r="C14" s="11" t="s">
        <v>100</v>
      </c>
      <c r="D14" s="13">
        <v>0.0</v>
      </c>
      <c r="E14" s="11">
        <v>0.0</v>
      </c>
      <c r="F14" s="11" t="s">
        <v>101</v>
      </c>
      <c r="G14" s="13" t="s">
        <v>47</v>
      </c>
      <c r="H14" s="11" t="s">
        <v>67</v>
      </c>
      <c r="I14" s="12" t="s">
        <v>68</v>
      </c>
      <c r="J14" s="13" t="s">
        <v>70</v>
      </c>
      <c r="K14" s="12" t="s">
        <v>69</v>
      </c>
      <c r="L14" s="13" t="s">
        <v>69</v>
      </c>
      <c r="M14" s="13" t="s">
        <v>69</v>
      </c>
      <c r="N14" s="12" t="s">
        <v>68</v>
      </c>
      <c r="O14" s="12" t="s">
        <v>68</v>
      </c>
      <c r="P14" s="12" t="s">
        <v>68</v>
      </c>
    </row>
    <row r="15">
      <c r="A15" s="10">
        <f t="shared" si="1"/>
        <v>13</v>
      </c>
      <c r="B15" s="10" t="s">
        <v>102</v>
      </c>
      <c r="C15" s="10" t="s">
        <v>83</v>
      </c>
      <c r="D15" s="12">
        <v>0.0</v>
      </c>
      <c r="E15" s="10">
        <v>0.0</v>
      </c>
      <c r="F15" s="10" t="s">
        <v>84</v>
      </c>
      <c r="G15" s="12" t="s">
        <v>47</v>
      </c>
      <c r="H15" s="16"/>
      <c r="I15" s="12" t="s">
        <v>68</v>
      </c>
      <c r="J15" s="12" t="s">
        <v>68</v>
      </c>
      <c r="K15" s="12" t="s">
        <v>70</v>
      </c>
      <c r="L15" s="12" t="s">
        <v>68</v>
      </c>
      <c r="M15" s="12" t="s">
        <v>69</v>
      </c>
      <c r="N15" s="12" t="s">
        <v>76</v>
      </c>
      <c r="O15" s="12" t="s">
        <v>69</v>
      </c>
      <c r="P15" s="12" t="s">
        <v>68</v>
      </c>
    </row>
    <row r="16" ht="15.75" customHeight="1">
      <c r="A16" s="10">
        <f t="shared" si="1"/>
        <v>14</v>
      </c>
      <c r="B16" s="10" t="s">
        <v>103</v>
      </c>
      <c r="C16" s="10" t="s">
        <v>91</v>
      </c>
      <c r="D16" s="12">
        <v>2.0</v>
      </c>
      <c r="E16" s="10">
        <v>0.0</v>
      </c>
      <c r="F16" s="10" t="s">
        <v>92</v>
      </c>
      <c r="G16" s="12" t="s">
        <v>47</v>
      </c>
      <c r="H16" s="16"/>
      <c r="I16" s="12" t="s">
        <v>68</v>
      </c>
      <c r="J16" s="12" t="s">
        <v>68</v>
      </c>
      <c r="K16" s="12" t="s">
        <v>69</v>
      </c>
      <c r="L16" s="12" t="s">
        <v>76</v>
      </c>
      <c r="M16" s="12" t="s">
        <v>70</v>
      </c>
      <c r="N16" s="12" t="s">
        <v>68</v>
      </c>
      <c r="O16" s="12" t="s">
        <v>69</v>
      </c>
      <c r="P16" s="12" t="s">
        <v>68</v>
      </c>
    </row>
    <row r="17" ht="15.75" customHeight="1">
      <c r="A17" s="10">
        <f t="shared" si="1"/>
        <v>15</v>
      </c>
      <c r="B17" s="10" t="s">
        <v>104</v>
      </c>
      <c r="C17" s="10" t="s">
        <v>91</v>
      </c>
      <c r="D17" s="12">
        <v>0.0</v>
      </c>
      <c r="E17" s="10">
        <v>0.0</v>
      </c>
      <c r="F17" s="10" t="s">
        <v>92</v>
      </c>
      <c r="G17" s="12" t="s">
        <v>47</v>
      </c>
      <c r="H17" s="16"/>
      <c r="I17" s="12" t="s">
        <v>68</v>
      </c>
      <c r="J17" s="12" t="s">
        <v>68</v>
      </c>
      <c r="K17" s="12" t="s">
        <v>70</v>
      </c>
      <c r="L17" s="12" t="s">
        <v>76</v>
      </c>
      <c r="M17" s="12" t="s">
        <v>68</v>
      </c>
      <c r="N17" s="12" t="s">
        <v>68</v>
      </c>
      <c r="O17" s="12" t="s">
        <v>68</v>
      </c>
      <c r="P17" s="12" t="s">
        <v>68</v>
      </c>
    </row>
    <row r="18" ht="15.75" customHeight="1">
      <c r="A18" s="10">
        <f t="shared" si="1"/>
        <v>16</v>
      </c>
      <c r="B18" s="10" t="s">
        <v>105</v>
      </c>
      <c r="C18" s="10" t="s">
        <v>106</v>
      </c>
      <c r="D18" s="12">
        <v>0.0</v>
      </c>
      <c r="E18" s="10">
        <v>0.0</v>
      </c>
      <c r="F18" s="10" t="s">
        <v>107</v>
      </c>
      <c r="G18" s="12" t="s">
        <v>47</v>
      </c>
      <c r="H18" s="16"/>
      <c r="I18" s="12" t="s">
        <v>68</v>
      </c>
      <c r="J18" s="12" t="s">
        <v>68</v>
      </c>
      <c r="K18" s="12" t="s">
        <v>69</v>
      </c>
      <c r="L18" s="12" t="s">
        <v>76</v>
      </c>
      <c r="M18" s="12" t="s">
        <v>70</v>
      </c>
      <c r="N18" s="12" t="s">
        <v>68</v>
      </c>
      <c r="O18" s="12" t="s">
        <v>68</v>
      </c>
      <c r="P18" s="12" t="s">
        <v>68</v>
      </c>
    </row>
    <row r="19" ht="15.75" customHeight="1">
      <c r="A19" s="10">
        <f t="shared" si="1"/>
        <v>17</v>
      </c>
      <c r="B19" s="10" t="s">
        <v>108</v>
      </c>
      <c r="C19" s="10" t="s">
        <v>109</v>
      </c>
      <c r="D19" s="12">
        <v>0.0</v>
      </c>
      <c r="E19" s="10">
        <v>0.0</v>
      </c>
      <c r="F19" s="17" t="s">
        <v>110</v>
      </c>
      <c r="G19" s="12" t="s">
        <v>47</v>
      </c>
      <c r="H19" s="16"/>
      <c r="I19" s="12" t="s">
        <v>69</v>
      </c>
      <c r="J19" s="12" t="s">
        <v>68</v>
      </c>
      <c r="K19" s="12" t="s">
        <v>69</v>
      </c>
      <c r="L19" s="12" t="s">
        <v>68</v>
      </c>
      <c r="M19" s="12" t="s">
        <v>68</v>
      </c>
      <c r="N19" s="12" t="s">
        <v>68</v>
      </c>
      <c r="O19" s="12" t="s">
        <v>68</v>
      </c>
      <c r="P19" s="12" t="s">
        <v>70</v>
      </c>
    </row>
    <row r="20" ht="15.75" customHeight="1">
      <c r="A20" s="10">
        <f t="shared" si="1"/>
        <v>18</v>
      </c>
      <c r="B20" s="10" t="s">
        <v>111</v>
      </c>
      <c r="C20" s="10" t="s">
        <v>112</v>
      </c>
      <c r="D20" s="12">
        <v>0.0</v>
      </c>
      <c r="E20" s="10">
        <v>0.0</v>
      </c>
      <c r="F20" s="10" t="s">
        <v>113</v>
      </c>
      <c r="G20" s="12" t="s">
        <v>66</v>
      </c>
      <c r="H20" s="16"/>
      <c r="I20" s="12" t="s">
        <v>70</v>
      </c>
      <c r="J20" s="12" t="s">
        <v>68</v>
      </c>
      <c r="K20" s="12" t="s">
        <v>69</v>
      </c>
      <c r="L20" s="12" t="s">
        <v>69</v>
      </c>
      <c r="M20" s="12" t="s">
        <v>69</v>
      </c>
      <c r="N20" s="12" t="s">
        <v>68</v>
      </c>
      <c r="O20" s="12" t="s">
        <v>69</v>
      </c>
      <c r="P20" s="12" t="s">
        <v>69</v>
      </c>
    </row>
    <row r="21" ht="15.75" customHeight="1">
      <c r="A21" s="10">
        <f t="shared" si="1"/>
        <v>19</v>
      </c>
      <c r="B21" s="10" t="s">
        <v>114</v>
      </c>
      <c r="C21" s="10" t="s">
        <v>109</v>
      </c>
      <c r="D21" s="12">
        <v>0.0</v>
      </c>
      <c r="E21" s="10">
        <v>0.0</v>
      </c>
      <c r="F21" s="17" t="s">
        <v>110</v>
      </c>
      <c r="G21" s="12" t="s">
        <v>47</v>
      </c>
      <c r="H21" s="16"/>
      <c r="I21" s="12" t="s">
        <v>70</v>
      </c>
      <c r="J21" s="12" t="s">
        <v>68</v>
      </c>
      <c r="K21" s="12" t="s">
        <v>68</v>
      </c>
      <c r="L21" s="12" t="s">
        <v>68</v>
      </c>
      <c r="M21" s="12" t="s">
        <v>68</v>
      </c>
      <c r="N21" s="12" t="s">
        <v>68</v>
      </c>
      <c r="O21" s="12" t="s">
        <v>68</v>
      </c>
      <c r="P21" s="12" t="s">
        <v>68</v>
      </c>
    </row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>
      <c r="I28" s="18"/>
    </row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</sheetData>
  <dataValidations>
    <dataValidation type="list" allowBlank="1" showErrorMessage="1" sqref="G2:G21">
      <formula1>"N,Y"</formula1>
    </dataValidation>
    <dataValidation type="list" allowBlank="1" showErrorMessage="1" sqref="D2:D21">
      <formula1>"0,1,2"</formula1>
    </dataValidation>
    <dataValidation type="list" allowBlank="1" showErrorMessage="1" sqref="I2:P21">
      <formula1>"R,R E,W,W E,-"</formula1>
    </dataValidation>
  </dataValidations>
  <printOptions/>
  <pageMargins bottom="0.75" footer="0.0" header="0.0" left="0.7" right="0.7" top="0.75"/>
  <pageSetup orientation="landscape"/>
  <drawing r:id="rId2"/>
  <legacyDrawing r:id="rId3"/>
  <tableParts count="1">
    <tablePart r:id="rId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29"/>
    <col customWidth="1" min="2" max="2" width="30.14"/>
    <col customWidth="1" min="3" max="3" width="41.0"/>
    <col customWidth="1" min="4" max="4" width="49.57"/>
    <col customWidth="1" min="5" max="5" width="8.86"/>
    <col customWidth="1" min="6" max="6" width="5.29"/>
    <col customWidth="1" min="7" max="7" width="21.14"/>
    <col customWidth="1" min="8" max="8" width="20.57"/>
    <col customWidth="1" min="9" max="9" width="20.43"/>
    <col customWidth="1" min="10" max="10" width="23.43"/>
    <col customWidth="1" min="11" max="11" width="20.14"/>
    <col customWidth="1" min="12" max="12" width="21.29"/>
    <col customWidth="1" min="13" max="13" width="19.57"/>
    <col customWidth="1" min="14" max="14" width="20.0"/>
    <col customWidth="1" min="15" max="15" width="25.86"/>
  </cols>
  <sheetData>
    <row r="1">
      <c r="A1" s="19" t="s">
        <v>47</v>
      </c>
      <c r="B1" s="9" t="s">
        <v>115</v>
      </c>
      <c r="C1" s="9" t="s">
        <v>116</v>
      </c>
      <c r="D1" s="9" t="s">
        <v>117</v>
      </c>
      <c r="E1" s="19" t="s">
        <v>118</v>
      </c>
      <c r="F1" s="9" t="s">
        <v>54</v>
      </c>
      <c r="G1" s="9" t="s">
        <v>55</v>
      </c>
      <c r="H1" s="9" t="s">
        <v>56</v>
      </c>
      <c r="I1" s="9" t="s">
        <v>57</v>
      </c>
      <c r="J1" s="9" t="s">
        <v>58</v>
      </c>
      <c r="K1" s="9" t="s">
        <v>59</v>
      </c>
      <c r="L1" s="9" t="s">
        <v>60</v>
      </c>
      <c r="M1" s="9" t="s">
        <v>61</v>
      </c>
      <c r="N1" s="9" t="s">
        <v>62</v>
      </c>
    </row>
    <row r="2">
      <c r="A2" s="20">
        <f t="shared" ref="A2:A34" si="1">ROW()-ROW($A$2)</f>
        <v>0</v>
      </c>
      <c r="B2" s="11" t="s">
        <v>119</v>
      </c>
      <c r="C2" s="11" t="s">
        <v>120</v>
      </c>
      <c r="D2" s="11" t="s">
        <v>121</v>
      </c>
      <c r="E2" s="10" t="s">
        <v>122</v>
      </c>
      <c r="F2" s="11" t="s">
        <v>67</v>
      </c>
      <c r="G2" s="13" t="s">
        <v>70</v>
      </c>
      <c r="H2" s="12" t="s">
        <v>68</v>
      </c>
      <c r="I2" s="12" t="s">
        <v>68</v>
      </c>
      <c r="J2" s="12" t="s">
        <v>68</v>
      </c>
      <c r="K2" s="13" t="s">
        <v>123</v>
      </c>
      <c r="L2" s="12" t="s">
        <v>68</v>
      </c>
      <c r="M2" s="12" t="s">
        <v>68</v>
      </c>
      <c r="N2" s="12" t="s">
        <v>68</v>
      </c>
    </row>
    <row r="3">
      <c r="A3" s="20">
        <f t="shared" si="1"/>
        <v>1</v>
      </c>
      <c r="B3" s="10" t="s">
        <v>124</v>
      </c>
      <c r="C3" s="10" t="s">
        <v>125</v>
      </c>
      <c r="D3" s="10" t="s">
        <v>126</v>
      </c>
      <c r="E3" s="10" t="s">
        <v>127</v>
      </c>
      <c r="F3" s="11"/>
      <c r="G3" s="12" t="s">
        <v>70</v>
      </c>
      <c r="H3" s="12" t="s">
        <v>68</v>
      </c>
      <c r="I3" s="12" t="s">
        <v>123</v>
      </c>
      <c r="J3" s="12" t="s">
        <v>68</v>
      </c>
      <c r="K3" s="12" t="s">
        <v>123</v>
      </c>
      <c r="L3" s="12" t="s">
        <v>68</v>
      </c>
      <c r="M3" s="12" t="s">
        <v>68</v>
      </c>
      <c r="N3" s="12" t="s">
        <v>68</v>
      </c>
    </row>
    <row r="4">
      <c r="A4" s="20">
        <f t="shared" si="1"/>
        <v>2</v>
      </c>
      <c r="B4" s="10" t="s">
        <v>128</v>
      </c>
      <c r="C4" s="10" t="s">
        <v>129</v>
      </c>
      <c r="D4" s="10" t="s">
        <v>130</v>
      </c>
      <c r="E4" s="10" t="s">
        <v>131</v>
      </c>
      <c r="F4" s="11"/>
      <c r="G4" s="12" t="s">
        <v>70</v>
      </c>
      <c r="H4" s="12" t="s">
        <v>68</v>
      </c>
      <c r="I4" s="12" t="s">
        <v>68</v>
      </c>
      <c r="J4" s="12" t="s">
        <v>68</v>
      </c>
      <c r="K4" s="12" t="s">
        <v>123</v>
      </c>
      <c r="L4" s="12" t="s">
        <v>68</v>
      </c>
      <c r="M4" s="12" t="s">
        <v>68</v>
      </c>
      <c r="N4" s="12" t="s">
        <v>68</v>
      </c>
    </row>
    <row r="5">
      <c r="A5" s="20">
        <f t="shared" si="1"/>
        <v>3</v>
      </c>
      <c r="B5" s="11" t="s">
        <v>132</v>
      </c>
      <c r="C5" s="11" t="s">
        <v>133</v>
      </c>
      <c r="D5" s="11" t="s">
        <v>134</v>
      </c>
      <c r="E5" s="10" t="s">
        <v>135</v>
      </c>
      <c r="F5" s="11" t="s">
        <v>67</v>
      </c>
      <c r="G5" s="13" t="s">
        <v>70</v>
      </c>
      <c r="H5" s="12" t="s">
        <v>68</v>
      </c>
      <c r="I5" s="13" t="s">
        <v>123</v>
      </c>
      <c r="J5" s="12" t="s">
        <v>68</v>
      </c>
      <c r="K5" s="12" t="s">
        <v>68</v>
      </c>
      <c r="L5" s="12" t="s">
        <v>68</v>
      </c>
      <c r="M5" s="12" t="s">
        <v>68</v>
      </c>
      <c r="N5" s="12" t="s">
        <v>68</v>
      </c>
    </row>
    <row r="6">
      <c r="A6" s="20">
        <f t="shared" si="1"/>
        <v>4</v>
      </c>
      <c r="B6" s="11" t="s">
        <v>136</v>
      </c>
      <c r="C6" s="11" t="s">
        <v>137</v>
      </c>
      <c r="D6" s="11" t="s">
        <v>138</v>
      </c>
      <c r="E6" s="10" t="s">
        <v>139</v>
      </c>
      <c r="F6" s="11" t="s">
        <v>67</v>
      </c>
      <c r="G6" s="13" t="s">
        <v>70</v>
      </c>
      <c r="H6" s="12" t="s">
        <v>68</v>
      </c>
      <c r="I6" s="12" t="s">
        <v>68</v>
      </c>
      <c r="J6" s="12" t="s">
        <v>68</v>
      </c>
      <c r="K6" s="13" t="s">
        <v>123</v>
      </c>
      <c r="L6" s="12" t="s">
        <v>68</v>
      </c>
      <c r="M6" s="12" t="s">
        <v>68</v>
      </c>
      <c r="N6" s="12" t="s">
        <v>68</v>
      </c>
    </row>
    <row r="7">
      <c r="A7" s="20">
        <f t="shared" si="1"/>
        <v>5</v>
      </c>
      <c r="B7" s="10" t="s">
        <v>140</v>
      </c>
      <c r="C7" s="11" t="s">
        <v>141</v>
      </c>
      <c r="D7" s="11" t="s">
        <v>142</v>
      </c>
      <c r="E7" s="10" t="s">
        <v>143</v>
      </c>
      <c r="F7" s="11" t="s">
        <v>67</v>
      </c>
      <c r="G7" s="13" t="s">
        <v>70</v>
      </c>
      <c r="H7" s="12" t="s">
        <v>123</v>
      </c>
      <c r="I7" s="13" t="s">
        <v>123</v>
      </c>
      <c r="J7" s="12" t="s">
        <v>123</v>
      </c>
      <c r="K7" s="12" t="s">
        <v>123</v>
      </c>
      <c r="L7" s="12" t="s">
        <v>123</v>
      </c>
      <c r="M7" s="12" t="s">
        <v>123</v>
      </c>
      <c r="N7" s="12" t="s">
        <v>123</v>
      </c>
    </row>
    <row r="8">
      <c r="A8" s="20">
        <f t="shared" si="1"/>
        <v>6</v>
      </c>
      <c r="B8" s="10" t="s">
        <v>144</v>
      </c>
      <c r="C8" s="10" t="s">
        <v>145</v>
      </c>
      <c r="D8" s="10" t="s">
        <v>146</v>
      </c>
      <c r="E8" s="10" t="s">
        <v>147</v>
      </c>
      <c r="F8" s="11"/>
      <c r="G8" s="12" t="s">
        <v>70</v>
      </c>
      <c r="H8" s="12" t="s">
        <v>123</v>
      </c>
      <c r="I8" s="12" t="s">
        <v>123</v>
      </c>
      <c r="J8" s="12" t="s">
        <v>123</v>
      </c>
      <c r="K8" s="12" t="s">
        <v>123</v>
      </c>
      <c r="L8" s="12" t="s">
        <v>123</v>
      </c>
      <c r="M8" s="12" t="s">
        <v>123</v>
      </c>
      <c r="N8" s="12" t="s">
        <v>123</v>
      </c>
    </row>
    <row r="9">
      <c r="A9" s="20">
        <f t="shared" si="1"/>
        <v>7</v>
      </c>
      <c r="B9" s="10" t="s">
        <v>148</v>
      </c>
      <c r="C9" s="10" t="s">
        <v>149</v>
      </c>
      <c r="D9" s="10" t="s">
        <v>150</v>
      </c>
      <c r="E9" s="10" t="s">
        <v>151</v>
      </c>
      <c r="F9" s="16"/>
      <c r="G9" s="12" t="s">
        <v>68</v>
      </c>
      <c r="H9" s="12" t="s">
        <v>68</v>
      </c>
      <c r="I9" s="12" t="s">
        <v>70</v>
      </c>
      <c r="J9" s="12" t="s">
        <v>68</v>
      </c>
      <c r="K9" s="12" t="s">
        <v>68</v>
      </c>
      <c r="L9" s="12" t="s">
        <v>123</v>
      </c>
      <c r="M9" s="12" t="s">
        <v>123</v>
      </c>
      <c r="N9" s="12" t="s">
        <v>68</v>
      </c>
    </row>
    <row r="10">
      <c r="A10" s="20">
        <f t="shared" si="1"/>
        <v>8</v>
      </c>
      <c r="B10" s="11" t="s">
        <v>152</v>
      </c>
      <c r="C10" s="10" t="s">
        <v>153</v>
      </c>
      <c r="D10" s="11" t="s">
        <v>154</v>
      </c>
      <c r="E10" s="10" t="s">
        <v>155</v>
      </c>
      <c r="F10" s="16"/>
      <c r="G10" s="12" t="s">
        <v>68</v>
      </c>
      <c r="H10" s="12" t="s">
        <v>68</v>
      </c>
      <c r="I10" s="13" t="s">
        <v>70</v>
      </c>
      <c r="J10" s="12" t="s">
        <v>68</v>
      </c>
      <c r="K10" s="12" t="s">
        <v>68</v>
      </c>
      <c r="L10" s="13" t="s">
        <v>123</v>
      </c>
      <c r="M10" s="12" t="s">
        <v>68</v>
      </c>
      <c r="N10" s="12" t="s">
        <v>68</v>
      </c>
    </row>
    <row r="11">
      <c r="A11" s="20">
        <f t="shared" si="1"/>
        <v>9</v>
      </c>
      <c r="B11" s="10" t="s">
        <v>156</v>
      </c>
      <c r="C11" s="10" t="s">
        <v>157</v>
      </c>
      <c r="D11" s="10" t="s">
        <v>158</v>
      </c>
      <c r="E11" s="10" t="s">
        <v>159</v>
      </c>
      <c r="F11" s="16"/>
      <c r="G11" s="12" t="s">
        <v>68</v>
      </c>
      <c r="H11" s="12" t="s">
        <v>68</v>
      </c>
      <c r="I11" s="12" t="s">
        <v>70</v>
      </c>
      <c r="J11" s="12" t="s">
        <v>68</v>
      </c>
      <c r="K11" s="12" t="s">
        <v>68</v>
      </c>
      <c r="L11" s="12" t="s">
        <v>68</v>
      </c>
      <c r="M11" s="12" t="s">
        <v>123</v>
      </c>
      <c r="N11" s="12" t="s">
        <v>68</v>
      </c>
    </row>
    <row r="12">
      <c r="A12" s="20">
        <f t="shared" si="1"/>
        <v>10</v>
      </c>
      <c r="B12" s="10" t="s">
        <v>160</v>
      </c>
      <c r="C12" s="10" t="s">
        <v>161</v>
      </c>
      <c r="D12" s="10" t="s">
        <v>162</v>
      </c>
      <c r="E12" s="10" t="s">
        <v>163</v>
      </c>
      <c r="F12" s="16"/>
      <c r="G12" s="12" t="s">
        <v>68</v>
      </c>
      <c r="H12" s="12" t="s">
        <v>68</v>
      </c>
      <c r="I12" s="12" t="s">
        <v>70</v>
      </c>
      <c r="J12" s="12" t="s">
        <v>68</v>
      </c>
      <c r="K12" s="12" t="s">
        <v>68</v>
      </c>
      <c r="L12" s="12" t="s">
        <v>68</v>
      </c>
      <c r="M12" s="12" t="s">
        <v>123</v>
      </c>
      <c r="N12" s="12" t="s">
        <v>68</v>
      </c>
    </row>
    <row r="13">
      <c r="A13" s="20">
        <f t="shared" si="1"/>
        <v>11</v>
      </c>
      <c r="B13" s="10" t="s">
        <v>164</v>
      </c>
      <c r="C13" s="10" t="s">
        <v>165</v>
      </c>
      <c r="D13" s="10" t="s">
        <v>166</v>
      </c>
      <c r="E13" s="10" t="s">
        <v>167</v>
      </c>
      <c r="F13" s="16"/>
      <c r="G13" s="12" t="s">
        <v>68</v>
      </c>
      <c r="H13" s="12" t="s">
        <v>68</v>
      </c>
      <c r="I13" s="12" t="s">
        <v>70</v>
      </c>
      <c r="J13" s="12" t="s">
        <v>68</v>
      </c>
      <c r="K13" s="12" t="s">
        <v>68</v>
      </c>
      <c r="L13" s="12" t="s">
        <v>123</v>
      </c>
      <c r="M13" s="12" t="s">
        <v>68</v>
      </c>
      <c r="N13" s="12" t="s">
        <v>68</v>
      </c>
    </row>
    <row r="14">
      <c r="A14" s="20">
        <f t="shared" si="1"/>
        <v>12</v>
      </c>
      <c r="B14" s="10" t="s">
        <v>168</v>
      </c>
      <c r="C14" s="10" t="s">
        <v>169</v>
      </c>
      <c r="D14" s="10" t="s">
        <v>170</v>
      </c>
      <c r="E14" s="10" t="s">
        <v>171</v>
      </c>
      <c r="F14" s="16"/>
      <c r="G14" s="12" t="s">
        <v>68</v>
      </c>
      <c r="H14" s="12" t="s">
        <v>68</v>
      </c>
      <c r="I14" s="12" t="s">
        <v>70</v>
      </c>
      <c r="J14" s="12" t="s">
        <v>68</v>
      </c>
      <c r="K14" s="12" t="s">
        <v>68</v>
      </c>
      <c r="L14" s="12" t="s">
        <v>123</v>
      </c>
      <c r="M14" s="12" t="s">
        <v>68</v>
      </c>
      <c r="N14" s="12" t="s">
        <v>68</v>
      </c>
    </row>
    <row r="15">
      <c r="A15" s="20">
        <f t="shared" si="1"/>
        <v>13</v>
      </c>
      <c r="B15" s="10" t="s">
        <v>172</v>
      </c>
      <c r="C15" s="10" t="s">
        <v>173</v>
      </c>
      <c r="D15" s="10" t="s">
        <v>174</v>
      </c>
      <c r="E15" s="10" t="s">
        <v>175</v>
      </c>
      <c r="F15" s="16"/>
      <c r="G15" s="12" t="s">
        <v>68</v>
      </c>
      <c r="H15" s="12" t="s">
        <v>68</v>
      </c>
      <c r="I15" s="12" t="s">
        <v>70</v>
      </c>
      <c r="J15" s="12" t="s">
        <v>123</v>
      </c>
      <c r="K15" s="12" t="s">
        <v>68</v>
      </c>
      <c r="L15" s="12" t="s">
        <v>123</v>
      </c>
      <c r="M15" s="12" t="s">
        <v>68</v>
      </c>
      <c r="N15" s="12" t="s">
        <v>68</v>
      </c>
    </row>
    <row r="16">
      <c r="A16" s="20">
        <f t="shared" si="1"/>
        <v>14</v>
      </c>
      <c r="B16" s="10" t="s">
        <v>176</v>
      </c>
      <c r="C16" s="10" t="s">
        <v>177</v>
      </c>
      <c r="D16" s="10" t="s">
        <v>178</v>
      </c>
      <c r="E16" s="10" t="s">
        <v>179</v>
      </c>
      <c r="F16" s="16"/>
      <c r="G16" s="12" t="s">
        <v>68</v>
      </c>
      <c r="H16" s="12" t="s">
        <v>68</v>
      </c>
      <c r="I16" s="12" t="s">
        <v>70</v>
      </c>
      <c r="J16" s="12" t="s">
        <v>68</v>
      </c>
      <c r="K16" s="12" t="s">
        <v>68</v>
      </c>
      <c r="L16" s="12" t="s">
        <v>123</v>
      </c>
      <c r="M16" s="12" t="s">
        <v>123</v>
      </c>
      <c r="N16" s="12" t="s">
        <v>68</v>
      </c>
    </row>
    <row r="17">
      <c r="A17" s="20">
        <f t="shared" si="1"/>
        <v>15</v>
      </c>
      <c r="B17" s="21" t="s">
        <v>180</v>
      </c>
      <c r="C17" s="21" t="s">
        <v>181</v>
      </c>
      <c r="D17" s="21" t="s">
        <v>182</v>
      </c>
      <c r="E17" s="21" t="s">
        <v>183</v>
      </c>
      <c r="F17" s="22"/>
      <c r="G17" s="23" t="s">
        <v>68</v>
      </c>
      <c r="H17" s="23" t="s">
        <v>68</v>
      </c>
      <c r="I17" s="23" t="s">
        <v>123</v>
      </c>
      <c r="J17" s="23" t="s">
        <v>68</v>
      </c>
      <c r="K17" s="23" t="s">
        <v>123</v>
      </c>
      <c r="L17" s="23" t="s">
        <v>123</v>
      </c>
      <c r="M17" s="23" t="s">
        <v>123</v>
      </c>
      <c r="N17" s="23" t="s">
        <v>70</v>
      </c>
      <c r="O17" s="24"/>
      <c r="P17" s="24"/>
      <c r="Q17" s="24"/>
      <c r="R17" s="24"/>
      <c r="S17" s="24"/>
      <c r="T17" s="24"/>
      <c r="U17" s="24"/>
      <c r="V17" s="24"/>
      <c r="W17" s="24"/>
      <c r="X17" s="24"/>
    </row>
    <row r="18">
      <c r="A18" s="20">
        <f t="shared" si="1"/>
        <v>16</v>
      </c>
      <c r="B18" s="10" t="s">
        <v>184</v>
      </c>
      <c r="C18" s="10" t="s">
        <v>185</v>
      </c>
      <c r="D18" s="10" t="s">
        <v>186</v>
      </c>
      <c r="E18" s="10" t="s">
        <v>187</v>
      </c>
      <c r="F18" s="16"/>
      <c r="G18" s="12" t="s">
        <v>123</v>
      </c>
      <c r="H18" s="12" t="s">
        <v>68</v>
      </c>
      <c r="I18" s="12" t="s">
        <v>123</v>
      </c>
      <c r="J18" s="12" t="s">
        <v>68</v>
      </c>
      <c r="K18" s="12" t="s">
        <v>123</v>
      </c>
      <c r="L18" s="12" t="s">
        <v>123</v>
      </c>
      <c r="M18" s="12" t="s">
        <v>123</v>
      </c>
      <c r="N18" s="12" t="s">
        <v>70</v>
      </c>
    </row>
    <row r="19">
      <c r="A19" s="20">
        <f t="shared" si="1"/>
        <v>17</v>
      </c>
      <c r="B19" s="21" t="s">
        <v>188</v>
      </c>
      <c r="C19" s="21" t="s">
        <v>189</v>
      </c>
      <c r="D19" s="21" t="s">
        <v>190</v>
      </c>
      <c r="E19" s="21" t="s">
        <v>191</v>
      </c>
      <c r="F19" s="22"/>
      <c r="G19" s="23" t="s">
        <v>68</v>
      </c>
      <c r="H19" s="23" t="s">
        <v>68</v>
      </c>
      <c r="I19" s="23" t="s">
        <v>68</v>
      </c>
      <c r="J19" s="23" t="s">
        <v>68</v>
      </c>
      <c r="K19" s="23" t="s">
        <v>70</v>
      </c>
      <c r="L19" s="23" t="s">
        <v>68</v>
      </c>
      <c r="M19" s="23" t="s">
        <v>68</v>
      </c>
      <c r="N19" s="23" t="s">
        <v>123</v>
      </c>
      <c r="O19" s="24"/>
      <c r="P19" s="24"/>
      <c r="Q19" s="24"/>
      <c r="R19" s="24"/>
      <c r="S19" s="24"/>
      <c r="T19" s="24"/>
      <c r="U19" s="24"/>
      <c r="V19" s="24"/>
      <c r="W19" s="24"/>
      <c r="X19" s="24"/>
    </row>
    <row r="20">
      <c r="A20" s="20">
        <f t="shared" si="1"/>
        <v>18</v>
      </c>
      <c r="B20" s="21" t="s">
        <v>192</v>
      </c>
      <c r="C20" s="21" t="s">
        <v>193</v>
      </c>
      <c r="D20" s="21" t="s">
        <v>194</v>
      </c>
      <c r="E20" s="21" t="s">
        <v>195</v>
      </c>
      <c r="F20" s="22"/>
      <c r="G20" s="23" t="s">
        <v>68</v>
      </c>
      <c r="H20" s="23" t="s">
        <v>68</v>
      </c>
      <c r="I20" s="23" t="s">
        <v>68</v>
      </c>
      <c r="J20" s="23" t="s">
        <v>68</v>
      </c>
      <c r="K20" s="23" t="s">
        <v>123</v>
      </c>
      <c r="L20" s="23" t="s">
        <v>68</v>
      </c>
      <c r="M20" s="23" t="s">
        <v>68</v>
      </c>
      <c r="N20" s="23" t="s">
        <v>70</v>
      </c>
      <c r="O20" s="24"/>
      <c r="P20" s="24"/>
      <c r="Q20" s="24"/>
      <c r="R20" s="24"/>
      <c r="S20" s="24"/>
      <c r="T20" s="24"/>
      <c r="U20" s="24"/>
      <c r="V20" s="24"/>
      <c r="W20" s="24"/>
      <c r="X20" s="24"/>
    </row>
    <row r="21">
      <c r="A21" s="20">
        <f t="shared" si="1"/>
        <v>19</v>
      </c>
      <c r="B21" s="21" t="s">
        <v>196</v>
      </c>
      <c r="C21" s="21" t="s">
        <v>197</v>
      </c>
      <c r="D21" s="21" t="s">
        <v>198</v>
      </c>
      <c r="E21" s="21" t="s">
        <v>199</v>
      </c>
      <c r="F21" s="22"/>
      <c r="G21" s="23" t="s">
        <v>68</v>
      </c>
      <c r="H21" s="23" t="s">
        <v>68</v>
      </c>
      <c r="I21" s="23" t="s">
        <v>68</v>
      </c>
      <c r="J21" s="23" t="s">
        <v>68</v>
      </c>
      <c r="K21" s="23" t="s">
        <v>123</v>
      </c>
      <c r="L21" s="23" t="s">
        <v>68</v>
      </c>
      <c r="M21" s="23" t="s">
        <v>68</v>
      </c>
      <c r="N21" s="23" t="s">
        <v>70</v>
      </c>
      <c r="O21" s="24"/>
      <c r="P21" s="24"/>
      <c r="Q21" s="24"/>
      <c r="R21" s="24"/>
      <c r="S21" s="24"/>
      <c r="T21" s="24"/>
      <c r="U21" s="24"/>
      <c r="V21" s="24"/>
      <c r="W21" s="24"/>
      <c r="X21" s="24"/>
    </row>
    <row r="22">
      <c r="A22" s="20">
        <f t="shared" si="1"/>
        <v>20</v>
      </c>
      <c r="B22" s="21" t="s">
        <v>200</v>
      </c>
      <c r="C22" s="21" t="s">
        <v>201</v>
      </c>
      <c r="D22" s="21" t="s">
        <v>202</v>
      </c>
      <c r="E22" s="21" t="s">
        <v>203</v>
      </c>
      <c r="F22" s="22"/>
      <c r="G22" s="23" t="s">
        <v>68</v>
      </c>
      <c r="H22" s="23" t="s">
        <v>68</v>
      </c>
      <c r="I22" s="23" t="s">
        <v>123</v>
      </c>
      <c r="J22" s="23" t="s">
        <v>68</v>
      </c>
      <c r="K22" s="23" t="s">
        <v>68</v>
      </c>
      <c r="L22" s="23" t="s">
        <v>70</v>
      </c>
      <c r="M22" s="23" t="s">
        <v>68</v>
      </c>
      <c r="N22" s="23" t="s">
        <v>68</v>
      </c>
      <c r="O22" s="24"/>
      <c r="P22" s="24"/>
      <c r="Q22" s="24"/>
      <c r="R22" s="24"/>
      <c r="S22" s="24"/>
      <c r="T22" s="24"/>
      <c r="U22" s="24"/>
      <c r="V22" s="24"/>
      <c r="W22" s="24"/>
      <c r="X22" s="24"/>
    </row>
    <row r="23">
      <c r="A23" s="20">
        <f t="shared" si="1"/>
        <v>21</v>
      </c>
      <c r="B23" s="21" t="s">
        <v>204</v>
      </c>
      <c r="C23" s="21" t="s">
        <v>205</v>
      </c>
      <c r="D23" s="21" t="s">
        <v>206</v>
      </c>
      <c r="E23" s="21" t="s">
        <v>207</v>
      </c>
      <c r="F23" s="22"/>
      <c r="G23" s="23" t="s">
        <v>68</v>
      </c>
      <c r="H23" s="23" t="s">
        <v>68</v>
      </c>
      <c r="I23" s="23" t="s">
        <v>68</v>
      </c>
      <c r="J23" s="23" t="s">
        <v>68</v>
      </c>
      <c r="K23" s="23" t="s">
        <v>68</v>
      </c>
      <c r="L23" s="23" t="s">
        <v>68</v>
      </c>
      <c r="M23" s="23" t="s">
        <v>70</v>
      </c>
      <c r="N23" s="23" t="s">
        <v>123</v>
      </c>
      <c r="O23" s="24"/>
      <c r="P23" s="24"/>
      <c r="Q23" s="24"/>
      <c r="R23" s="24"/>
      <c r="S23" s="24"/>
      <c r="T23" s="24"/>
      <c r="U23" s="24"/>
      <c r="V23" s="24"/>
      <c r="W23" s="24"/>
      <c r="X23" s="24"/>
    </row>
    <row r="24">
      <c r="A24" s="20">
        <f t="shared" si="1"/>
        <v>22</v>
      </c>
      <c r="B24" s="21" t="s">
        <v>208</v>
      </c>
      <c r="C24" s="21" t="s">
        <v>209</v>
      </c>
      <c r="D24" s="21" t="s">
        <v>210</v>
      </c>
      <c r="E24" s="21" t="s">
        <v>211</v>
      </c>
      <c r="F24" s="22"/>
      <c r="G24" s="23" t="s">
        <v>68</v>
      </c>
      <c r="H24" s="23" t="s">
        <v>68</v>
      </c>
      <c r="I24" s="23" t="s">
        <v>70</v>
      </c>
      <c r="J24" s="23" t="s">
        <v>68</v>
      </c>
      <c r="K24" s="23" t="s">
        <v>68</v>
      </c>
      <c r="L24" s="23" t="s">
        <v>123</v>
      </c>
      <c r="M24" s="23" t="s">
        <v>68</v>
      </c>
      <c r="N24" s="23" t="s">
        <v>68</v>
      </c>
      <c r="O24" s="24"/>
      <c r="P24" s="24"/>
      <c r="Q24" s="24"/>
      <c r="R24" s="24"/>
      <c r="S24" s="24"/>
      <c r="T24" s="24"/>
      <c r="U24" s="24"/>
      <c r="V24" s="24"/>
      <c r="W24" s="24"/>
      <c r="X24" s="24"/>
    </row>
    <row r="25">
      <c r="A25" s="20">
        <f t="shared" si="1"/>
        <v>23</v>
      </c>
      <c r="B25" s="25" t="s">
        <v>212</v>
      </c>
      <c r="C25" s="25" t="s">
        <v>213</v>
      </c>
      <c r="D25" s="25" t="s">
        <v>214</v>
      </c>
      <c r="E25" s="21" t="s">
        <v>215</v>
      </c>
      <c r="F25" s="22"/>
      <c r="G25" s="26" t="s">
        <v>68</v>
      </c>
      <c r="H25" s="26" t="s">
        <v>68</v>
      </c>
      <c r="I25" s="23" t="s">
        <v>123</v>
      </c>
      <c r="J25" s="26" t="s">
        <v>68</v>
      </c>
      <c r="K25" s="26" t="s">
        <v>68</v>
      </c>
      <c r="L25" s="23" t="s">
        <v>68</v>
      </c>
      <c r="M25" s="26" t="s">
        <v>70</v>
      </c>
      <c r="N25" s="26" t="s">
        <v>68</v>
      </c>
      <c r="O25" s="24"/>
      <c r="P25" s="24"/>
      <c r="Q25" s="24"/>
      <c r="R25" s="24"/>
      <c r="S25" s="24"/>
      <c r="T25" s="24"/>
      <c r="U25" s="24"/>
      <c r="V25" s="24"/>
      <c r="W25" s="24"/>
      <c r="X25" s="24"/>
    </row>
    <row r="26">
      <c r="A26" s="20">
        <f t="shared" si="1"/>
        <v>24</v>
      </c>
      <c r="B26" s="10" t="s">
        <v>216</v>
      </c>
      <c r="C26" s="10" t="s">
        <v>217</v>
      </c>
      <c r="D26" s="10" t="s">
        <v>218</v>
      </c>
      <c r="E26" s="10" t="s">
        <v>219</v>
      </c>
      <c r="F26" s="16"/>
      <c r="G26" s="12" t="s">
        <v>68</v>
      </c>
      <c r="H26" s="12" t="s">
        <v>68</v>
      </c>
      <c r="I26" s="12" t="s">
        <v>123</v>
      </c>
      <c r="J26" s="12" t="s">
        <v>68</v>
      </c>
      <c r="K26" s="12" t="s">
        <v>70</v>
      </c>
      <c r="L26" s="12" t="s">
        <v>68</v>
      </c>
      <c r="M26" s="12" t="s">
        <v>123</v>
      </c>
      <c r="N26" s="12" t="s">
        <v>68</v>
      </c>
    </row>
    <row r="27">
      <c r="A27" s="20">
        <f t="shared" si="1"/>
        <v>25</v>
      </c>
      <c r="B27" s="10" t="s">
        <v>220</v>
      </c>
      <c r="C27" s="10" t="s">
        <v>221</v>
      </c>
      <c r="D27" s="10" t="s">
        <v>222</v>
      </c>
      <c r="E27" s="10" t="s">
        <v>223</v>
      </c>
      <c r="F27" s="10"/>
      <c r="G27" s="12" t="s">
        <v>68</v>
      </c>
      <c r="H27" s="12" t="s">
        <v>70</v>
      </c>
      <c r="I27" s="12" t="s">
        <v>68</v>
      </c>
      <c r="J27" s="12" t="s">
        <v>68</v>
      </c>
      <c r="K27" s="12" t="s">
        <v>123</v>
      </c>
      <c r="L27" s="12" t="s">
        <v>68</v>
      </c>
      <c r="M27" s="12" t="s">
        <v>68</v>
      </c>
      <c r="N27" s="12" t="s">
        <v>68</v>
      </c>
    </row>
    <row r="28">
      <c r="A28" s="20">
        <f t="shared" si="1"/>
        <v>26</v>
      </c>
      <c r="B28" s="10" t="s">
        <v>224</v>
      </c>
      <c r="C28" s="10" t="s">
        <v>225</v>
      </c>
      <c r="D28" s="10" t="s">
        <v>226</v>
      </c>
      <c r="E28" s="10" t="s">
        <v>227</v>
      </c>
      <c r="F28" s="16"/>
      <c r="G28" s="12" t="s">
        <v>68</v>
      </c>
      <c r="H28" s="12" t="s">
        <v>68</v>
      </c>
      <c r="I28" s="12" t="s">
        <v>123</v>
      </c>
      <c r="J28" s="12" t="s">
        <v>68</v>
      </c>
      <c r="K28" s="12" t="s">
        <v>68</v>
      </c>
      <c r="L28" s="12" t="s">
        <v>70</v>
      </c>
      <c r="M28" s="12" t="s">
        <v>68</v>
      </c>
      <c r="N28" s="12" t="s">
        <v>68</v>
      </c>
    </row>
    <row r="29">
      <c r="A29" s="20">
        <f t="shared" si="1"/>
        <v>27</v>
      </c>
      <c r="B29" s="10" t="s">
        <v>228</v>
      </c>
      <c r="C29" s="10" t="s">
        <v>229</v>
      </c>
      <c r="D29" s="10" t="s">
        <v>230</v>
      </c>
      <c r="E29" s="10" t="s">
        <v>231</v>
      </c>
      <c r="F29" s="16"/>
      <c r="G29" s="12" t="s">
        <v>70</v>
      </c>
      <c r="H29" s="12" t="s">
        <v>68</v>
      </c>
      <c r="I29" s="12" t="s">
        <v>123</v>
      </c>
      <c r="J29" s="12" t="s">
        <v>68</v>
      </c>
      <c r="K29" s="12" t="s">
        <v>123</v>
      </c>
      <c r="L29" s="12" t="s">
        <v>68</v>
      </c>
      <c r="M29" s="12" t="s">
        <v>68</v>
      </c>
      <c r="N29" s="12" t="s">
        <v>123</v>
      </c>
    </row>
    <row r="30">
      <c r="A30" s="20">
        <f t="shared" si="1"/>
        <v>28</v>
      </c>
      <c r="B30" s="10" t="s">
        <v>232</v>
      </c>
      <c r="C30" s="10" t="s">
        <v>233</v>
      </c>
      <c r="D30" s="10" t="s">
        <v>234</v>
      </c>
      <c r="E30" s="10" t="s">
        <v>235</v>
      </c>
      <c r="F30" s="16"/>
      <c r="G30" s="12" t="s">
        <v>68</v>
      </c>
      <c r="H30" s="12" t="s">
        <v>68</v>
      </c>
      <c r="I30" s="12" t="s">
        <v>123</v>
      </c>
      <c r="J30" s="12" t="s">
        <v>68</v>
      </c>
      <c r="K30" s="12" t="s">
        <v>70</v>
      </c>
      <c r="L30" s="12" t="s">
        <v>68</v>
      </c>
      <c r="M30" s="12" t="s">
        <v>68</v>
      </c>
      <c r="N30" s="12" t="s">
        <v>68</v>
      </c>
    </row>
    <row r="31">
      <c r="A31" s="20">
        <f t="shared" si="1"/>
        <v>29</v>
      </c>
      <c r="B31" s="10" t="s">
        <v>236</v>
      </c>
      <c r="C31" s="10" t="s">
        <v>237</v>
      </c>
      <c r="D31" s="10" t="s">
        <v>238</v>
      </c>
      <c r="E31" s="10" t="s">
        <v>239</v>
      </c>
      <c r="F31" s="16"/>
      <c r="G31" s="12" t="s">
        <v>68</v>
      </c>
      <c r="H31" s="12" t="s">
        <v>68</v>
      </c>
      <c r="I31" s="12" t="s">
        <v>68</v>
      </c>
      <c r="J31" s="12" t="s">
        <v>70</v>
      </c>
      <c r="K31" s="12" t="s">
        <v>68</v>
      </c>
      <c r="L31" s="12" t="s">
        <v>68</v>
      </c>
      <c r="M31" s="12" t="s">
        <v>123</v>
      </c>
      <c r="N31" s="12" t="s">
        <v>68</v>
      </c>
    </row>
    <row r="32">
      <c r="A32" s="20">
        <f t="shared" si="1"/>
        <v>30</v>
      </c>
      <c r="B32" s="10" t="s">
        <v>240</v>
      </c>
      <c r="C32" s="10" t="s">
        <v>241</v>
      </c>
      <c r="D32" s="10" t="s">
        <v>242</v>
      </c>
      <c r="E32" s="10" t="s">
        <v>243</v>
      </c>
      <c r="F32" s="16"/>
      <c r="G32" s="12" t="s">
        <v>68</v>
      </c>
      <c r="H32" s="12" t="s">
        <v>68</v>
      </c>
      <c r="I32" s="12" t="s">
        <v>68</v>
      </c>
      <c r="J32" s="12" t="s">
        <v>68</v>
      </c>
      <c r="K32" s="12" t="s">
        <v>70</v>
      </c>
      <c r="L32" s="12" t="s">
        <v>68</v>
      </c>
      <c r="M32" s="12" t="s">
        <v>68</v>
      </c>
      <c r="N32" s="12" t="s">
        <v>123</v>
      </c>
    </row>
    <row r="33">
      <c r="A33" s="20">
        <f t="shared" si="1"/>
        <v>31</v>
      </c>
      <c r="B33" s="10" t="s">
        <v>244</v>
      </c>
      <c r="C33" s="10" t="s">
        <v>245</v>
      </c>
      <c r="D33" s="10" t="s">
        <v>246</v>
      </c>
      <c r="E33" s="10" t="s">
        <v>247</v>
      </c>
      <c r="F33" s="16"/>
      <c r="G33" s="12" t="s">
        <v>70</v>
      </c>
      <c r="H33" s="12" t="s">
        <v>68</v>
      </c>
      <c r="I33" s="12" t="s">
        <v>68</v>
      </c>
      <c r="J33" s="12" t="s">
        <v>68</v>
      </c>
      <c r="K33" s="12" t="s">
        <v>68</v>
      </c>
      <c r="L33" s="12" t="s">
        <v>68</v>
      </c>
      <c r="M33" s="12" t="s">
        <v>68</v>
      </c>
      <c r="N33" s="12" t="s">
        <v>123</v>
      </c>
    </row>
    <row r="34">
      <c r="A34" s="20">
        <f t="shared" si="1"/>
        <v>32</v>
      </c>
      <c r="B34" s="10" t="s">
        <v>248</v>
      </c>
      <c r="C34" s="11" t="s">
        <v>137</v>
      </c>
      <c r="D34" s="11" t="s">
        <v>138</v>
      </c>
      <c r="E34" s="10" t="s">
        <v>249</v>
      </c>
      <c r="F34" s="16"/>
      <c r="G34" s="12" t="s">
        <v>70</v>
      </c>
      <c r="H34" s="12" t="s">
        <v>68</v>
      </c>
      <c r="I34" s="12" t="s">
        <v>68</v>
      </c>
      <c r="J34" s="12" t="s">
        <v>68</v>
      </c>
      <c r="K34" s="12" t="s">
        <v>68</v>
      </c>
      <c r="L34" s="12" t="s">
        <v>68</v>
      </c>
      <c r="M34" s="12" t="s">
        <v>68</v>
      </c>
      <c r="N34" s="12" t="s">
        <v>68</v>
      </c>
    </row>
  </sheetData>
  <dataValidations>
    <dataValidation type="custom" allowBlank="1" showDropDown="1" sqref="A2:A34">
      <formula1>AND(ISNUMBER(A2),(NOT(OR(NOT(ISERROR(DATEVALUE(A2))), AND(ISNUMBER(A2), LEFT(CELL("format", A2))="D")))))</formula1>
    </dataValidation>
    <dataValidation type="list" allowBlank="1" showErrorMessage="1" sqref="G2:N34">
      <formula1>"W,X,-"</formula1>
    </dataValidation>
  </dataValidations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99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7.71"/>
    <col customWidth="1" min="2" max="2" width="35.57"/>
    <col customWidth="1" min="3" max="3" width="32.86"/>
    <col customWidth="1" min="4" max="4" width="36.29"/>
    <col customWidth="1" min="5" max="5" width="41.14"/>
    <col customWidth="1" min="6" max="6" width="42.14"/>
    <col customWidth="1" min="7" max="7" width="28.0"/>
    <col customWidth="1" min="8" max="8" width="38.0"/>
    <col customWidth="1" min="9" max="9" width="50.14"/>
    <col customWidth="1" min="10" max="15" width="12.43"/>
  </cols>
  <sheetData>
    <row r="1">
      <c r="A1" s="1" t="s">
        <v>47</v>
      </c>
      <c r="B1" s="1" t="s">
        <v>250</v>
      </c>
      <c r="C1" s="2" t="s">
        <v>251</v>
      </c>
      <c r="D1" s="2" t="s">
        <v>252</v>
      </c>
      <c r="E1" s="2" t="s">
        <v>253</v>
      </c>
      <c r="F1" s="2" t="s">
        <v>254</v>
      </c>
      <c r="G1" s="1" t="s">
        <v>255</v>
      </c>
      <c r="H1" s="2" t="s">
        <v>256</v>
      </c>
      <c r="I1" s="27" t="s">
        <v>257</v>
      </c>
    </row>
    <row r="2">
      <c r="A2" s="28">
        <f t="shared" ref="A2:A37" si="1">ROW()-ROW($A$2)</f>
        <v>0</v>
      </c>
      <c r="B2" s="28" t="s">
        <v>32</v>
      </c>
      <c r="C2" s="29" t="s">
        <v>258</v>
      </c>
      <c r="D2" s="30" t="s">
        <v>259</v>
      </c>
      <c r="E2" s="31" t="s">
        <v>260</v>
      </c>
      <c r="F2" s="29" t="s">
        <v>260</v>
      </c>
      <c r="G2" s="32" t="b">
        <v>0</v>
      </c>
      <c r="H2" s="29" t="s">
        <v>260</v>
      </c>
      <c r="I2" s="33" t="s">
        <v>261</v>
      </c>
    </row>
    <row r="3">
      <c r="A3" s="28">
        <f t="shared" si="1"/>
        <v>1</v>
      </c>
      <c r="B3" s="28" t="s">
        <v>262</v>
      </c>
      <c r="C3" s="29" t="s">
        <v>263</v>
      </c>
      <c r="D3" s="30" t="s">
        <v>264</v>
      </c>
      <c r="E3" s="31" t="s">
        <v>260</v>
      </c>
      <c r="F3" s="29" t="s">
        <v>260</v>
      </c>
      <c r="G3" s="32" t="b">
        <v>0</v>
      </c>
      <c r="H3" s="29" t="s">
        <v>260</v>
      </c>
      <c r="I3" s="33" t="s">
        <v>261</v>
      </c>
    </row>
    <row r="4">
      <c r="A4" s="28">
        <f t="shared" si="1"/>
        <v>2</v>
      </c>
      <c r="B4" s="28" t="s">
        <v>265</v>
      </c>
      <c r="C4" s="29" t="s">
        <v>266</v>
      </c>
      <c r="D4" s="30" t="s">
        <v>267</v>
      </c>
      <c r="E4" s="31" t="s">
        <v>268</v>
      </c>
      <c r="F4" s="29" t="s">
        <v>269</v>
      </c>
      <c r="G4" s="32" t="b">
        <v>0</v>
      </c>
      <c r="H4" s="29" t="s">
        <v>260</v>
      </c>
      <c r="I4" s="33" t="s">
        <v>270</v>
      </c>
    </row>
    <row r="5">
      <c r="A5" s="28">
        <f t="shared" si="1"/>
        <v>3</v>
      </c>
      <c r="B5" s="28" t="s">
        <v>271</v>
      </c>
      <c r="C5" s="29" t="s">
        <v>272</v>
      </c>
      <c r="D5" s="30" t="s">
        <v>267</v>
      </c>
      <c r="E5" s="31" t="s">
        <v>273</v>
      </c>
      <c r="F5" s="29" t="s">
        <v>273</v>
      </c>
      <c r="G5" s="32" t="b">
        <v>1</v>
      </c>
      <c r="H5" s="29" t="s">
        <v>274</v>
      </c>
      <c r="I5" s="33" t="s">
        <v>275</v>
      </c>
    </row>
    <row r="6">
      <c r="A6" s="28">
        <f t="shared" si="1"/>
        <v>4</v>
      </c>
      <c r="B6" s="28" t="s">
        <v>276</v>
      </c>
      <c r="C6" s="29" t="s">
        <v>277</v>
      </c>
      <c r="D6" s="30" t="s">
        <v>267</v>
      </c>
      <c r="E6" s="31" t="s">
        <v>278</v>
      </c>
      <c r="F6" s="29" t="s">
        <v>278</v>
      </c>
      <c r="G6" s="32" t="b">
        <v>0</v>
      </c>
      <c r="H6" s="29" t="s">
        <v>260</v>
      </c>
      <c r="I6" s="33" t="s">
        <v>279</v>
      </c>
    </row>
    <row r="7">
      <c r="A7" s="28">
        <f t="shared" si="1"/>
        <v>5</v>
      </c>
      <c r="B7" s="28" t="s">
        <v>280</v>
      </c>
      <c r="C7" s="29" t="s">
        <v>277</v>
      </c>
      <c r="D7" s="30" t="s">
        <v>267</v>
      </c>
      <c r="E7" s="31" t="s">
        <v>281</v>
      </c>
      <c r="F7" s="29" t="s">
        <v>281</v>
      </c>
      <c r="G7" s="32" t="b">
        <v>0</v>
      </c>
      <c r="H7" s="29" t="s">
        <v>260</v>
      </c>
      <c r="I7" s="33" t="s">
        <v>282</v>
      </c>
    </row>
    <row r="8">
      <c r="A8" s="28">
        <f t="shared" si="1"/>
        <v>6</v>
      </c>
      <c r="B8" s="28" t="s">
        <v>283</v>
      </c>
      <c r="C8" s="29" t="s">
        <v>284</v>
      </c>
      <c r="D8" s="30" t="s">
        <v>285</v>
      </c>
      <c r="E8" s="31" t="s">
        <v>278</v>
      </c>
      <c r="F8" s="29" t="s">
        <v>278</v>
      </c>
      <c r="G8" s="32" t="b">
        <v>0</v>
      </c>
      <c r="H8" s="29" t="s">
        <v>260</v>
      </c>
      <c r="I8" s="33" t="s">
        <v>261</v>
      </c>
    </row>
    <row r="9">
      <c r="A9" s="28">
        <f t="shared" si="1"/>
        <v>7</v>
      </c>
      <c r="B9" s="28" t="s">
        <v>286</v>
      </c>
      <c r="C9" s="29" t="s">
        <v>287</v>
      </c>
      <c r="D9" s="30" t="s">
        <v>288</v>
      </c>
      <c r="E9" s="31" t="s">
        <v>289</v>
      </c>
      <c r="F9" s="29" t="s">
        <v>289</v>
      </c>
      <c r="G9" s="32" t="b">
        <v>0</v>
      </c>
      <c r="H9" s="29" t="s">
        <v>260</v>
      </c>
      <c r="I9" s="33" t="s">
        <v>290</v>
      </c>
    </row>
    <row r="10">
      <c r="A10" s="28">
        <f t="shared" si="1"/>
        <v>8</v>
      </c>
      <c r="B10" s="28" t="s">
        <v>291</v>
      </c>
      <c r="C10" s="29" t="s">
        <v>284</v>
      </c>
      <c r="D10" s="30" t="s">
        <v>285</v>
      </c>
      <c r="E10" s="31" t="s">
        <v>278</v>
      </c>
      <c r="F10" s="29" t="s">
        <v>278</v>
      </c>
      <c r="G10" s="32" t="b">
        <v>0</v>
      </c>
      <c r="H10" s="29" t="s">
        <v>260</v>
      </c>
      <c r="I10" s="33" t="s">
        <v>261</v>
      </c>
    </row>
    <row r="11">
      <c r="A11" s="28">
        <f t="shared" si="1"/>
        <v>9</v>
      </c>
      <c r="B11" s="28" t="s">
        <v>292</v>
      </c>
      <c r="C11" s="29" t="s">
        <v>284</v>
      </c>
      <c r="D11" s="30" t="s">
        <v>285</v>
      </c>
      <c r="E11" s="31" t="s">
        <v>278</v>
      </c>
      <c r="F11" s="29" t="s">
        <v>278</v>
      </c>
      <c r="G11" s="32" t="b">
        <v>0</v>
      </c>
      <c r="H11" s="29" t="s">
        <v>260</v>
      </c>
      <c r="I11" s="33" t="s">
        <v>261</v>
      </c>
    </row>
    <row r="12">
      <c r="A12" s="28">
        <f t="shared" si="1"/>
        <v>10</v>
      </c>
      <c r="B12" s="28" t="s">
        <v>293</v>
      </c>
      <c r="C12" s="29" t="s">
        <v>294</v>
      </c>
      <c r="D12" s="30" t="s">
        <v>267</v>
      </c>
      <c r="E12" s="31" t="s">
        <v>278</v>
      </c>
      <c r="F12" s="29" t="s">
        <v>278</v>
      </c>
      <c r="G12" s="32" t="b">
        <v>0</v>
      </c>
      <c r="H12" s="29" t="s">
        <v>260</v>
      </c>
      <c r="I12" s="33" t="s">
        <v>295</v>
      </c>
    </row>
    <row r="13">
      <c r="A13" s="28">
        <f t="shared" si="1"/>
        <v>11</v>
      </c>
      <c r="B13" s="28" t="s">
        <v>296</v>
      </c>
      <c r="C13" s="29" t="s">
        <v>297</v>
      </c>
      <c r="D13" s="30" t="s">
        <v>267</v>
      </c>
      <c r="E13" s="31" t="s">
        <v>278</v>
      </c>
      <c r="F13" s="29" t="s">
        <v>278</v>
      </c>
      <c r="G13" s="32" t="b">
        <v>0</v>
      </c>
      <c r="H13" s="29" t="s">
        <v>260</v>
      </c>
      <c r="I13" s="33" t="s">
        <v>298</v>
      </c>
    </row>
    <row r="14">
      <c r="A14" s="28">
        <f t="shared" si="1"/>
        <v>12</v>
      </c>
      <c r="B14" s="28" t="s">
        <v>299</v>
      </c>
      <c r="C14" s="29" t="s">
        <v>284</v>
      </c>
      <c r="D14" s="30" t="s">
        <v>285</v>
      </c>
      <c r="E14" s="31" t="s">
        <v>278</v>
      </c>
      <c r="F14" s="29" t="s">
        <v>278</v>
      </c>
      <c r="G14" s="32" t="b">
        <v>0</v>
      </c>
      <c r="H14" s="29" t="s">
        <v>260</v>
      </c>
      <c r="I14" s="33" t="s">
        <v>300</v>
      </c>
    </row>
    <row r="15">
      <c r="A15" s="28">
        <f t="shared" si="1"/>
        <v>13</v>
      </c>
      <c r="B15" s="28" t="s">
        <v>301</v>
      </c>
      <c r="C15" s="29" t="s">
        <v>302</v>
      </c>
      <c r="D15" s="30" t="s">
        <v>267</v>
      </c>
      <c r="E15" s="31" t="s">
        <v>278</v>
      </c>
      <c r="F15" s="29" t="s">
        <v>278</v>
      </c>
      <c r="G15" s="32" t="b">
        <v>0</v>
      </c>
      <c r="H15" s="29" t="s">
        <v>260</v>
      </c>
      <c r="I15" s="33" t="s">
        <v>303</v>
      </c>
    </row>
    <row r="16">
      <c r="A16" s="28">
        <f t="shared" si="1"/>
        <v>14</v>
      </c>
      <c r="B16" s="28" t="s">
        <v>304</v>
      </c>
      <c r="C16" s="29" t="s">
        <v>305</v>
      </c>
      <c r="D16" s="30" t="s">
        <v>267</v>
      </c>
      <c r="E16" s="31" t="s">
        <v>278</v>
      </c>
      <c r="F16" s="29" t="s">
        <v>278</v>
      </c>
      <c r="G16" s="32" t="b">
        <v>1</v>
      </c>
      <c r="H16" s="29" t="s">
        <v>306</v>
      </c>
      <c r="I16" s="33" t="s">
        <v>307</v>
      </c>
    </row>
    <row r="17">
      <c r="A17" s="28">
        <f t="shared" si="1"/>
        <v>15</v>
      </c>
      <c r="B17" s="28" t="s">
        <v>308</v>
      </c>
      <c r="C17" s="29" t="s">
        <v>309</v>
      </c>
      <c r="D17" s="30" t="s">
        <v>267</v>
      </c>
      <c r="E17" s="31" t="s">
        <v>278</v>
      </c>
      <c r="F17" s="29" t="s">
        <v>278</v>
      </c>
      <c r="G17" s="32" t="b">
        <v>0</v>
      </c>
      <c r="H17" s="29" t="s">
        <v>260</v>
      </c>
      <c r="I17" s="33" t="s">
        <v>310</v>
      </c>
    </row>
    <row r="18">
      <c r="A18" s="28">
        <f t="shared" si="1"/>
        <v>16</v>
      </c>
      <c r="B18" s="28" t="s">
        <v>311</v>
      </c>
      <c r="C18" s="29" t="s">
        <v>312</v>
      </c>
      <c r="D18" s="30" t="s">
        <v>285</v>
      </c>
      <c r="E18" s="31" t="s">
        <v>278</v>
      </c>
      <c r="F18" s="29" t="s">
        <v>278</v>
      </c>
      <c r="G18" s="32" t="b">
        <v>0</v>
      </c>
      <c r="H18" s="29" t="s">
        <v>260</v>
      </c>
      <c r="I18" s="33" t="s">
        <v>313</v>
      </c>
    </row>
    <row r="19">
      <c r="A19" s="28">
        <f t="shared" si="1"/>
        <v>17</v>
      </c>
      <c r="B19" s="28" t="s">
        <v>314</v>
      </c>
      <c r="C19" s="29" t="s">
        <v>315</v>
      </c>
      <c r="D19" s="30" t="s">
        <v>285</v>
      </c>
      <c r="E19" s="31" t="s">
        <v>278</v>
      </c>
      <c r="F19" s="29" t="s">
        <v>278</v>
      </c>
      <c r="G19" s="32" t="b">
        <v>0</v>
      </c>
      <c r="H19" s="29" t="s">
        <v>260</v>
      </c>
      <c r="I19" s="33" t="s">
        <v>261</v>
      </c>
    </row>
    <row r="20">
      <c r="A20" s="28">
        <f t="shared" si="1"/>
        <v>18</v>
      </c>
      <c r="B20" s="28" t="s">
        <v>316</v>
      </c>
      <c r="C20" s="29" t="s">
        <v>317</v>
      </c>
      <c r="D20" s="30" t="s">
        <v>285</v>
      </c>
      <c r="E20" s="31" t="s">
        <v>278</v>
      </c>
      <c r="F20" s="29" t="s">
        <v>278</v>
      </c>
      <c r="G20" s="32" t="b">
        <v>0</v>
      </c>
      <c r="H20" s="29" t="s">
        <v>260</v>
      </c>
      <c r="I20" s="33" t="s">
        <v>261</v>
      </c>
    </row>
    <row r="21">
      <c r="A21" s="28">
        <f t="shared" si="1"/>
        <v>19</v>
      </c>
      <c r="B21" s="28" t="s">
        <v>318</v>
      </c>
      <c r="C21" s="29" t="s">
        <v>319</v>
      </c>
      <c r="D21" s="30" t="s">
        <v>285</v>
      </c>
      <c r="E21" s="31" t="s">
        <v>278</v>
      </c>
      <c r="F21" s="29" t="s">
        <v>278</v>
      </c>
      <c r="G21" s="32" t="b">
        <v>0</v>
      </c>
      <c r="H21" s="29" t="s">
        <v>260</v>
      </c>
      <c r="I21" s="33" t="s">
        <v>261</v>
      </c>
    </row>
    <row r="22">
      <c r="A22" s="28">
        <f t="shared" si="1"/>
        <v>20</v>
      </c>
      <c r="B22" s="28" t="s">
        <v>320</v>
      </c>
      <c r="C22" s="29" t="s">
        <v>321</v>
      </c>
      <c r="D22" s="30" t="s">
        <v>288</v>
      </c>
      <c r="E22" s="31" t="s">
        <v>322</v>
      </c>
      <c r="F22" s="29" t="s">
        <v>322</v>
      </c>
      <c r="G22" s="32" t="b">
        <v>0</v>
      </c>
      <c r="H22" s="29" t="s">
        <v>260</v>
      </c>
      <c r="I22" s="33" t="s">
        <v>261</v>
      </c>
    </row>
    <row r="23">
      <c r="A23" s="28">
        <f t="shared" si="1"/>
        <v>21</v>
      </c>
      <c r="B23" s="28" t="s">
        <v>323</v>
      </c>
      <c r="C23" s="29" t="s">
        <v>324</v>
      </c>
      <c r="D23" s="30" t="s">
        <v>288</v>
      </c>
      <c r="E23" s="31" t="s">
        <v>325</v>
      </c>
      <c r="F23" s="29" t="s">
        <v>325</v>
      </c>
      <c r="G23" s="32" t="b">
        <v>0</v>
      </c>
      <c r="H23" s="29" t="s">
        <v>260</v>
      </c>
      <c r="I23" s="33" t="s">
        <v>326</v>
      </c>
    </row>
    <row r="24">
      <c r="A24" s="28">
        <f t="shared" si="1"/>
        <v>22</v>
      </c>
      <c r="B24" s="28" t="s">
        <v>327</v>
      </c>
      <c r="C24" s="29" t="s">
        <v>328</v>
      </c>
      <c r="D24" s="30" t="s">
        <v>267</v>
      </c>
      <c r="E24" s="31" t="s">
        <v>329</v>
      </c>
      <c r="F24" s="29" t="s">
        <v>329</v>
      </c>
      <c r="G24" s="32" t="b">
        <v>1</v>
      </c>
      <c r="H24" s="29" t="s">
        <v>330</v>
      </c>
      <c r="I24" s="33" t="s">
        <v>331</v>
      </c>
    </row>
    <row r="25">
      <c r="A25" s="28">
        <f t="shared" si="1"/>
        <v>23</v>
      </c>
      <c r="B25" s="28" t="s">
        <v>332</v>
      </c>
      <c r="C25" s="29" t="s">
        <v>333</v>
      </c>
      <c r="D25" s="30" t="s">
        <v>285</v>
      </c>
      <c r="E25" s="31" t="s">
        <v>278</v>
      </c>
      <c r="F25" s="29" t="s">
        <v>278</v>
      </c>
      <c r="G25" s="32" t="b">
        <v>0</v>
      </c>
      <c r="H25" s="29" t="s">
        <v>260</v>
      </c>
      <c r="I25" s="33" t="s">
        <v>261</v>
      </c>
    </row>
    <row r="26">
      <c r="A26" s="28">
        <f t="shared" si="1"/>
        <v>24</v>
      </c>
      <c r="B26" s="28" t="s">
        <v>334</v>
      </c>
      <c r="C26" s="29" t="s">
        <v>335</v>
      </c>
      <c r="D26" s="30" t="s">
        <v>288</v>
      </c>
      <c r="E26" s="31" t="s">
        <v>336</v>
      </c>
      <c r="F26" s="29" t="s">
        <v>336</v>
      </c>
      <c r="G26" s="32" t="b">
        <v>0</v>
      </c>
      <c r="H26" s="29" t="s">
        <v>260</v>
      </c>
      <c r="I26" s="33" t="s">
        <v>337</v>
      </c>
    </row>
    <row r="27">
      <c r="A27" s="28">
        <f t="shared" si="1"/>
        <v>25</v>
      </c>
      <c r="B27" s="28" t="s">
        <v>338</v>
      </c>
      <c r="C27" s="29" t="s">
        <v>339</v>
      </c>
      <c r="D27" s="30" t="s">
        <v>267</v>
      </c>
      <c r="E27" s="31" t="s">
        <v>278</v>
      </c>
      <c r="F27" s="29" t="s">
        <v>278</v>
      </c>
      <c r="G27" s="32" t="b">
        <v>0</v>
      </c>
      <c r="H27" s="29" t="s">
        <v>260</v>
      </c>
      <c r="I27" s="33" t="s">
        <v>340</v>
      </c>
    </row>
    <row r="28">
      <c r="A28" s="28">
        <f t="shared" si="1"/>
        <v>26</v>
      </c>
      <c r="B28" s="28" t="s">
        <v>341</v>
      </c>
      <c r="C28" s="29" t="s">
        <v>335</v>
      </c>
      <c r="D28" s="30" t="s">
        <v>288</v>
      </c>
      <c r="E28" s="31" t="s">
        <v>278</v>
      </c>
      <c r="F28" s="29" t="s">
        <v>278</v>
      </c>
      <c r="G28" s="32" t="b">
        <v>0</v>
      </c>
      <c r="H28" s="29" t="s">
        <v>260</v>
      </c>
      <c r="I28" s="33" t="s">
        <v>337</v>
      </c>
    </row>
    <row r="29">
      <c r="A29" s="28">
        <f t="shared" si="1"/>
        <v>27</v>
      </c>
      <c r="B29" s="28" t="s">
        <v>342</v>
      </c>
      <c r="C29" s="29" t="s">
        <v>343</v>
      </c>
      <c r="D29" s="30" t="s">
        <v>288</v>
      </c>
      <c r="E29" s="31" t="s">
        <v>278</v>
      </c>
      <c r="F29" s="29" t="s">
        <v>278</v>
      </c>
      <c r="G29" s="32" t="b">
        <v>0</v>
      </c>
      <c r="H29" s="29" t="s">
        <v>260</v>
      </c>
      <c r="I29" s="33" t="s">
        <v>261</v>
      </c>
    </row>
    <row r="30">
      <c r="A30" s="28">
        <f t="shared" si="1"/>
        <v>28</v>
      </c>
      <c r="B30" s="28" t="s">
        <v>344</v>
      </c>
      <c r="C30" s="29" t="s">
        <v>345</v>
      </c>
      <c r="D30" s="30" t="s">
        <v>267</v>
      </c>
      <c r="E30" s="31" t="s">
        <v>346</v>
      </c>
      <c r="F30" s="29" t="s">
        <v>346</v>
      </c>
      <c r="G30" s="32" t="b">
        <v>0</v>
      </c>
      <c r="H30" s="29" t="s">
        <v>260</v>
      </c>
      <c r="I30" s="33" t="s">
        <v>347</v>
      </c>
    </row>
    <row r="31">
      <c r="A31" s="28">
        <f t="shared" si="1"/>
        <v>29</v>
      </c>
      <c r="B31" s="28" t="s">
        <v>348</v>
      </c>
      <c r="C31" s="29" t="s">
        <v>349</v>
      </c>
      <c r="D31" s="30" t="s">
        <v>267</v>
      </c>
      <c r="E31" s="31" t="s">
        <v>350</v>
      </c>
      <c r="F31" s="29" t="s">
        <v>350</v>
      </c>
      <c r="G31" s="32" t="b">
        <v>0</v>
      </c>
      <c r="H31" s="29" t="s">
        <v>260</v>
      </c>
      <c r="I31" s="33" t="s">
        <v>351</v>
      </c>
    </row>
    <row r="32">
      <c r="A32" s="28">
        <f t="shared" si="1"/>
        <v>30</v>
      </c>
      <c r="B32" s="28" t="s">
        <v>352</v>
      </c>
      <c r="C32" s="29" t="s">
        <v>353</v>
      </c>
      <c r="D32" s="30" t="s">
        <v>267</v>
      </c>
      <c r="E32" s="31" t="s">
        <v>278</v>
      </c>
      <c r="F32" s="29" t="s">
        <v>278</v>
      </c>
      <c r="G32" s="32" t="b">
        <v>0</v>
      </c>
      <c r="H32" s="29" t="s">
        <v>260</v>
      </c>
      <c r="I32" s="33" t="s">
        <v>354</v>
      </c>
    </row>
    <row r="33">
      <c r="A33" s="28">
        <f t="shared" si="1"/>
        <v>31</v>
      </c>
      <c r="B33" s="28" t="s">
        <v>355</v>
      </c>
      <c r="C33" s="29" t="s">
        <v>356</v>
      </c>
      <c r="D33" s="30" t="s">
        <v>267</v>
      </c>
      <c r="E33" s="31" t="s">
        <v>278</v>
      </c>
      <c r="F33" s="29" t="s">
        <v>278</v>
      </c>
      <c r="G33" s="32" t="b">
        <v>0</v>
      </c>
      <c r="H33" s="29" t="s">
        <v>260</v>
      </c>
      <c r="I33" s="33" t="s">
        <v>357</v>
      </c>
    </row>
    <row r="34">
      <c r="A34" s="28">
        <f t="shared" si="1"/>
        <v>32</v>
      </c>
      <c r="B34" s="28" t="s">
        <v>358</v>
      </c>
      <c r="C34" s="29" t="s">
        <v>353</v>
      </c>
      <c r="D34" s="30" t="s">
        <v>267</v>
      </c>
      <c r="E34" s="31" t="s">
        <v>278</v>
      </c>
      <c r="F34" s="29" t="s">
        <v>278</v>
      </c>
      <c r="G34" s="32" t="b">
        <v>0</v>
      </c>
      <c r="H34" s="29" t="s">
        <v>260</v>
      </c>
      <c r="I34" s="33" t="s">
        <v>359</v>
      </c>
    </row>
    <row r="35">
      <c r="A35" s="28">
        <f t="shared" si="1"/>
        <v>33</v>
      </c>
      <c r="B35" s="28" t="s">
        <v>360</v>
      </c>
      <c r="C35" s="29" t="s">
        <v>361</v>
      </c>
      <c r="D35" s="30" t="s">
        <v>267</v>
      </c>
      <c r="E35" s="31" t="s">
        <v>362</v>
      </c>
      <c r="F35" s="29" t="s">
        <v>362</v>
      </c>
      <c r="G35" s="32" t="b">
        <v>1</v>
      </c>
      <c r="H35" s="29" t="s">
        <v>363</v>
      </c>
      <c r="I35" s="33" t="s">
        <v>364</v>
      </c>
    </row>
    <row r="36">
      <c r="A36" s="28">
        <f t="shared" si="1"/>
        <v>34</v>
      </c>
      <c r="B36" s="28" t="s">
        <v>10</v>
      </c>
      <c r="C36" s="29" t="s">
        <v>11</v>
      </c>
      <c r="D36" s="30" t="s">
        <v>267</v>
      </c>
      <c r="E36" s="31" t="s">
        <v>12</v>
      </c>
      <c r="F36" s="29" t="s">
        <v>12</v>
      </c>
      <c r="G36" s="32" t="b">
        <v>0</v>
      </c>
      <c r="H36" s="29" t="s">
        <v>260</v>
      </c>
      <c r="I36" s="33" t="s">
        <v>365</v>
      </c>
    </row>
    <row r="37">
      <c r="A37" s="28">
        <f t="shared" si="1"/>
        <v>35</v>
      </c>
      <c r="B37" s="28" t="s">
        <v>366</v>
      </c>
      <c r="C37" s="29" t="s">
        <v>367</v>
      </c>
      <c r="D37" s="30" t="s">
        <v>259</v>
      </c>
      <c r="E37" s="31" t="s">
        <v>368</v>
      </c>
      <c r="F37" s="29" t="s">
        <v>368</v>
      </c>
      <c r="G37" s="32" t="b">
        <v>0</v>
      </c>
      <c r="H37" s="29" t="s">
        <v>260</v>
      </c>
      <c r="I37" s="33" t="s">
        <v>261</v>
      </c>
    </row>
  </sheetData>
  <dataValidations>
    <dataValidation type="list" allowBlank="1" sqref="E2:E37 I2:I37">
      <formula1>#REF!</formula1>
    </dataValidation>
    <dataValidation type="list" allowBlank="1" sqref="C2:D37 F2:F37 H2:H37">
      <formula1>#REF!</formula1>
    </dataValidation>
  </dataValidations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9CB9C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6.29"/>
    <col customWidth="1" min="2" max="2" width="50.0"/>
    <col customWidth="1" min="3" max="3" width="40.29"/>
    <col customWidth="1" min="4" max="4" width="39.14"/>
    <col customWidth="1" min="5" max="5" width="46.14"/>
    <col customWidth="1" min="6" max="6" width="49.29"/>
    <col customWidth="1" min="7" max="7" width="44.57"/>
    <col customWidth="1" min="8" max="8" width="38.86"/>
    <col customWidth="1" min="9" max="9" width="48.29"/>
    <col customWidth="1" min="10" max="10" width="57.0"/>
    <col customWidth="1" min="11" max="11" width="36.29"/>
    <col customWidth="1" min="12" max="12" width="47.14"/>
    <col customWidth="1" min="13" max="13" width="25.29"/>
    <col customWidth="1" min="14" max="14" width="24.29"/>
  </cols>
  <sheetData>
    <row r="1">
      <c r="A1" s="1" t="s">
        <v>47</v>
      </c>
      <c r="B1" s="1" t="s">
        <v>369</v>
      </c>
      <c r="C1" s="1" t="s">
        <v>370</v>
      </c>
      <c r="D1" s="2" t="s">
        <v>371</v>
      </c>
      <c r="E1" s="2" t="s">
        <v>372</v>
      </c>
      <c r="F1" s="2" t="s">
        <v>373</v>
      </c>
      <c r="G1" s="2" t="s">
        <v>374</v>
      </c>
      <c r="H1" s="1" t="s">
        <v>375</v>
      </c>
      <c r="I1" s="1" t="s">
        <v>376</v>
      </c>
      <c r="J1" s="2" t="s">
        <v>377</v>
      </c>
      <c r="K1" s="27" t="s">
        <v>378</v>
      </c>
    </row>
    <row r="2">
      <c r="A2" s="34">
        <f>ROW()-ROW(Table_Action_Conditions[N])</f>
        <v>0</v>
      </c>
      <c r="B2" s="34" t="s">
        <v>261</v>
      </c>
      <c r="C2" s="35" t="s">
        <v>379</v>
      </c>
      <c r="D2" s="36" t="s">
        <v>380</v>
      </c>
      <c r="E2" s="36" t="s">
        <v>381</v>
      </c>
      <c r="F2" s="36" t="s">
        <v>32</v>
      </c>
      <c r="G2" s="36" t="s">
        <v>382</v>
      </c>
      <c r="H2" s="36" t="s">
        <v>383</v>
      </c>
      <c r="I2" s="36" t="s">
        <v>384</v>
      </c>
      <c r="J2" s="36" t="s">
        <v>385</v>
      </c>
      <c r="K2" s="37" t="s">
        <v>379</v>
      </c>
    </row>
    <row r="3">
      <c r="A3" s="34">
        <f>ROW()-ROW(Table_Action_Conditions[N])</f>
        <v>1</v>
      </c>
      <c r="B3" s="34" t="s">
        <v>386</v>
      </c>
      <c r="C3" s="38" t="s">
        <v>387</v>
      </c>
      <c r="D3" s="36" t="s">
        <v>380</v>
      </c>
      <c r="E3" s="36" t="s">
        <v>13</v>
      </c>
      <c r="F3" s="36" t="s">
        <v>32</v>
      </c>
      <c r="G3" s="36" t="s">
        <v>388</v>
      </c>
      <c r="H3" s="36" t="s">
        <v>389</v>
      </c>
      <c r="I3" s="36" t="s">
        <v>384</v>
      </c>
      <c r="J3" s="36" t="s">
        <v>385</v>
      </c>
      <c r="K3" s="39" t="s">
        <v>390</v>
      </c>
    </row>
    <row r="4">
      <c r="A4" s="34">
        <f>ROW()-ROW(Table_Action_Conditions[N])</f>
        <v>2</v>
      </c>
      <c r="B4" s="34" t="s">
        <v>391</v>
      </c>
      <c r="C4" s="38" t="s">
        <v>390</v>
      </c>
      <c r="D4" s="36" t="s">
        <v>380</v>
      </c>
      <c r="E4" s="36" t="s">
        <v>13</v>
      </c>
      <c r="F4" s="36" t="s">
        <v>32</v>
      </c>
      <c r="G4" s="36" t="s">
        <v>388</v>
      </c>
      <c r="H4" s="36" t="s">
        <v>389</v>
      </c>
      <c r="I4" s="36" t="s">
        <v>384</v>
      </c>
      <c r="J4" s="36" t="s">
        <v>385</v>
      </c>
      <c r="K4" s="39" t="s">
        <v>387</v>
      </c>
    </row>
    <row r="5">
      <c r="A5" s="34">
        <f>ROW()-ROW(Table_Action_Conditions[N])</f>
        <v>3</v>
      </c>
      <c r="B5" s="34" t="s">
        <v>275</v>
      </c>
      <c r="C5" s="38" t="s">
        <v>392</v>
      </c>
      <c r="D5" s="36" t="s">
        <v>380</v>
      </c>
      <c r="E5" s="36" t="s">
        <v>13</v>
      </c>
      <c r="F5" s="36" t="s">
        <v>32</v>
      </c>
      <c r="G5" s="36" t="s">
        <v>388</v>
      </c>
      <c r="H5" s="36" t="s">
        <v>389</v>
      </c>
      <c r="I5" s="36" t="s">
        <v>384</v>
      </c>
      <c r="J5" s="36" t="s">
        <v>385</v>
      </c>
      <c r="K5" s="39" t="s">
        <v>393</v>
      </c>
    </row>
    <row r="6">
      <c r="A6" s="34">
        <f>ROW()-ROW(Table_Action_Conditions[N])</f>
        <v>4</v>
      </c>
      <c r="B6" s="34" t="s">
        <v>279</v>
      </c>
      <c r="C6" s="38" t="s">
        <v>394</v>
      </c>
      <c r="D6" s="36" t="s">
        <v>380</v>
      </c>
      <c r="E6" s="36" t="s">
        <v>13</v>
      </c>
      <c r="F6" s="36" t="s">
        <v>32</v>
      </c>
      <c r="G6" s="36" t="s">
        <v>388</v>
      </c>
      <c r="H6" s="36" t="s">
        <v>389</v>
      </c>
      <c r="I6" s="36" t="s">
        <v>384</v>
      </c>
      <c r="J6" s="36" t="s">
        <v>385</v>
      </c>
      <c r="K6" s="39" t="s">
        <v>395</v>
      </c>
    </row>
    <row r="7">
      <c r="A7" s="34">
        <f>ROW()-ROW(Table_Action_Conditions[N])</f>
        <v>5</v>
      </c>
      <c r="B7" s="34" t="s">
        <v>282</v>
      </c>
      <c r="C7" s="38" t="s">
        <v>395</v>
      </c>
      <c r="D7" s="36" t="s">
        <v>380</v>
      </c>
      <c r="E7" s="36" t="s">
        <v>13</v>
      </c>
      <c r="F7" s="36" t="s">
        <v>32</v>
      </c>
      <c r="G7" s="36" t="s">
        <v>388</v>
      </c>
      <c r="H7" s="36" t="s">
        <v>389</v>
      </c>
      <c r="I7" s="36" t="s">
        <v>384</v>
      </c>
      <c r="J7" s="36" t="s">
        <v>385</v>
      </c>
      <c r="K7" s="39" t="s">
        <v>394</v>
      </c>
    </row>
    <row r="8">
      <c r="A8" s="34">
        <f>ROW()-ROW(Table_Action_Conditions[N])</f>
        <v>6</v>
      </c>
      <c r="B8" s="34" t="s">
        <v>396</v>
      </c>
      <c r="C8" s="38" t="s">
        <v>379</v>
      </c>
      <c r="D8" s="36" t="s">
        <v>380</v>
      </c>
      <c r="E8" s="36" t="s">
        <v>13</v>
      </c>
      <c r="F8" s="36" t="s">
        <v>32</v>
      </c>
      <c r="G8" s="36" t="s">
        <v>397</v>
      </c>
      <c r="H8" s="36" t="s">
        <v>383</v>
      </c>
      <c r="I8" s="36" t="s">
        <v>398</v>
      </c>
      <c r="J8" s="36" t="s">
        <v>385</v>
      </c>
      <c r="K8" s="39" t="s">
        <v>379</v>
      </c>
    </row>
    <row r="9">
      <c r="A9" s="34">
        <f>ROW()-ROW(Table_Action_Conditions[N])</f>
        <v>7</v>
      </c>
      <c r="B9" s="34" t="s">
        <v>298</v>
      </c>
      <c r="C9" s="38" t="s">
        <v>379</v>
      </c>
      <c r="D9" s="36" t="s">
        <v>380</v>
      </c>
      <c r="E9" s="36" t="s">
        <v>13</v>
      </c>
      <c r="F9" s="36" t="s">
        <v>32</v>
      </c>
      <c r="G9" s="36" t="s">
        <v>399</v>
      </c>
      <c r="H9" s="36" t="s">
        <v>400</v>
      </c>
      <c r="I9" s="36" t="s">
        <v>401</v>
      </c>
      <c r="J9" s="36" t="s">
        <v>402</v>
      </c>
      <c r="K9" s="39" t="s">
        <v>403</v>
      </c>
    </row>
    <row r="10">
      <c r="A10" s="34">
        <f>ROW()-ROW(Table_Action_Conditions[N])</f>
        <v>8</v>
      </c>
      <c r="B10" s="34" t="s">
        <v>404</v>
      </c>
      <c r="C10" s="38" t="s">
        <v>405</v>
      </c>
      <c r="D10" s="36" t="s">
        <v>380</v>
      </c>
      <c r="E10" s="36" t="s">
        <v>13</v>
      </c>
      <c r="F10" s="36" t="s">
        <v>32</v>
      </c>
      <c r="G10" s="36" t="s">
        <v>406</v>
      </c>
      <c r="H10" s="36" t="s">
        <v>383</v>
      </c>
      <c r="I10" s="36" t="s">
        <v>401</v>
      </c>
      <c r="J10" s="36" t="s">
        <v>407</v>
      </c>
      <c r="K10" s="39" t="s">
        <v>379</v>
      </c>
    </row>
    <row r="11">
      <c r="A11" s="34">
        <f>ROW()-ROW(Table_Action_Conditions[N])</f>
        <v>9</v>
      </c>
      <c r="B11" s="34" t="s">
        <v>408</v>
      </c>
      <c r="C11" s="38" t="s">
        <v>409</v>
      </c>
      <c r="D11" s="36" t="s">
        <v>380</v>
      </c>
      <c r="E11" s="36" t="s">
        <v>13</v>
      </c>
      <c r="F11" s="36" t="s">
        <v>32</v>
      </c>
      <c r="G11" s="36" t="s">
        <v>406</v>
      </c>
      <c r="H11" s="36" t="s">
        <v>383</v>
      </c>
      <c r="I11" s="36" t="s">
        <v>401</v>
      </c>
      <c r="J11" s="36" t="s">
        <v>410</v>
      </c>
      <c r="K11" s="39" t="s">
        <v>379</v>
      </c>
    </row>
    <row r="12">
      <c r="A12" s="34">
        <f>ROW()-ROW(Table_Action_Conditions[N])</f>
        <v>10</v>
      </c>
      <c r="B12" s="34" t="s">
        <v>411</v>
      </c>
      <c r="C12" s="38" t="s">
        <v>412</v>
      </c>
      <c r="D12" s="36" t="s">
        <v>380</v>
      </c>
      <c r="E12" s="36" t="s">
        <v>13</v>
      </c>
      <c r="F12" s="36" t="s">
        <v>32</v>
      </c>
      <c r="G12" s="36" t="s">
        <v>406</v>
      </c>
      <c r="H12" s="36" t="s">
        <v>383</v>
      </c>
      <c r="I12" s="36" t="s">
        <v>401</v>
      </c>
      <c r="J12" s="36" t="s">
        <v>410</v>
      </c>
      <c r="K12" s="39" t="s">
        <v>379</v>
      </c>
    </row>
    <row r="13">
      <c r="A13" s="34">
        <f>ROW()-ROW(Table_Action_Conditions[N])</f>
        <v>11</v>
      </c>
      <c r="B13" s="34" t="s">
        <v>413</v>
      </c>
      <c r="C13" s="38" t="s">
        <v>379</v>
      </c>
      <c r="D13" s="36" t="s">
        <v>380</v>
      </c>
      <c r="E13" s="36" t="s">
        <v>13</v>
      </c>
      <c r="F13" s="36" t="s">
        <v>32</v>
      </c>
      <c r="G13" s="36" t="s">
        <v>388</v>
      </c>
      <c r="H13" s="36" t="s">
        <v>383</v>
      </c>
      <c r="I13" s="36" t="s">
        <v>401</v>
      </c>
      <c r="J13" s="36" t="s">
        <v>414</v>
      </c>
      <c r="K13" s="39" t="s">
        <v>379</v>
      </c>
    </row>
    <row r="14">
      <c r="A14" s="34">
        <f>ROW()-ROW(Table_Action_Conditions[N])</f>
        <v>12</v>
      </c>
      <c r="B14" s="34" t="s">
        <v>415</v>
      </c>
      <c r="C14" s="38" t="s">
        <v>409</v>
      </c>
      <c r="D14" s="36" t="s">
        <v>380</v>
      </c>
      <c r="E14" s="36" t="s">
        <v>13</v>
      </c>
      <c r="F14" s="36" t="s">
        <v>304</v>
      </c>
      <c r="G14" s="36" t="s">
        <v>416</v>
      </c>
      <c r="H14" s="36" t="s">
        <v>417</v>
      </c>
      <c r="I14" s="36" t="s">
        <v>401</v>
      </c>
      <c r="J14" s="36" t="s">
        <v>418</v>
      </c>
      <c r="K14" s="39" t="s">
        <v>419</v>
      </c>
    </row>
    <row r="15">
      <c r="A15" s="34">
        <f>ROW()-ROW(Table_Action_Conditions[N])</f>
        <v>13</v>
      </c>
      <c r="B15" s="34" t="s">
        <v>420</v>
      </c>
      <c r="C15" s="38" t="s">
        <v>419</v>
      </c>
      <c r="D15" s="36" t="s">
        <v>380</v>
      </c>
      <c r="E15" s="36" t="s">
        <v>13</v>
      </c>
      <c r="F15" s="36" t="s">
        <v>304</v>
      </c>
      <c r="G15" s="36" t="s">
        <v>416</v>
      </c>
      <c r="H15" s="36" t="s">
        <v>421</v>
      </c>
      <c r="I15" s="36" t="s">
        <v>401</v>
      </c>
      <c r="J15" s="36" t="s">
        <v>422</v>
      </c>
      <c r="K15" s="39" t="s">
        <v>379</v>
      </c>
    </row>
    <row r="16">
      <c r="A16" s="34">
        <f>ROW()-ROW(Table_Action_Conditions[N])</f>
        <v>14</v>
      </c>
      <c r="B16" s="34" t="s">
        <v>307</v>
      </c>
      <c r="C16" s="38" t="s">
        <v>423</v>
      </c>
      <c r="D16" s="36" t="s">
        <v>380</v>
      </c>
      <c r="E16" s="36" t="s">
        <v>13</v>
      </c>
      <c r="F16" s="36" t="s">
        <v>32</v>
      </c>
      <c r="G16" s="36" t="s">
        <v>388</v>
      </c>
      <c r="H16" s="36" t="s">
        <v>389</v>
      </c>
      <c r="I16" s="36" t="s">
        <v>384</v>
      </c>
      <c r="J16" s="36" t="s">
        <v>385</v>
      </c>
      <c r="K16" s="39" t="s">
        <v>424</v>
      </c>
    </row>
    <row r="17">
      <c r="A17" s="34">
        <f>ROW()-ROW(Table_Action_Conditions[N])</f>
        <v>15</v>
      </c>
      <c r="B17" s="34" t="s">
        <v>425</v>
      </c>
      <c r="C17" s="38" t="s">
        <v>426</v>
      </c>
      <c r="D17" s="36" t="s">
        <v>380</v>
      </c>
      <c r="E17" s="36" t="s">
        <v>13</v>
      </c>
      <c r="F17" s="36" t="s">
        <v>32</v>
      </c>
      <c r="G17" s="36" t="s">
        <v>388</v>
      </c>
      <c r="H17" s="36" t="s">
        <v>389</v>
      </c>
      <c r="I17" s="36" t="s">
        <v>401</v>
      </c>
      <c r="J17" s="36" t="s">
        <v>427</v>
      </c>
      <c r="K17" s="39" t="s">
        <v>428</v>
      </c>
    </row>
    <row r="18">
      <c r="A18" s="34">
        <f>ROW()-ROW(Table_Action_Conditions[N])</f>
        <v>16</v>
      </c>
      <c r="B18" s="34" t="s">
        <v>429</v>
      </c>
      <c r="C18" s="38" t="s">
        <v>430</v>
      </c>
      <c r="D18" s="36" t="s">
        <v>380</v>
      </c>
      <c r="E18" s="36" t="s">
        <v>13</v>
      </c>
      <c r="F18" s="36" t="s">
        <v>32</v>
      </c>
      <c r="G18" s="36" t="s">
        <v>388</v>
      </c>
      <c r="H18" s="36" t="s">
        <v>421</v>
      </c>
      <c r="I18" s="36" t="s">
        <v>401</v>
      </c>
      <c r="J18" s="36" t="s">
        <v>431</v>
      </c>
      <c r="K18" s="39" t="s">
        <v>379</v>
      </c>
    </row>
    <row r="19">
      <c r="A19" s="34">
        <f>ROW()-ROW(Table_Action_Conditions[N])</f>
        <v>17</v>
      </c>
      <c r="B19" s="34" t="s">
        <v>432</v>
      </c>
      <c r="C19" s="38" t="s">
        <v>428</v>
      </c>
      <c r="D19" s="36" t="s">
        <v>380</v>
      </c>
      <c r="E19" s="36" t="s">
        <v>13</v>
      </c>
      <c r="F19" s="36" t="s">
        <v>32</v>
      </c>
      <c r="G19" s="36" t="s">
        <v>388</v>
      </c>
      <c r="H19" s="36" t="s">
        <v>421</v>
      </c>
      <c r="I19" s="36" t="s">
        <v>401</v>
      </c>
      <c r="J19" s="36" t="s">
        <v>433</v>
      </c>
      <c r="K19" s="39" t="s">
        <v>379</v>
      </c>
    </row>
    <row r="20">
      <c r="A20" s="34">
        <f>ROW()-ROW(Table_Action_Conditions[N])</f>
        <v>18</v>
      </c>
      <c r="B20" s="34" t="s">
        <v>434</v>
      </c>
      <c r="C20" s="38" t="s">
        <v>379</v>
      </c>
      <c r="D20" s="36" t="s">
        <v>380</v>
      </c>
      <c r="E20" s="36" t="s">
        <v>13</v>
      </c>
      <c r="F20" s="36" t="s">
        <v>271</v>
      </c>
      <c r="G20" s="36" t="s">
        <v>416</v>
      </c>
      <c r="H20" s="36" t="s">
        <v>383</v>
      </c>
      <c r="I20" s="36" t="s">
        <v>435</v>
      </c>
      <c r="J20" s="36" t="s">
        <v>385</v>
      </c>
      <c r="K20" s="39" t="s">
        <v>379</v>
      </c>
    </row>
    <row r="21">
      <c r="A21" s="34">
        <f>ROW()-ROW(Table_Action_Conditions[N])</f>
        <v>19</v>
      </c>
      <c r="B21" s="34" t="s">
        <v>310</v>
      </c>
      <c r="C21" s="38" t="s">
        <v>379</v>
      </c>
      <c r="D21" s="36" t="s">
        <v>380</v>
      </c>
      <c r="E21" s="36" t="s">
        <v>13</v>
      </c>
      <c r="F21" s="36" t="s">
        <v>32</v>
      </c>
      <c r="G21" s="36" t="s">
        <v>388</v>
      </c>
      <c r="H21" s="36" t="s">
        <v>383</v>
      </c>
      <c r="I21" s="36" t="s">
        <v>384</v>
      </c>
      <c r="J21" s="36" t="s">
        <v>385</v>
      </c>
      <c r="K21" s="39" t="s">
        <v>436</v>
      </c>
    </row>
    <row r="22">
      <c r="A22" s="34">
        <f>ROW()-ROW(Table_Action_Conditions[N])</f>
        <v>20</v>
      </c>
      <c r="B22" s="34" t="s">
        <v>313</v>
      </c>
      <c r="C22" s="38" t="s">
        <v>437</v>
      </c>
      <c r="D22" s="36" t="s">
        <v>380</v>
      </c>
      <c r="E22" s="36" t="s">
        <v>13</v>
      </c>
      <c r="F22" s="36" t="s">
        <v>32</v>
      </c>
      <c r="G22" s="36" t="s">
        <v>406</v>
      </c>
      <c r="H22" s="36" t="s">
        <v>383</v>
      </c>
      <c r="I22" s="36" t="s">
        <v>401</v>
      </c>
      <c r="J22" s="36" t="s">
        <v>438</v>
      </c>
      <c r="K22" s="39" t="s">
        <v>379</v>
      </c>
    </row>
    <row r="23">
      <c r="A23" s="34">
        <f>ROW()-ROW(Table_Action_Conditions[N])</f>
        <v>21</v>
      </c>
      <c r="B23" s="34" t="s">
        <v>326</v>
      </c>
      <c r="C23" s="38" t="s">
        <v>439</v>
      </c>
      <c r="D23" s="36" t="s">
        <v>380</v>
      </c>
      <c r="E23" s="36" t="s">
        <v>13</v>
      </c>
      <c r="F23" s="36" t="s">
        <v>32</v>
      </c>
      <c r="G23" s="36" t="s">
        <v>397</v>
      </c>
      <c r="H23" s="36" t="s">
        <v>383</v>
      </c>
      <c r="I23" s="36" t="s">
        <v>440</v>
      </c>
      <c r="J23" s="36" t="s">
        <v>385</v>
      </c>
      <c r="K23" s="39" t="s">
        <v>379</v>
      </c>
    </row>
    <row r="24">
      <c r="A24" s="34">
        <f>ROW()-ROW(Table_Action_Conditions[N])</f>
        <v>22</v>
      </c>
      <c r="B24" s="34" t="s">
        <v>340</v>
      </c>
      <c r="C24" s="38" t="s">
        <v>379</v>
      </c>
      <c r="D24" s="36" t="s">
        <v>380</v>
      </c>
      <c r="E24" s="36" t="s">
        <v>13</v>
      </c>
      <c r="F24" s="36" t="s">
        <v>32</v>
      </c>
      <c r="G24" s="36" t="s">
        <v>397</v>
      </c>
      <c r="H24" s="36" t="s">
        <v>383</v>
      </c>
      <c r="I24" s="36" t="s">
        <v>401</v>
      </c>
      <c r="J24" s="36" t="s">
        <v>441</v>
      </c>
      <c r="K24" s="39" t="s">
        <v>379</v>
      </c>
    </row>
    <row r="25">
      <c r="A25" s="34">
        <f>ROW()-ROW(Table_Action_Conditions[N])</f>
        <v>23</v>
      </c>
      <c r="B25" s="34" t="s">
        <v>337</v>
      </c>
      <c r="C25" s="38" t="s">
        <v>379</v>
      </c>
      <c r="D25" s="36" t="s">
        <v>380</v>
      </c>
      <c r="E25" s="36" t="s">
        <v>13</v>
      </c>
      <c r="F25" s="36" t="s">
        <v>32</v>
      </c>
      <c r="G25" s="36" t="s">
        <v>397</v>
      </c>
      <c r="H25" s="36" t="s">
        <v>383</v>
      </c>
      <c r="I25" s="36" t="s">
        <v>442</v>
      </c>
      <c r="J25" s="36" t="s">
        <v>385</v>
      </c>
      <c r="K25" s="39" t="s">
        <v>379</v>
      </c>
    </row>
    <row r="26">
      <c r="A26" s="34">
        <f>ROW()-ROW(Table_Action_Conditions[N])</f>
        <v>24</v>
      </c>
      <c r="B26" s="34" t="s">
        <v>443</v>
      </c>
      <c r="C26" s="38" t="s">
        <v>444</v>
      </c>
      <c r="D26" s="36" t="s">
        <v>445</v>
      </c>
      <c r="E26" s="36" t="s">
        <v>13</v>
      </c>
      <c r="F26" s="36" t="s">
        <v>32</v>
      </c>
      <c r="G26" s="36" t="s">
        <v>388</v>
      </c>
      <c r="H26" s="36" t="s">
        <v>383</v>
      </c>
      <c r="I26" s="36" t="s">
        <v>446</v>
      </c>
      <c r="J26" s="36" t="s">
        <v>385</v>
      </c>
      <c r="K26" s="39" t="s">
        <v>379</v>
      </c>
    </row>
    <row r="27">
      <c r="A27" s="34">
        <f>ROW()-ROW(Table_Action_Conditions[N])</f>
        <v>25</v>
      </c>
      <c r="B27" s="34" t="s">
        <v>447</v>
      </c>
      <c r="C27" s="38" t="s">
        <v>444</v>
      </c>
      <c r="D27" s="36" t="s">
        <v>448</v>
      </c>
      <c r="E27" s="36" t="s">
        <v>13</v>
      </c>
      <c r="F27" s="36" t="s">
        <v>32</v>
      </c>
      <c r="G27" s="36" t="s">
        <v>388</v>
      </c>
      <c r="H27" s="36" t="s">
        <v>389</v>
      </c>
      <c r="I27" s="36" t="s">
        <v>401</v>
      </c>
      <c r="J27" s="36" t="s">
        <v>449</v>
      </c>
      <c r="K27" s="39" t="s">
        <v>450</v>
      </c>
    </row>
    <row r="28">
      <c r="A28" s="34">
        <f>ROW()-ROW(Table_Action_Conditions[N])</f>
        <v>26</v>
      </c>
      <c r="B28" s="34" t="s">
        <v>451</v>
      </c>
      <c r="C28" s="38" t="s">
        <v>379</v>
      </c>
      <c r="D28" s="36" t="s">
        <v>448</v>
      </c>
      <c r="E28" s="36" t="s">
        <v>13</v>
      </c>
      <c r="F28" s="36" t="s">
        <v>32</v>
      </c>
      <c r="G28" s="36" t="s">
        <v>452</v>
      </c>
      <c r="H28" s="36" t="s">
        <v>383</v>
      </c>
      <c r="I28" s="36" t="s">
        <v>453</v>
      </c>
      <c r="J28" s="36" t="s">
        <v>385</v>
      </c>
      <c r="K28" s="39" t="s">
        <v>379</v>
      </c>
    </row>
    <row r="29">
      <c r="A29" s="34">
        <f>ROW()-ROW(Table_Action_Conditions[N])</f>
        <v>27</v>
      </c>
      <c r="B29" s="34" t="s">
        <v>454</v>
      </c>
      <c r="C29" s="38" t="s">
        <v>379</v>
      </c>
      <c r="D29" s="36" t="s">
        <v>380</v>
      </c>
      <c r="E29" s="36" t="s">
        <v>13</v>
      </c>
      <c r="F29" s="36" t="s">
        <v>32</v>
      </c>
      <c r="G29" s="36" t="s">
        <v>399</v>
      </c>
      <c r="H29" s="36" t="s">
        <v>383</v>
      </c>
      <c r="I29" s="36" t="s">
        <v>401</v>
      </c>
      <c r="J29" s="36" t="s">
        <v>455</v>
      </c>
      <c r="K29" s="39" t="s">
        <v>379</v>
      </c>
    </row>
    <row r="30">
      <c r="A30" s="34">
        <f>ROW()-ROW(Table_Action_Conditions[N])</f>
        <v>28</v>
      </c>
      <c r="B30" s="34" t="s">
        <v>456</v>
      </c>
      <c r="C30" s="38" t="s">
        <v>457</v>
      </c>
      <c r="D30" s="36" t="s">
        <v>448</v>
      </c>
      <c r="E30" s="36" t="s">
        <v>13</v>
      </c>
      <c r="F30" s="36" t="s">
        <v>32</v>
      </c>
      <c r="G30" s="36" t="s">
        <v>452</v>
      </c>
      <c r="H30" s="36" t="s">
        <v>383</v>
      </c>
      <c r="I30" s="36" t="s">
        <v>458</v>
      </c>
      <c r="J30" s="36" t="s">
        <v>385</v>
      </c>
      <c r="K30" s="39" t="s">
        <v>379</v>
      </c>
    </row>
    <row r="31">
      <c r="A31" s="34">
        <f>ROW()-ROW(Table_Action_Conditions[N])</f>
        <v>29</v>
      </c>
      <c r="B31" s="34" t="s">
        <v>459</v>
      </c>
      <c r="C31" s="38" t="s">
        <v>379</v>
      </c>
      <c r="D31" s="36" t="s">
        <v>380</v>
      </c>
      <c r="E31" s="36" t="s">
        <v>13</v>
      </c>
      <c r="F31" s="36" t="s">
        <v>32</v>
      </c>
      <c r="G31" s="36" t="s">
        <v>397</v>
      </c>
      <c r="H31" s="36" t="s">
        <v>383</v>
      </c>
      <c r="I31" s="36" t="s">
        <v>460</v>
      </c>
      <c r="J31" s="36" t="s">
        <v>385</v>
      </c>
      <c r="K31" s="39" t="s">
        <v>379</v>
      </c>
    </row>
    <row r="32">
      <c r="A32" s="34">
        <f>ROW()-ROW(Table_Action_Conditions[N])</f>
        <v>30</v>
      </c>
      <c r="B32" s="34" t="s">
        <v>461</v>
      </c>
      <c r="C32" s="38" t="s">
        <v>379</v>
      </c>
      <c r="D32" s="36" t="s">
        <v>380</v>
      </c>
      <c r="E32" s="36" t="s">
        <v>13</v>
      </c>
      <c r="F32" s="36" t="s">
        <v>32</v>
      </c>
      <c r="G32" s="36" t="s">
        <v>399</v>
      </c>
      <c r="H32" s="36" t="s">
        <v>383</v>
      </c>
      <c r="I32" s="36" t="s">
        <v>401</v>
      </c>
      <c r="J32" s="36" t="s">
        <v>462</v>
      </c>
      <c r="K32" s="39" t="s">
        <v>379</v>
      </c>
    </row>
    <row r="33">
      <c r="A33" s="34">
        <f>ROW()-ROW(Table_Action_Conditions[N])</f>
        <v>31</v>
      </c>
      <c r="B33" s="34" t="s">
        <v>463</v>
      </c>
      <c r="C33" s="38" t="s">
        <v>464</v>
      </c>
      <c r="D33" s="36" t="s">
        <v>380</v>
      </c>
      <c r="E33" s="36" t="s">
        <v>13</v>
      </c>
      <c r="F33" s="36" t="s">
        <v>32</v>
      </c>
      <c r="G33" s="36" t="s">
        <v>399</v>
      </c>
      <c r="H33" s="36" t="s">
        <v>383</v>
      </c>
      <c r="I33" s="36" t="s">
        <v>401</v>
      </c>
      <c r="J33" s="36" t="s">
        <v>465</v>
      </c>
      <c r="K33" s="39" t="s">
        <v>379</v>
      </c>
    </row>
    <row r="34">
      <c r="A34" s="34">
        <f>ROW()-ROW(Table_Action_Conditions[N])</f>
        <v>32</v>
      </c>
      <c r="B34" s="34" t="s">
        <v>466</v>
      </c>
      <c r="C34" s="38" t="s">
        <v>467</v>
      </c>
      <c r="D34" s="36" t="s">
        <v>380</v>
      </c>
      <c r="E34" s="36" t="s">
        <v>13</v>
      </c>
      <c r="F34" s="36" t="s">
        <v>32</v>
      </c>
      <c r="G34" s="36" t="s">
        <v>399</v>
      </c>
      <c r="H34" s="36" t="s">
        <v>383</v>
      </c>
      <c r="I34" s="36" t="s">
        <v>401</v>
      </c>
      <c r="J34" s="36" t="s">
        <v>468</v>
      </c>
      <c r="K34" s="39" t="s">
        <v>469</v>
      </c>
    </row>
    <row r="35">
      <c r="A35" s="34">
        <f>ROW()-ROW(Table_Action_Conditions[N])</f>
        <v>33</v>
      </c>
      <c r="B35" s="34" t="s">
        <v>470</v>
      </c>
      <c r="C35" s="38" t="s">
        <v>379</v>
      </c>
      <c r="D35" s="36" t="s">
        <v>380</v>
      </c>
      <c r="E35" s="36" t="s">
        <v>13</v>
      </c>
      <c r="F35" s="36" t="s">
        <v>32</v>
      </c>
      <c r="G35" s="36" t="s">
        <v>388</v>
      </c>
      <c r="H35" s="36" t="s">
        <v>389</v>
      </c>
      <c r="I35" s="36" t="s">
        <v>401</v>
      </c>
      <c r="J35" s="36" t="s">
        <v>471</v>
      </c>
      <c r="K35" s="39" t="s">
        <v>472</v>
      </c>
    </row>
    <row r="36">
      <c r="A36" s="34">
        <f>ROW()-ROW(Table_Action_Conditions[N])</f>
        <v>34</v>
      </c>
      <c r="B36" s="34" t="s">
        <v>473</v>
      </c>
      <c r="C36" s="38" t="s">
        <v>474</v>
      </c>
      <c r="D36" s="36" t="s">
        <v>380</v>
      </c>
      <c r="E36" s="36" t="s">
        <v>13</v>
      </c>
      <c r="F36" s="36" t="s">
        <v>32</v>
      </c>
      <c r="G36" s="36" t="s">
        <v>399</v>
      </c>
      <c r="H36" s="36" t="s">
        <v>383</v>
      </c>
      <c r="I36" s="36" t="s">
        <v>401</v>
      </c>
      <c r="J36" s="36" t="s">
        <v>475</v>
      </c>
      <c r="K36" s="39" t="s">
        <v>379</v>
      </c>
    </row>
    <row r="37">
      <c r="A37" s="34">
        <f>ROW()-ROW(Table_Action_Conditions[N])</f>
        <v>35</v>
      </c>
      <c r="B37" s="34" t="s">
        <v>476</v>
      </c>
      <c r="C37" s="38" t="s">
        <v>477</v>
      </c>
      <c r="D37" s="36" t="s">
        <v>380</v>
      </c>
      <c r="E37" s="36" t="s">
        <v>13</v>
      </c>
      <c r="F37" s="36" t="s">
        <v>32</v>
      </c>
      <c r="G37" s="36" t="s">
        <v>399</v>
      </c>
      <c r="H37" s="36" t="s">
        <v>383</v>
      </c>
      <c r="I37" s="36" t="s">
        <v>401</v>
      </c>
      <c r="J37" s="36" t="s">
        <v>465</v>
      </c>
      <c r="K37" s="39" t="s">
        <v>379</v>
      </c>
    </row>
    <row r="38">
      <c r="A38" s="34">
        <f>ROW()-ROW(Table_Action_Conditions[N])</f>
        <v>36</v>
      </c>
      <c r="B38" s="34" t="s">
        <v>478</v>
      </c>
      <c r="C38" s="38" t="s">
        <v>469</v>
      </c>
      <c r="D38" s="36" t="s">
        <v>380</v>
      </c>
      <c r="E38" s="36" t="s">
        <v>13</v>
      </c>
      <c r="F38" s="36" t="s">
        <v>32</v>
      </c>
      <c r="G38" s="36" t="s">
        <v>399</v>
      </c>
      <c r="H38" s="36" t="s">
        <v>383</v>
      </c>
      <c r="I38" s="36" t="s">
        <v>401</v>
      </c>
      <c r="J38" s="36" t="s">
        <v>479</v>
      </c>
      <c r="K38" s="39" t="s">
        <v>480</v>
      </c>
    </row>
    <row r="39">
      <c r="A39" s="34">
        <f>ROW()-ROW(Table_Action_Conditions[N])</f>
        <v>37</v>
      </c>
      <c r="B39" s="34" t="s">
        <v>481</v>
      </c>
      <c r="C39" s="38" t="s">
        <v>480</v>
      </c>
      <c r="D39" s="36" t="s">
        <v>380</v>
      </c>
      <c r="E39" s="36" t="s">
        <v>13</v>
      </c>
      <c r="F39" s="36" t="s">
        <v>32</v>
      </c>
      <c r="G39" s="36" t="s">
        <v>399</v>
      </c>
      <c r="H39" s="36" t="s">
        <v>383</v>
      </c>
      <c r="I39" s="36" t="s">
        <v>401</v>
      </c>
      <c r="J39" s="36" t="s">
        <v>482</v>
      </c>
      <c r="K39" s="39" t="s">
        <v>379</v>
      </c>
    </row>
    <row r="40">
      <c r="A40" s="34">
        <f>ROW()-ROW(Table_Action_Conditions[N])</f>
        <v>38</v>
      </c>
      <c r="B40" s="34" t="s">
        <v>483</v>
      </c>
      <c r="C40" s="38" t="s">
        <v>480</v>
      </c>
      <c r="D40" s="36" t="s">
        <v>448</v>
      </c>
      <c r="E40" s="36" t="s">
        <v>13</v>
      </c>
      <c r="F40" s="36" t="s">
        <v>32</v>
      </c>
      <c r="G40" s="36" t="s">
        <v>388</v>
      </c>
      <c r="H40" s="36" t="s">
        <v>400</v>
      </c>
      <c r="I40" s="36" t="s">
        <v>401</v>
      </c>
      <c r="J40" s="36" t="s">
        <v>484</v>
      </c>
      <c r="K40" s="39" t="s">
        <v>485</v>
      </c>
    </row>
    <row r="41">
      <c r="A41" s="34">
        <f>ROW()-ROW(Table_Action_Conditions[N])</f>
        <v>39</v>
      </c>
      <c r="B41" s="34" t="s">
        <v>486</v>
      </c>
      <c r="C41" s="38" t="s">
        <v>480</v>
      </c>
      <c r="D41" s="36" t="s">
        <v>445</v>
      </c>
      <c r="E41" s="36" t="s">
        <v>13</v>
      </c>
      <c r="F41" s="36" t="s">
        <v>32</v>
      </c>
      <c r="G41" s="36" t="s">
        <v>388</v>
      </c>
      <c r="H41" s="36" t="s">
        <v>421</v>
      </c>
      <c r="I41" s="36" t="s">
        <v>401</v>
      </c>
      <c r="J41" s="36" t="s">
        <v>487</v>
      </c>
      <c r="K41" s="39" t="s">
        <v>379</v>
      </c>
    </row>
    <row r="42">
      <c r="A42" s="34">
        <f>ROW()-ROW(Table_Action_Conditions[N])</f>
        <v>40</v>
      </c>
      <c r="B42" s="34" t="s">
        <v>488</v>
      </c>
      <c r="C42" s="38" t="s">
        <v>379</v>
      </c>
      <c r="D42" s="36" t="s">
        <v>380</v>
      </c>
      <c r="E42" s="36" t="s">
        <v>13</v>
      </c>
      <c r="F42" s="36" t="s">
        <v>32</v>
      </c>
      <c r="G42" s="36" t="s">
        <v>399</v>
      </c>
      <c r="H42" s="36" t="s">
        <v>383</v>
      </c>
      <c r="I42" s="36" t="s">
        <v>401</v>
      </c>
      <c r="J42" s="36" t="s">
        <v>489</v>
      </c>
      <c r="K42" s="39" t="s">
        <v>379</v>
      </c>
    </row>
    <row r="43">
      <c r="A43" s="34">
        <f>ROW()-ROW(Table_Action_Conditions[N])</f>
        <v>41</v>
      </c>
      <c r="B43" s="34" t="s">
        <v>490</v>
      </c>
      <c r="C43" s="38" t="s">
        <v>491</v>
      </c>
      <c r="D43" s="36" t="s">
        <v>380</v>
      </c>
      <c r="E43" s="36" t="s">
        <v>13</v>
      </c>
      <c r="F43" s="36" t="s">
        <v>32</v>
      </c>
      <c r="G43" s="36" t="s">
        <v>388</v>
      </c>
      <c r="H43" s="36" t="s">
        <v>383</v>
      </c>
      <c r="I43" s="36" t="s">
        <v>401</v>
      </c>
      <c r="J43" s="36" t="s">
        <v>492</v>
      </c>
      <c r="K43" s="39" t="s">
        <v>379</v>
      </c>
    </row>
    <row r="44">
      <c r="A44" s="34">
        <f>ROW()-ROW(Table_Action_Conditions[N])</f>
        <v>42</v>
      </c>
      <c r="B44" s="34" t="s">
        <v>493</v>
      </c>
      <c r="C44" s="38" t="s">
        <v>485</v>
      </c>
      <c r="D44" s="36" t="s">
        <v>445</v>
      </c>
      <c r="E44" s="36" t="s">
        <v>13</v>
      </c>
      <c r="F44" s="36" t="s">
        <v>32</v>
      </c>
      <c r="G44" s="36" t="s">
        <v>388</v>
      </c>
      <c r="H44" s="36" t="s">
        <v>389</v>
      </c>
      <c r="I44" s="36" t="s">
        <v>401</v>
      </c>
      <c r="J44" s="36" t="s">
        <v>492</v>
      </c>
      <c r="K44" s="39" t="s">
        <v>379</v>
      </c>
    </row>
    <row r="45">
      <c r="A45" s="34">
        <f>ROW()-ROW(Table_Action_Conditions[N])</f>
        <v>43</v>
      </c>
      <c r="B45" s="34" t="s">
        <v>494</v>
      </c>
      <c r="C45" s="38" t="s">
        <v>485</v>
      </c>
      <c r="D45" s="36" t="s">
        <v>448</v>
      </c>
      <c r="E45" s="36" t="s">
        <v>13</v>
      </c>
      <c r="F45" s="36" t="s">
        <v>32</v>
      </c>
      <c r="G45" s="36" t="s">
        <v>388</v>
      </c>
      <c r="H45" s="36" t="s">
        <v>389</v>
      </c>
      <c r="I45" s="36" t="s">
        <v>401</v>
      </c>
      <c r="J45" s="36" t="s">
        <v>495</v>
      </c>
      <c r="K45" s="39" t="s">
        <v>496</v>
      </c>
    </row>
    <row r="46">
      <c r="A46" s="34">
        <f>ROW()-ROW(Table_Action_Conditions[N])</f>
        <v>44</v>
      </c>
      <c r="B46" s="34" t="s">
        <v>497</v>
      </c>
      <c r="C46" s="38" t="s">
        <v>379</v>
      </c>
      <c r="D46" s="36" t="s">
        <v>380</v>
      </c>
      <c r="E46" s="36" t="s">
        <v>13</v>
      </c>
      <c r="F46" s="36" t="s">
        <v>32</v>
      </c>
      <c r="G46" s="36" t="s">
        <v>399</v>
      </c>
      <c r="H46" s="36" t="s">
        <v>383</v>
      </c>
      <c r="I46" s="36" t="s">
        <v>401</v>
      </c>
      <c r="J46" s="36" t="s">
        <v>498</v>
      </c>
      <c r="K46" s="39" t="s">
        <v>379</v>
      </c>
    </row>
    <row r="47">
      <c r="A47" s="34">
        <f>ROW()-ROW(Table_Action_Conditions[N])</f>
        <v>45</v>
      </c>
      <c r="B47" s="34" t="s">
        <v>499</v>
      </c>
      <c r="C47" s="38" t="s">
        <v>500</v>
      </c>
      <c r="D47" s="36" t="s">
        <v>448</v>
      </c>
      <c r="E47" s="36" t="s">
        <v>13</v>
      </c>
      <c r="F47" s="36" t="s">
        <v>360</v>
      </c>
      <c r="G47" s="36" t="s">
        <v>416</v>
      </c>
      <c r="H47" s="36" t="s">
        <v>501</v>
      </c>
      <c r="I47" s="36" t="s">
        <v>401</v>
      </c>
      <c r="J47" s="36" t="s">
        <v>502</v>
      </c>
      <c r="K47" s="39" t="s">
        <v>503</v>
      </c>
    </row>
    <row r="48">
      <c r="A48" s="34">
        <f>ROW()-ROW(Table_Action_Conditions[N])</f>
        <v>46</v>
      </c>
      <c r="B48" s="34" t="s">
        <v>504</v>
      </c>
      <c r="C48" s="38" t="s">
        <v>505</v>
      </c>
      <c r="D48" s="36" t="s">
        <v>448</v>
      </c>
      <c r="E48" s="36" t="s">
        <v>13</v>
      </c>
      <c r="F48" s="36" t="s">
        <v>32</v>
      </c>
      <c r="G48" s="36" t="s">
        <v>388</v>
      </c>
      <c r="H48" s="36" t="s">
        <v>389</v>
      </c>
      <c r="I48" s="36" t="s">
        <v>401</v>
      </c>
      <c r="J48" s="36" t="s">
        <v>506</v>
      </c>
      <c r="K48" s="39" t="s">
        <v>507</v>
      </c>
    </row>
    <row r="49">
      <c r="A49" s="34">
        <f>ROW()-ROW(Table_Action_Conditions[N])</f>
        <v>47</v>
      </c>
      <c r="B49" s="34" t="s">
        <v>508</v>
      </c>
      <c r="C49" s="38" t="s">
        <v>507</v>
      </c>
      <c r="D49" s="36" t="s">
        <v>380</v>
      </c>
      <c r="E49" s="36" t="s">
        <v>13</v>
      </c>
      <c r="F49" s="36" t="s">
        <v>32</v>
      </c>
      <c r="G49" s="36" t="s">
        <v>388</v>
      </c>
      <c r="H49" s="36" t="s">
        <v>421</v>
      </c>
      <c r="I49" s="36" t="s">
        <v>401</v>
      </c>
      <c r="J49" s="36" t="s">
        <v>509</v>
      </c>
      <c r="K49" s="39" t="s">
        <v>379</v>
      </c>
    </row>
    <row r="50">
      <c r="A50" s="34">
        <f>ROW()-ROW(Table_Action_Conditions[N])</f>
        <v>48</v>
      </c>
      <c r="B50" s="34" t="s">
        <v>510</v>
      </c>
      <c r="C50" s="35" t="s">
        <v>379</v>
      </c>
      <c r="D50" s="36" t="s">
        <v>380</v>
      </c>
      <c r="E50" s="36" t="s">
        <v>381</v>
      </c>
      <c r="F50" s="36" t="s">
        <v>32</v>
      </c>
      <c r="G50" s="36" t="s">
        <v>382</v>
      </c>
      <c r="H50" s="36" t="s">
        <v>389</v>
      </c>
      <c r="I50" s="36" t="s">
        <v>384</v>
      </c>
      <c r="J50" s="36" t="s">
        <v>385</v>
      </c>
      <c r="K50" s="37" t="s">
        <v>379</v>
      </c>
    </row>
    <row r="52">
      <c r="A52" s="1" t="s">
        <v>47</v>
      </c>
      <c r="B52" s="1" t="s">
        <v>511</v>
      </c>
      <c r="C52" s="2" t="s">
        <v>512</v>
      </c>
      <c r="D52" s="1" t="s">
        <v>513</v>
      </c>
      <c r="E52" s="27" t="s">
        <v>514</v>
      </c>
      <c r="F52" s="27" t="s">
        <v>370</v>
      </c>
      <c r="G52" s="27" t="s">
        <v>371</v>
      </c>
      <c r="H52" s="27" t="s">
        <v>515</v>
      </c>
      <c r="I52" s="27" t="s">
        <v>516</v>
      </c>
      <c r="J52" s="27" t="s">
        <v>517</v>
      </c>
      <c r="K52" s="27" t="s">
        <v>518</v>
      </c>
      <c r="L52" s="27" t="s">
        <v>519</v>
      </c>
      <c r="M52" s="40" t="s">
        <v>520</v>
      </c>
      <c r="N52" s="40" t="s">
        <v>521</v>
      </c>
    </row>
    <row r="53">
      <c r="A53" s="34">
        <f>ROW()-ROW(Table_Unchain_Conditions[N])</f>
        <v>0</v>
      </c>
      <c r="B53" s="34" t="s">
        <v>522</v>
      </c>
      <c r="C53" s="41" t="b">
        <v>0</v>
      </c>
      <c r="D53" s="36" t="s">
        <v>523</v>
      </c>
      <c r="E53" s="42" t="s">
        <v>524</v>
      </c>
      <c r="F53" s="39" t="s">
        <v>379</v>
      </c>
      <c r="G53" s="42" t="s">
        <v>380</v>
      </c>
      <c r="H53" s="42" t="s">
        <v>32</v>
      </c>
      <c r="I53" s="42" t="s">
        <v>260</v>
      </c>
      <c r="J53" s="43" t="s">
        <v>381</v>
      </c>
      <c r="K53" s="42" t="s">
        <v>525</v>
      </c>
      <c r="L53" s="39" t="s">
        <v>524</v>
      </c>
      <c r="M53" s="36" t="s">
        <v>526</v>
      </c>
      <c r="N53" s="36" t="s">
        <v>380</v>
      </c>
    </row>
    <row r="54">
      <c r="A54" s="34">
        <f>ROW()-ROW(Table_Unchain_Conditions[N])</f>
        <v>1</v>
      </c>
      <c r="B54" s="34" t="s">
        <v>527</v>
      </c>
      <c r="C54" s="41" t="b">
        <v>0</v>
      </c>
      <c r="D54" s="36" t="s">
        <v>528</v>
      </c>
      <c r="E54" s="42" t="s">
        <v>524</v>
      </c>
      <c r="F54" s="39" t="s">
        <v>524</v>
      </c>
      <c r="G54" s="42" t="s">
        <v>380</v>
      </c>
      <c r="H54" s="42" t="s">
        <v>32</v>
      </c>
      <c r="I54" s="42" t="s">
        <v>260</v>
      </c>
      <c r="J54" s="43" t="s">
        <v>381</v>
      </c>
      <c r="K54" s="42" t="s">
        <v>529</v>
      </c>
      <c r="L54" s="39" t="s">
        <v>379</v>
      </c>
      <c r="M54" s="36" t="s">
        <v>526</v>
      </c>
      <c r="N54" s="36" t="s">
        <v>380</v>
      </c>
    </row>
    <row r="55">
      <c r="A55" s="34">
        <f>ROW()-ROW(Table_Unchain_Conditions[N])</f>
        <v>2</v>
      </c>
      <c r="B55" s="34" t="s">
        <v>530</v>
      </c>
      <c r="C55" s="41" t="b">
        <v>1</v>
      </c>
      <c r="D55" s="36" t="s">
        <v>531</v>
      </c>
      <c r="E55" s="42" t="s">
        <v>379</v>
      </c>
      <c r="F55" s="39" t="s">
        <v>390</v>
      </c>
      <c r="G55" s="42" t="s">
        <v>380</v>
      </c>
      <c r="H55" s="42" t="s">
        <v>265</v>
      </c>
      <c r="I55" s="42" t="s">
        <v>532</v>
      </c>
      <c r="J55" s="43" t="s">
        <v>381</v>
      </c>
      <c r="K55" s="42" t="s">
        <v>525</v>
      </c>
      <c r="L55" s="39" t="s">
        <v>379</v>
      </c>
      <c r="M55" s="36" t="s">
        <v>526</v>
      </c>
      <c r="N55" s="36" t="s">
        <v>380</v>
      </c>
    </row>
    <row r="56">
      <c r="A56" s="34">
        <f>ROW()-ROW(Table_Unchain_Conditions[N])</f>
        <v>3</v>
      </c>
      <c r="B56" s="34" t="s">
        <v>533</v>
      </c>
      <c r="C56" s="41" t="b">
        <v>1</v>
      </c>
      <c r="D56" s="36" t="s">
        <v>534</v>
      </c>
      <c r="E56" s="42" t="s">
        <v>393</v>
      </c>
      <c r="F56" s="39" t="s">
        <v>390</v>
      </c>
      <c r="G56" s="42" t="s">
        <v>380</v>
      </c>
      <c r="H56" s="42" t="s">
        <v>271</v>
      </c>
      <c r="I56" s="42" t="s">
        <v>260</v>
      </c>
      <c r="J56" s="43" t="s">
        <v>381</v>
      </c>
      <c r="K56" s="42" t="s">
        <v>525</v>
      </c>
      <c r="L56" s="39" t="s">
        <v>379</v>
      </c>
      <c r="M56" s="36" t="s">
        <v>526</v>
      </c>
      <c r="N56" s="36" t="s">
        <v>380</v>
      </c>
    </row>
    <row r="57">
      <c r="A57" s="34">
        <f>ROW()-ROW(Table_Unchain_Conditions[N])</f>
        <v>4</v>
      </c>
      <c r="B57" s="34" t="s">
        <v>535</v>
      </c>
      <c r="C57" s="41" t="b">
        <v>1</v>
      </c>
      <c r="D57" s="36" t="s">
        <v>534</v>
      </c>
      <c r="E57" s="42" t="s">
        <v>379</v>
      </c>
      <c r="F57" s="39" t="s">
        <v>390</v>
      </c>
      <c r="G57" s="42" t="s">
        <v>380</v>
      </c>
      <c r="H57" s="42" t="s">
        <v>293</v>
      </c>
      <c r="I57" s="42" t="s">
        <v>260</v>
      </c>
      <c r="J57" s="43" t="s">
        <v>381</v>
      </c>
      <c r="K57" s="42" t="s">
        <v>525</v>
      </c>
      <c r="L57" s="39" t="s">
        <v>379</v>
      </c>
      <c r="M57" s="36" t="s">
        <v>526</v>
      </c>
      <c r="N57" s="36" t="s">
        <v>380</v>
      </c>
    </row>
    <row r="58">
      <c r="A58" s="34">
        <f>ROW()-ROW(Table_Unchain_Conditions[N])</f>
        <v>5</v>
      </c>
      <c r="B58" s="34" t="s">
        <v>536</v>
      </c>
      <c r="C58" s="41" t="b">
        <v>1</v>
      </c>
      <c r="D58" s="36" t="s">
        <v>531</v>
      </c>
      <c r="E58" s="42" t="s">
        <v>379</v>
      </c>
      <c r="F58" s="39" t="s">
        <v>387</v>
      </c>
      <c r="G58" s="42" t="s">
        <v>380</v>
      </c>
      <c r="H58" s="42" t="s">
        <v>265</v>
      </c>
      <c r="I58" s="42" t="s">
        <v>269</v>
      </c>
      <c r="J58" s="43" t="s">
        <v>381</v>
      </c>
      <c r="K58" s="42" t="s">
        <v>525</v>
      </c>
      <c r="L58" s="39" t="s">
        <v>379</v>
      </c>
      <c r="M58" s="36" t="s">
        <v>526</v>
      </c>
      <c r="N58" s="36" t="s">
        <v>380</v>
      </c>
    </row>
    <row r="59">
      <c r="A59" s="34">
        <f>ROW()-ROW(Table_Unchain_Conditions[N])</f>
        <v>6</v>
      </c>
      <c r="B59" s="34" t="s">
        <v>537</v>
      </c>
      <c r="C59" s="41" t="b">
        <v>1</v>
      </c>
      <c r="D59" s="36" t="s">
        <v>538</v>
      </c>
      <c r="E59" s="42" t="s">
        <v>393</v>
      </c>
      <c r="F59" s="39" t="s">
        <v>387</v>
      </c>
      <c r="G59" s="42" t="s">
        <v>380</v>
      </c>
      <c r="H59" s="42" t="s">
        <v>271</v>
      </c>
      <c r="I59" s="42" t="s">
        <v>260</v>
      </c>
      <c r="J59" s="43" t="s">
        <v>381</v>
      </c>
      <c r="K59" s="42" t="s">
        <v>525</v>
      </c>
      <c r="L59" s="39" t="s">
        <v>379</v>
      </c>
      <c r="M59" s="36" t="s">
        <v>526</v>
      </c>
      <c r="N59" s="36" t="s">
        <v>380</v>
      </c>
    </row>
    <row r="60">
      <c r="A60" s="34">
        <f>ROW()-ROW(Table_Unchain_Conditions[N])</f>
        <v>7</v>
      </c>
      <c r="B60" s="34" t="s">
        <v>539</v>
      </c>
      <c r="C60" s="41" t="b">
        <v>1</v>
      </c>
      <c r="D60" s="36" t="s">
        <v>538</v>
      </c>
      <c r="E60" s="42" t="s">
        <v>379</v>
      </c>
      <c r="F60" s="39" t="s">
        <v>387</v>
      </c>
      <c r="G60" s="42" t="s">
        <v>380</v>
      </c>
      <c r="H60" s="42" t="s">
        <v>293</v>
      </c>
      <c r="I60" s="42" t="s">
        <v>260</v>
      </c>
      <c r="J60" s="43" t="s">
        <v>381</v>
      </c>
      <c r="K60" s="42" t="s">
        <v>525</v>
      </c>
      <c r="L60" s="39" t="s">
        <v>379</v>
      </c>
      <c r="M60" s="36" t="s">
        <v>526</v>
      </c>
      <c r="N60" s="36" t="s">
        <v>380</v>
      </c>
    </row>
    <row r="61">
      <c r="A61" s="34">
        <f>ROW()-ROW(Table_Unchain_Conditions[N])</f>
        <v>8</v>
      </c>
      <c r="B61" s="34" t="s">
        <v>540</v>
      </c>
      <c r="C61" s="41" t="b">
        <v>0</v>
      </c>
      <c r="D61" s="36" t="s">
        <v>541</v>
      </c>
      <c r="E61" s="42" t="s">
        <v>379</v>
      </c>
      <c r="F61" s="39" t="s">
        <v>393</v>
      </c>
      <c r="G61" s="42" t="s">
        <v>380</v>
      </c>
      <c r="H61" s="42" t="s">
        <v>271</v>
      </c>
      <c r="I61" s="42" t="s">
        <v>260</v>
      </c>
      <c r="J61" s="43" t="s">
        <v>381</v>
      </c>
      <c r="K61" s="42" t="s">
        <v>525</v>
      </c>
      <c r="L61" s="39" t="s">
        <v>379</v>
      </c>
      <c r="M61" s="36" t="s">
        <v>526</v>
      </c>
      <c r="N61" s="36" t="s">
        <v>380</v>
      </c>
    </row>
    <row r="62">
      <c r="A62" s="34">
        <f>ROW()-ROW(Table_Unchain_Conditions[N])</f>
        <v>9</v>
      </c>
      <c r="B62" s="34" t="s">
        <v>542</v>
      </c>
      <c r="C62" s="41" t="b">
        <v>0</v>
      </c>
      <c r="D62" s="36" t="s">
        <v>543</v>
      </c>
      <c r="E62" s="42" t="s">
        <v>393</v>
      </c>
      <c r="F62" s="39" t="s">
        <v>393</v>
      </c>
      <c r="G62" s="42" t="s">
        <v>380</v>
      </c>
      <c r="H62" s="42" t="s">
        <v>271</v>
      </c>
      <c r="I62" s="42" t="s">
        <v>260</v>
      </c>
      <c r="J62" s="43" t="s">
        <v>13</v>
      </c>
      <c r="K62" s="42" t="s">
        <v>525</v>
      </c>
      <c r="L62" s="39" t="s">
        <v>379</v>
      </c>
      <c r="M62" s="36" t="s">
        <v>526</v>
      </c>
      <c r="N62" s="36" t="s">
        <v>380</v>
      </c>
    </row>
    <row r="63">
      <c r="A63" s="34">
        <f>ROW()-ROW(Table_Unchain_Conditions[N])</f>
        <v>10</v>
      </c>
      <c r="B63" s="34" t="s">
        <v>544</v>
      </c>
      <c r="C63" s="41" t="b">
        <v>1</v>
      </c>
      <c r="D63" s="36" t="s">
        <v>534</v>
      </c>
      <c r="E63" s="42" t="s">
        <v>379</v>
      </c>
      <c r="F63" s="39" t="s">
        <v>395</v>
      </c>
      <c r="G63" s="42" t="s">
        <v>380</v>
      </c>
      <c r="H63" s="42" t="s">
        <v>280</v>
      </c>
      <c r="I63" s="42" t="s">
        <v>260</v>
      </c>
      <c r="J63" s="43" t="s">
        <v>381</v>
      </c>
      <c r="K63" s="42" t="s">
        <v>525</v>
      </c>
      <c r="L63" s="39" t="s">
        <v>379</v>
      </c>
      <c r="M63" s="36" t="s">
        <v>526</v>
      </c>
      <c r="N63" s="36" t="s">
        <v>380</v>
      </c>
    </row>
    <row r="64">
      <c r="A64" s="34">
        <f>ROW()-ROW(Table_Unchain_Conditions[N])</f>
        <v>11</v>
      </c>
      <c r="B64" s="34" t="s">
        <v>545</v>
      </c>
      <c r="C64" s="41" t="b">
        <v>1</v>
      </c>
      <c r="D64" s="36" t="s">
        <v>538</v>
      </c>
      <c r="E64" s="42" t="s">
        <v>379</v>
      </c>
      <c r="F64" s="39" t="s">
        <v>395</v>
      </c>
      <c r="G64" s="42" t="s">
        <v>380</v>
      </c>
      <c r="H64" s="42" t="s">
        <v>276</v>
      </c>
      <c r="I64" s="42" t="s">
        <v>260</v>
      </c>
      <c r="J64" s="43" t="s">
        <v>381</v>
      </c>
      <c r="K64" s="42" t="s">
        <v>525</v>
      </c>
      <c r="L64" s="39" t="s">
        <v>379</v>
      </c>
      <c r="M64" s="36" t="s">
        <v>526</v>
      </c>
      <c r="N64" s="36" t="s">
        <v>380</v>
      </c>
    </row>
    <row r="65">
      <c r="A65" s="34">
        <f>ROW()-ROW(Table_Unchain_Conditions[N])</f>
        <v>12</v>
      </c>
      <c r="B65" s="34" t="s">
        <v>546</v>
      </c>
      <c r="C65" s="41" t="b">
        <v>1</v>
      </c>
      <c r="D65" s="36" t="s">
        <v>534</v>
      </c>
      <c r="E65" s="42" t="s">
        <v>424</v>
      </c>
      <c r="F65" s="39" t="s">
        <v>395</v>
      </c>
      <c r="G65" s="42" t="s">
        <v>380</v>
      </c>
      <c r="H65" s="42" t="s">
        <v>304</v>
      </c>
      <c r="I65" s="42" t="s">
        <v>260</v>
      </c>
      <c r="J65" s="43" t="s">
        <v>381</v>
      </c>
      <c r="K65" s="42" t="s">
        <v>525</v>
      </c>
      <c r="L65" s="39" t="s">
        <v>379</v>
      </c>
      <c r="M65" s="36" t="s">
        <v>526</v>
      </c>
      <c r="N65" s="36" t="s">
        <v>380</v>
      </c>
    </row>
    <row r="66">
      <c r="A66" s="34">
        <f>ROW()-ROW(Table_Unchain_Conditions[N])</f>
        <v>13</v>
      </c>
      <c r="B66" s="34" t="s">
        <v>547</v>
      </c>
      <c r="C66" s="41" t="b">
        <v>1</v>
      </c>
      <c r="D66" s="36" t="s">
        <v>534</v>
      </c>
      <c r="E66" s="42" t="s">
        <v>379</v>
      </c>
      <c r="F66" s="39" t="s">
        <v>394</v>
      </c>
      <c r="G66" s="42" t="s">
        <v>380</v>
      </c>
      <c r="H66" s="42" t="s">
        <v>276</v>
      </c>
      <c r="I66" s="42" t="s">
        <v>260</v>
      </c>
      <c r="J66" s="43" t="s">
        <v>381</v>
      </c>
      <c r="K66" s="42" t="s">
        <v>525</v>
      </c>
      <c r="L66" s="39" t="s">
        <v>379</v>
      </c>
      <c r="M66" s="36" t="s">
        <v>526</v>
      </c>
      <c r="N66" s="36" t="s">
        <v>380</v>
      </c>
    </row>
    <row r="67">
      <c r="A67" s="34">
        <f>ROW()-ROW(Table_Unchain_Conditions[N])</f>
        <v>14</v>
      </c>
      <c r="B67" s="34" t="s">
        <v>548</v>
      </c>
      <c r="C67" s="41" t="b">
        <v>1</v>
      </c>
      <c r="D67" s="36" t="s">
        <v>538</v>
      </c>
      <c r="E67" s="42" t="s">
        <v>379</v>
      </c>
      <c r="F67" s="39" t="s">
        <v>394</v>
      </c>
      <c r="G67" s="42" t="s">
        <v>380</v>
      </c>
      <c r="H67" s="42" t="s">
        <v>280</v>
      </c>
      <c r="I67" s="42" t="s">
        <v>260</v>
      </c>
      <c r="J67" s="43" t="s">
        <v>381</v>
      </c>
      <c r="K67" s="42" t="s">
        <v>525</v>
      </c>
      <c r="L67" s="39" t="s">
        <v>379</v>
      </c>
      <c r="M67" s="36" t="s">
        <v>526</v>
      </c>
      <c r="N67" s="36" t="s">
        <v>380</v>
      </c>
    </row>
    <row r="68">
      <c r="A68" s="34">
        <f>ROW()-ROW(Table_Unchain_Conditions[N])</f>
        <v>15</v>
      </c>
      <c r="B68" s="34" t="s">
        <v>549</v>
      </c>
      <c r="C68" s="41" t="b">
        <v>1</v>
      </c>
      <c r="D68" s="36" t="s">
        <v>538</v>
      </c>
      <c r="E68" s="42" t="s">
        <v>424</v>
      </c>
      <c r="F68" s="39" t="s">
        <v>394</v>
      </c>
      <c r="G68" s="42" t="s">
        <v>380</v>
      </c>
      <c r="H68" s="42" t="s">
        <v>304</v>
      </c>
      <c r="I68" s="42" t="s">
        <v>260</v>
      </c>
      <c r="J68" s="43" t="s">
        <v>381</v>
      </c>
      <c r="K68" s="42" t="s">
        <v>525</v>
      </c>
      <c r="L68" s="39" t="s">
        <v>379</v>
      </c>
      <c r="M68" s="36" t="s">
        <v>526</v>
      </c>
      <c r="N68" s="36" t="s">
        <v>380</v>
      </c>
    </row>
    <row r="69">
      <c r="A69" s="34">
        <f>ROW()-ROW(Table_Unchain_Conditions[N])</f>
        <v>16</v>
      </c>
      <c r="B69" s="34" t="s">
        <v>550</v>
      </c>
      <c r="C69" s="41" t="b">
        <v>0</v>
      </c>
      <c r="D69" s="36" t="s">
        <v>528</v>
      </c>
      <c r="E69" s="42" t="s">
        <v>403</v>
      </c>
      <c r="F69" s="39" t="s">
        <v>403</v>
      </c>
      <c r="G69" s="42" t="s">
        <v>380</v>
      </c>
      <c r="H69" s="42" t="s">
        <v>32</v>
      </c>
      <c r="I69" s="42" t="s">
        <v>260</v>
      </c>
      <c r="J69" s="43" t="s">
        <v>381</v>
      </c>
      <c r="K69" s="42" t="s">
        <v>551</v>
      </c>
      <c r="L69" s="39" t="s">
        <v>379</v>
      </c>
      <c r="M69" s="36" t="s">
        <v>526</v>
      </c>
      <c r="N69" s="36" t="s">
        <v>380</v>
      </c>
    </row>
    <row r="70">
      <c r="A70" s="34">
        <f>ROW()-ROW(Table_Unchain_Conditions[N])</f>
        <v>17</v>
      </c>
      <c r="B70" s="44" t="s">
        <v>552</v>
      </c>
      <c r="C70" s="45" t="b">
        <v>0</v>
      </c>
      <c r="D70" s="42" t="s">
        <v>541</v>
      </c>
      <c r="E70" s="42" t="s">
        <v>379</v>
      </c>
      <c r="F70" s="39" t="s">
        <v>424</v>
      </c>
      <c r="G70" s="42" t="s">
        <v>380</v>
      </c>
      <c r="H70" s="42" t="s">
        <v>304</v>
      </c>
      <c r="I70" s="42" t="s">
        <v>260</v>
      </c>
      <c r="J70" s="43" t="s">
        <v>381</v>
      </c>
      <c r="K70" s="42" t="s">
        <v>525</v>
      </c>
      <c r="L70" s="39" t="s">
        <v>379</v>
      </c>
      <c r="M70" s="36" t="s">
        <v>526</v>
      </c>
      <c r="N70" s="36" t="s">
        <v>380</v>
      </c>
    </row>
    <row r="71">
      <c r="A71" s="34">
        <f>ROW()-ROW(Table_Unchain_Conditions[N])</f>
        <v>18</v>
      </c>
      <c r="B71" s="44" t="s">
        <v>553</v>
      </c>
      <c r="C71" s="45" t="b">
        <v>0</v>
      </c>
      <c r="D71" s="42" t="s">
        <v>543</v>
      </c>
      <c r="E71" s="42" t="s">
        <v>424</v>
      </c>
      <c r="F71" s="39" t="s">
        <v>424</v>
      </c>
      <c r="G71" s="42" t="s">
        <v>380</v>
      </c>
      <c r="H71" s="42" t="s">
        <v>304</v>
      </c>
      <c r="I71" s="42" t="s">
        <v>260</v>
      </c>
      <c r="J71" s="43" t="s">
        <v>13</v>
      </c>
      <c r="K71" s="42" t="s">
        <v>525</v>
      </c>
      <c r="L71" s="39" t="s">
        <v>379</v>
      </c>
      <c r="M71" s="36" t="s">
        <v>526</v>
      </c>
      <c r="N71" s="36" t="s">
        <v>380</v>
      </c>
    </row>
    <row r="72">
      <c r="A72" s="34">
        <f>ROW()-ROW(Table_Unchain_Conditions[N])</f>
        <v>19</v>
      </c>
      <c r="B72" s="44" t="s">
        <v>554</v>
      </c>
      <c r="C72" s="45" t="b">
        <v>1</v>
      </c>
      <c r="D72" s="42" t="s">
        <v>555</v>
      </c>
      <c r="E72" s="42" t="s">
        <v>379</v>
      </c>
      <c r="F72" s="39" t="s">
        <v>436</v>
      </c>
      <c r="G72" s="42" t="s">
        <v>380</v>
      </c>
      <c r="H72" s="42" t="s">
        <v>32</v>
      </c>
      <c r="I72" s="42" t="s">
        <v>260</v>
      </c>
      <c r="J72" s="43" t="s">
        <v>381</v>
      </c>
      <c r="K72" s="42" t="s">
        <v>525</v>
      </c>
      <c r="L72" s="39" t="s">
        <v>379</v>
      </c>
      <c r="M72" s="36" t="s">
        <v>556</v>
      </c>
      <c r="N72" s="36" t="s">
        <v>380</v>
      </c>
    </row>
    <row r="73">
      <c r="A73" s="34">
        <f>ROW()-ROW(Table_Unchain_Conditions[N])</f>
        <v>20</v>
      </c>
      <c r="B73" s="44" t="s">
        <v>557</v>
      </c>
      <c r="C73" s="45" t="b">
        <v>1</v>
      </c>
      <c r="D73" s="42" t="s">
        <v>523</v>
      </c>
      <c r="E73" s="42" t="s">
        <v>379</v>
      </c>
      <c r="F73" s="39" t="s">
        <v>436</v>
      </c>
      <c r="G73" s="42" t="s">
        <v>380</v>
      </c>
      <c r="H73" s="42" t="s">
        <v>32</v>
      </c>
      <c r="I73" s="42" t="s">
        <v>260</v>
      </c>
      <c r="J73" s="43" t="s">
        <v>381</v>
      </c>
      <c r="K73" s="42" t="s">
        <v>525</v>
      </c>
      <c r="L73" s="39" t="s">
        <v>558</v>
      </c>
      <c r="M73" s="36" t="s">
        <v>526</v>
      </c>
      <c r="N73" s="36" t="s">
        <v>380</v>
      </c>
    </row>
    <row r="74">
      <c r="A74" s="34">
        <f>ROW()-ROW(Table_Unchain_Conditions[N])</f>
        <v>21</v>
      </c>
      <c r="B74" s="44" t="s">
        <v>559</v>
      </c>
      <c r="C74" s="45" t="b">
        <v>0</v>
      </c>
      <c r="D74" s="46" t="s">
        <v>534</v>
      </c>
      <c r="E74" s="42" t="s">
        <v>379</v>
      </c>
      <c r="F74" s="39" t="s">
        <v>379</v>
      </c>
      <c r="G74" s="42" t="s">
        <v>445</v>
      </c>
      <c r="H74" s="42" t="s">
        <v>286</v>
      </c>
      <c r="I74" s="46" t="s">
        <v>260</v>
      </c>
      <c r="J74" s="47" t="s">
        <v>381</v>
      </c>
      <c r="K74" s="46" t="s">
        <v>525</v>
      </c>
      <c r="L74" s="48" t="s">
        <v>379</v>
      </c>
      <c r="M74" s="46" t="s">
        <v>526</v>
      </c>
      <c r="N74" s="46" t="s">
        <v>380</v>
      </c>
    </row>
    <row r="75">
      <c r="A75" s="34">
        <f>ROW()-ROW(Table_Unchain_Conditions[N])</f>
        <v>22</v>
      </c>
      <c r="B75" s="44" t="s">
        <v>560</v>
      </c>
      <c r="C75" s="45" t="b">
        <v>0</v>
      </c>
      <c r="D75" s="42" t="s">
        <v>534</v>
      </c>
      <c r="E75" s="42" t="s">
        <v>379</v>
      </c>
      <c r="F75" s="39" t="s">
        <v>379</v>
      </c>
      <c r="G75" s="42" t="s">
        <v>445</v>
      </c>
      <c r="H75" s="42" t="s">
        <v>318</v>
      </c>
      <c r="I75" s="42" t="s">
        <v>260</v>
      </c>
      <c r="J75" s="43" t="s">
        <v>381</v>
      </c>
      <c r="K75" s="42" t="s">
        <v>525</v>
      </c>
      <c r="L75" s="39" t="s">
        <v>379</v>
      </c>
      <c r="M75" s="42" t="s">
        <v>526</v>
      </c>
      <c r="N75" s="42" t="s">
        <v>380</v>
      </c>
    </row>
    <row r="76">
      <c r="A76" s="34">
        <f>ROW()-ROW(Table_Unchain_Conditions[N])</f>
        <v>23</v>
      </c>
      <c r="B76" s="44" t="s">
        <v>561</v>
      </c>
      <c r="C76" s="45" t="b">
        <v>0</v>
      </c>
      <c r="D76" s="42" t="s">
        <v>534</v>
      </c>
      <c r="E76" s="42" t="s">
        <v>379</v>
      </c>
      <c r="F76" s="39" t="s">
        <v>379</v>
      </c>
      <c r="G76" s="42" t="s">
        <v>445</v>
      </c>
      <c r="H76" s="42" t="s">
        <v>334</v>
      </c>
      <c r="I76" s="42" t="s">
        <v>260</v>
      </c>
      <c r="J76" s="43" t="s">
        <v>381</v>
      </c>
      <c r="K76" s="42" t="s">
        <v>525</v>
      </c>
      <c r="L76" s="39" t="s">
        <v>379</v>
      </c>
      <c r="M76" s="42" t="s">
        <v>526</v>
      </c>
      <c r="N76" s="42" t="s">
        <v>380</v>
      </c>
    </row>
    <row r="77">
      <c r="A77" s="44">
        <f>ROW()-ROW(Table_Unchain_Conditions[N])</f>
        <v>24</v>
      </c>
      <c r="B77" s="44" t="s">
        <v>562</v>
      </c>
      <c r="C77" s="45" t="b">
        <v>0</v>
      </c>
      <c r="D77" s="42" t="s">
        <v>534</v>
      </c>
      <c r="E77" s="42" t="s">
        <v>379</v>
      </c>
      <c r="F77" s="39" t="s">
        <v>379</v>
      </c>
      <c r="G77" s="42" t="s">
        <v>448</v>
      </c>
      <c r="H77" s="42" t="s">
        <v>341</v>
      </c>
      <c r="I77" s="42" t="s">
        <v>260</v>
      </c>
      <c r="J77" s="43" t="s">
        <v>381</v>
      </c>
      <c r="K77" s="42" t="s">
        <v>525</v>
      </c>
      <c r="L77" s="39" t="s">
        <v>379</v>
      </c>
      <c r="M77" s="42" t="s">
        <v>526</v>
      </c>
      <c r="N77" s="42" t="s">
        <v>380</v>
      </c>
    </row>
    <row r="78">
      <c r="A78" s="44">
        <f>ROW()-ROW(Table_Unchain_Conditions[N])</f>
        <v>25</v>
      </c>
      <c r="B78" s="44" t="s">
        <v>563</v>
      </c>
      <c r="C78" s="45" t="b">
        <v>0</v>
      </c>
      <c r="D78" s="42" t="s">
        <v>528</v>
      </c>
      <c r="E78" s="42" t="s">
        <v>457</v>
      </c>
      <c r="F78" s="39" t="s">
        <v>457</v>
      </c>
      <c r="G78" s="42" t="s">
        <v>380</v>
      </c>
      <c r="H78" s="42" t="s">
        <v>32</v>
      </c>
      <c r="I78" s="42" t="s">
        <v>260</v>
      </c>
      <c r="J78" s="43" t="s">
        <v>381</v>
      </c>
      <c r="K78" s="42" t="s">
        <v>564</v>
      </c>
      <c r="L78" s="39" t="s">
        <v>379</v>
      </c>
      <c r="M78" s="42" t="s">
        <v>526</v>
      </c>
      <c r="N78" s="42" t="s">
        <v>380</v>
      </c>
    </row>
    <row r="79">
      <c r="A79" s="44">
        <f>ROW()-ROW(Table_Unchain_Conditions[N])</f>
        <v>26</v>
      </c>
      <c r="B79" s="44" t="s">
        <v>565</v>
      </c>
      <c r="C79" s="45" t="b">
        <v>0</v>
      </c>
      <c r="D79" s="42" t="s">
        <v>541</v>
      </c>
      <c r="E79" s="42" t="s">
        <v>379</v>
      </c>
      <c r="F79" s="39" t="s">
        <v>450</v>
      </c>
      <c r="G79" s="42" t="s">
        <v>380</v>
      </c>
      <c r="H79" s="42" t="s">
        <v>327</v>
      </c>
      <c r="I79" s="42" t="s">
        <v>260</v>
      </c>
      <c r="J79" s="43" t="s">
        <v>381</v>
      </c>
      <c r="K79" s="42" t="s">
        <v>525</v>
      </c>
      <c r="L79" s="39" t="s">
        <v>379</v>
      </c>
      <c r="M79" s="42" t="s">
        <v>526</v>
      </c>
      <c r="N79" s="42" t="s">
        <v>380</v>
      </c>
    </row>
    <row r="80">
      <c r="A80" s="44">
        <f>ROW()-ROW(Table_Unchain_Conditions[N])</f>
        <v>27</v>
      </c>
      <c r="B80" s="44" t="s">
        <v>566</v>
      </c>
      <c r="C80" s="45" t="b">
        <v>0</v>
      </c>
      <c r="D80" s="42" t="s">
        <v>543</v>
      </c>
      <c r="E80" s="42" t="s">
        <v>450</v>
      </c>
      <c r="F80" s="39" t="s">
        <v>450</v>
      </c>
      <c r="G80" s="42" t="s">
        <v>380</v>
      </c>
      <c r="H80" s="42" t="s">
        <v>327</v>
      </c>
      <c r="I80" s="42" t="s">
        <v>260</v>
      </c>
      <c r="J80" s="43" t="s">
        <v>13</v>
      </c>
      <c r="K80" s="42" t="s">
        <v>525</v>
      </c>
      <c r="L80" s="39" t="s">
        <v>379</v>
      </c>
      <c r="M80" s="42" t="s">
        <v>526</v>
      </c>
      <c r="N80" s="42" t="s">
        <v>380</v>
      </c>
    </row>
    <row r="81">
      <c r="A81" s="44">
        <f>ROW()-ROW(Table_Unchain_Conditions[N])</f>
        <v>28</v>
      </c>
      <c r="B81" s="44" t="s">
        <v>567</v>
      </c>
      <c r="C81" s="45" t="b">
        <v>0</v>
      </c>
      <c r="D81" s="42" t="s">
        <v>534</v>
      </c>
      <c r="E81" s="42" t="s">
        <v>379</v>
      </c>
      <c r="F81" s="39" t="s">
        <v>457</v>
      </c>
      <c r="G81" s="42" t="s">
        <v>448</v>
      </c>
      <c r="H81" s="42" t="s">
        <v>344</v>
      </c>
      <c r="I81" s="42" t="s">
        <v>260</v>
      </c>
      <c r="J81" s="43" t="s">
        <v>381</v>
      </c>
      <c r="K81" s="42" t="s">
        <v>525</v>
      </c>
      <c r="L81" s="39" t="s">
        <v>379</v>
      </c>
      <c r="M81" s="42" t="s">
        <v>526</v>
      </c>
      <c r="N81" s="42" t="s">
        <v>380</v>
      </c>
    </row>
    <row r="82">
      <c r="A82" s="44">
        <f>ROW()-ROW(Table_Unchain_Conditions[N])</f>
        <v>29</v>
      </c>
      <c r="B82" s="44" t="s">
        <v>568</v>
      </c>
      <c r="C82" s="45" t="b">
        <v>0</v>
      </c>
      <c r="D82" s="42" t="s">
        <v>528</v>
      </c>
      <c r="E82" s="42" t="s">
        <v>467</v>
      </c>
      <c r="F82" s="39" t="s">
        <v>467</v>
      </c>
      <c r="G82" s="42" t="s">
        <v>380</v>
      </c>
      <c r="H82" s="42" t="s">
        <v>32</v>
      </c>
      <c r="I82" s="42" t="s">
        <v>260</v>
      </c>
      <c r="J82" s="43" t="s">
        <v>381</v>
      </c>
      <c r="K82" s="42" t="s">
        <v>569</v>
      </c>
      <c r="L82" s="39" t="s">
        <v>379</v>
      </c>
      <c r="M82" s="42" t="s">
        <v>526</v>
      </c>
      <c r="N82" s="42" t="s">
        <v>380</v>
      </c>
    </row>
    <row r="83">
      <c r="A83" s="44">
        <f>ROW()-ROW(Table_Unchain_Conditions[N])</f>
        <v>30</v>
      </c>
      <c r="B83" s="44" t="s">
        <v>570</v>
      </c>
      <c r="C83" s="45" t="b">
        <v>0</v>
      </c>
      <c r="D83" s="42" t="s">
        <v>534</v>
      </c>
      <c r="E83" s="42" t="s">
        <v>379</v>
      </c>
      <c r="F83" s="39" t="s">
        <v>571</v>
      </c>
      <c r="G83" s="42" t="s">
        <v>445</v>
      </c>
      <c r="H83" s="42" t="s">
        <v>348</v>
      </c>
      <c r="I83" s="42" t="s">
        <v>260</v>
      </c>
      <c r="J83" s="43" t="s">
        <v>381</v>
      </c>
      <c r="K83" s="42" t="s">
        <v>525</v>
      </c>
      <c r="L83" s="39" t="s">
        <v>379</v>
      </c>
      <c r="M83" s="42" t="s">
        <v>526</v>
      </c>
      <c r="N83" s="42" t="s">
        <v>380</v>
      </c>
    </row>
    <row r="84">
      <c r="A84" s="44">
        <f>ROW()-ROW(Table_Unchain_Conditions[N])</f>
        <v>31</v>
      </c>
      <c r="B84" s="44" t="s">
        <v>572</v>
      </c>
      <c r="C84" s="45" t="b">
        <v>0</v>
      </c>
      <c r="D84" s="42" t="s">
        <v>538</v>
      </c>
      <c r="E84" s="42" t="s">
        <v>379</v>
      </c>
      <c r="F84" s="39" t="s">
        <v>472</v>
      </c>
      <c r="G84" s="42" t="s">
        <v>445</v>
      </c>
      <c r="H84" s="42" t="s">
        <v>348</v>
      </c>
      <c r="I84" s="42" t="s">
        <v>260</v>
      </c>
      <c r="J84" s="43" t="s">
        <v>381</v>
      </c>
      <c r="K84" s="42" t="s">
        <v>525</v>
      </c>
      <c r="L84" s="39" t="s">
        <v>379</v>
      </c>
      <c r="M84" s="42" t="s">
        <v>526</v>
      </c>
      <c r="N84" s="42" t="s">
        <v>380</v>
      </c>
    </row>
    <row r="85">
      <c r="A85" s="44">
        <f>ROW()-ROW(Table_Unchain_Conditions[N])</f>
        <v>32</v>
      </c>
      <c r="B85" s="44" t="s">
        <v>573</v>
      </c>
      <c r="C85" s="45" t="b">
        <v>1</v>
      </c>
      <c r="D85" s="42" t="s">
        <v>523</v>
      </c>
      <c r="E85" s="42" t="s">
        <v>574</v>
      </c>
      <c r="F85" s="39" t="s">
        <v>575</v>
      </c>
      <c r="G85" s="42" t="s">
        <v>380</v>
      </c>
      <c r="H85" s="42" t="s">
        <v>32</v>
      </c>
      <c r="I85" s="42" t="s">
        <v>260</v>
      </c>
      <c r="J85" s="43" t="s">
        <v>381</v>
      </c>
      <c r="K85" s="42" t="s">
        <v>525</v>
      </c>
      <c r="L85" s="39" t="s">
        <v>576</v>
      </c>
      <c r="M85" s="42" t="s">
        <v>526</v>
      </c>
      <c r="N85" s="42" t="s">
        <v>380</v>
      </c>
    </row>
    <row r="86">
      <c r="A86" s="44">
        <f>ROW()-ROW(Table_Unchain_Conditions[N])</f>
        <v>33</v>
      </c>
      <c r="B86" s="44" t="s">
        <v>577</v>
      </c>
      <c r="C86" s="45" t="b">
        <v>0</v>
      </c>
      <c r="D86" s="42" t="s">
        <v>541</v>
      </c>
      <c r="E86" s="42" t="s">
        <v>379</v>
      </c>
      <c r="F86" s="39" t="s">
        <v>496</v>
      </c>
      <c r="G86" s="42" t="s">
        <v>380</v>
      </c>
      <c r="H86" s="42" t="s">
        <v>360</v>
      </c>
      <c r="I86" s="42" t="s">
        <v>260</v>
      </c>
      <c r="J86" s="43" t="s">
        <v>381</v>
      </c>
      <c r="K86" s="42" t="s">
        <v>525</v>
      </c>
      <c r="L86" s="39" t="s">
        <v>379</v>
      </c>
      <c r="M86" s="42" t="s">
        <v>526</v>
      </c>
      <c r="N86" s="42" t="s">
        <v>380</v>
      </c>
    </row>
    <row r="87">
      <c r="A87" s="44">
        <f>ROW()-ROW(Table_Unchain_Conditions[N])</f>
        <v>34</v>
      </c>
      <c r="B87" s="44" t="s">
        <v>578</v>
      </c>
      <c r="C87" s="45" t="b">
        <v>0</v>
      </c>
      <c r="D87" s="42" t="s">
        <v>543</v>
      </c>
      <c r="E87" s="42" t="s">
        <v>496</v>
      </c>
      <c r="F87" s="39" t="s">
        <v>496</v>
      </c>
      <c r="G87" s="42" t="s">
        <v>380</v>
      </c>
      <c r="H87" s="42" t="s">
        <v>360</v>
      </c>
      <c r="I87" s="42" t="s">
        <v>260</v>
      </c>
      <c r="J87" s="43" t="s">
        <v>13</v>
      </c>
      <c r="K87" s="42" t="s">
        <v>525</v>
      </c>
      <c r="L87" s="39" t="s">
        <v>379</v>
      </c>
      <c r="M87" s="42" t="s">
        <v>526</v>
      </c>
      <c r="N87" s="42" t="s">
        <v>380</v>
      </c>
    </row>
    <row r="88">
      <c r="A88" s="44">
        <f>ROW()-ROW(Table_Unchain_Conditions[N])</f>
        <v>35</v>
      </c>
      <c r="B88" s="44" t="s">
        <v>579</v>
      </c>
      <c r="C88" s="45" t="b">
        <v>0</v>
      </c>
      <c r="D88" s="42" t="s">
        <v>541</v>
      </c>
      <c r="E88" s="42" t="s">
        <v>379</v>
      </c>
      <c r="F88" s="39" t="s">
        <v>503</v>
      </c>
      <c r="G88" s="42" t="s">
        <v>380</v>
      </c>
      <c r="H88" s="42" t="s">
        <v>355</v>
      </c>
      <c r="I88" s="42" t="s">
        <v>260</v>
      </c>
      <c r="J88" s="43" t="s">
        <v>381</v>
      </c>
      <c r="K88" s="42" t="s">
        <v>525</v>
      </c>
      <c r="L88" s="39" t="s">
        <v>379</v>
      </c>
      <c r="M88" s="42" t="s">
        <v>526</v>
      </c>
      <c r="N88" s="42" t="s">
        <v>380</v>
      </c>
    </row>
    <row r="89">
      <c r="A89" s="44">
        <f>ROW()-ROW(Table_Unchain_Conditions[N])</f>
        <v>36</v>
      </c>
      <c r="B89" s="44" t="s">
        <v>580</v>
      </c>
      <c r="C89" s="45" t="b">
        <v>0</v>
      </c>
      <c r="D89" s="42" t="s">
        <v>534</v>
      </c>
      <c r="E89" s="42" t="s">
        <v>379</v>
      </c>
      <c r="F89" s="39" t="s">
        <v>503</v>
      </c>
      <c r="G89" s="42" t="s">
        <v>380</v>
      </c>
      <c r="H89" s="42" t="s">
        <v>10</v>
      </c>
      <c r="I89" s="42" t="s">
        <v>260</v>
      </c>
      <c r="J89" s="43" t="s">
        <v>381</v>
      </c>
      <c r="K89" s="42" t="s">
        <v>525</v>
      </c>
      <c r="L89" s="39" t="s">
        <v>379</v>
      </c>
      <c r="M89" s="42" t="s">
        <v>526</v>
      </c>
      <c r="N89" s="42" t="s">
        <v>380</v>
      </c>
    </row>
    <row r="90">
      <c r="A90" s="44">
        <f>ROW()-ROW(Table_Unchain_Conditions[N])</f>
        <v>37</v>
      </c>
      <c r="B90" s="44" t="s">
        <v>581</v>
      </c>
      <c r="C90" s="45" t="b">
        <v>0</v>
      </c>
      <c r="D90" s="42" t="s">
        <v>523</v>
      </c>
      <c r="E90" s="42" t="s">
        <v>379</v>
      </c>
      <c r="F90" s="39" t="s">
        <v>379</v>
      </c>
      <c r="G90" s="42" t="s">
        <v>380</v>
      </c>
      <c r="H90" s="42" t="s">
        <v>32</v>
      </c>
      <c r="I90" s="42" t="s">
        <v>260</v>
      </c>
      <c r="J90" s="43" t="s">
        <v>381</v>
      </c>
      <c r="K90" s="42" t="s">
        <v>525</v>
      </c>
      <c r="L90" s="39" t="s">
        <v>379</v>
      </c>
      <c r="M90" s="42" t="s">
        <v>526</v>
      </c>
      <c r="N90" s="42" t="s">
        <v>380</v>
      </c>
    </row>
  </sheetData>
  <dataValidations>
    <dataValidation type="list" allowBlank="1" sqref="K2:K50">
      <formula1>#REF!</formula1>
    </dataValidation>
    <dataValidation type="list" allowBlank="1" sqref="I2:I50">
      <formula1>#REF!</formula1>
    </dataValidation>
    <dataValidation type="list" allowBlank="1" sqref="C2:C50">
      <formula1>#REF!</formula1>
    </dataValidation>
    <dataValidation type="list" allowBlank="1" sqref="L53:L90">
      <formula1>#REF!</formula1>
    </dataValidation>
    <dataValidation type="list" allowBlank="1" sqref="E53:E90">
      <formula1>#REF!</formula1>
    </dataValidation>
    <dataValidation type="list" allowBlank="1" sqref="F53:F90">
      <formula1>#REF!</formula1>
    </dataValidation>
    <dataValidation type="list" allowBlank="1" sqref="D2:H50 D53:D90 G53:K90 M53:N90">
      <formula1>#REF!</formula1>
    </dataValidation>
    <dataValidation type="list" allowBlank="1" sqref="J2:J50">
      <formula1>#REF!</formula1>
    </dataValidation>
  </dataValidations>
  <drawing r:id="rId1"/>
  <tableParts count="2">
    <tablePart r:id="rId4"/>
    <tablePart r:id="rId5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3C47D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6.71"/>
    <col customWidth="1" min="3" max="3" width="73.0"/>
    <col customWidth="1" min="4" max="4" width="26.0"/>
  </cols>
  <sheetData>
    <row r="1">
      <c r="A1" s="1" t="s">
        <v>47</v>
      </c>
      <c r="B1" s="1" t="s">
        <v>582</v>
      </c>
      <c r="C1" s="1" t="s">
        <v>583</v>
      </c>
    </row>
    <row r="2">
      <c r="A2" s="34">
        <f>ROW()-ROW(Table_sprites[N])</f>
        <v>0</v>
      </c>
      <c r="B2" s="34" t="s">
        <v>260</v>
      </c>
    </row>
    <row r="3">
      <c r="A3" s="34">
        <f>ROW()-ROW(Table_sprites[N])</f>
        <v>1</v>
      </c>
      <c r="B3" s="34" t="s">
        <v>278</v>
      </c>
      <c r="C3" s="34" t="s">
        <v>584</v>
      </c>
    </row>
    <row r="4">
      <c r="A4" s="34">
        <f>ROW()-ROW(Table_sprites[N])</f>
        <v>2</v>
      </c>
      <c r="B4" s="34" t="s">
        <v>585</v>
      </c>
      <c r="C4" s="34" t="s">
        <v>586</v>
      </c>
    </row>
    <row r="5">
      <c r="A5" s="34">
        <f>ROW()-ROW(Table_sprites[N])</f>
        <v>3</v>
      </c>
      <c r="B5" s="34" t="s">
        <v>587</v>
      </c>
      <c r="C5" s="34" t="s">
        <v>588</v>
      </c>
    </row>
    <row r="6">
      <c r="A6" s="34">
        <f>ROW()-ROW(Table_sprites[N])</f>
        <v>4</v>
      </c>
      <c r="B6" s="34" t="s">
        <v>589</v>
      </c>
      <c r="C6" s="34" t="s">
        <v>590</v>
      </c>
    </row>
    <row r="7">
      <c r="A7" s="34">
        <f>ROW()-ROW(Table_sprites[N])</f>
        <v>5</v>
      </c>
      <c r="B7" s="34" t="s">
        <v>591</v>
      </c>
      <c r="C7" s="34" t="s">
        <v>592</v>
      </c>
    </row>
    <row r="8">
      <c r="A8" s="34">
        <f>ROW()-ROW(Table_sprites[N])</f>
        <v>6</v>
      </c>
      <c r="B8" s="34" t="s">
        <v>593</v>
      </c>
      <c r="C8" s="34" t="s">
        <v>594</v>
      </c>
    </row>
    <row r="9">
      <c r="A9" s="34">
        <f>ROW()-ROW(Table_sprites[N])</f>
        <v>7</v>
      </c>
      <c r="B9" s="34" t="s">
        <v>595</v>
      </c>
      <c r="C9" s="34" t="s">
        <v>596</v>
      </c>
    </row>
    <row r="10">
      <c r="A10" s="34">
        <f>ROW()-ROW(Table_sprites[N])</f>
        <v>8</v>
      </c>
      <c r="B10" s="34" t="s">
        <v>597</v>
      </c>
      <c r="C10" s="34" t="s">
        <v>598</v>
      </c>
    </row>
    <row r="11">
      <c r="A11" s="34">
        <f>ROW()-ROW(Table_sprites[N])</f>
        <v>9</v>
      </c>
      <c r="B11" s="34" t="s">
        <v>599</v>
      </c>
      <c r="C11" s="34" t="s">
        <v>600</v>
      </c>
    </row>
    <row r="12">
      <c r="A12" s="34">
        <f>ROW()-ROW(Table_sprites[N])</f>
        <v>10</v>
      </c>
      <c r="B12" s="34" t="s">
        <v>601</v>
      </c>
      <c r="C12" s="34" t="s">
        <v>602</v>
      </c>
    </row>
    <row r="13">
      <c r="A13" s="34">
        <f>ROW()-ROW(Table_sprites[N])</f>
        <v>11</v>
      </c>
      <c r="B13" s="34" t="s">
        <v>603</v>
      </c>
      <c r="C13" s="34" t="s">
        <v>604</v>
      </c>
    </row>
    <row r="14">
      <c r="A14" s="34">
        <f>ROW()-ROW(Table_sprites[N])</f>
        <v>12</v>
      </c>
      <c r="B14" s="34" t="s">
        <v>269</v>
      </c>
      <c r="C14" s="34" t="s">
        <v>605</v>
      </c>
    </row>
    <row r="15">
      <c r="A15" s="34">
        <f>ROW()-ROW(Table_sprites[N])</f>
        <v>13</v>
      </c>
      <c r="B15" s="34" t="s">
        <v>532</v>
      </c>
      <c r="C15" s="34" t="s">
        <v>606</v>
      </c>
    </row>
    <row r="16">
      <c r="A16" s="34">
        <f>ROW()-ROW(Table_sprites[N])</f>
        <v>14</v>
      </c>
      <c r="B16" s="34" t="s">
        <v>273</v>
      </c>
      <c r="C16" s="34" t="s">
        <v>607</v>
      </c>
    </row>
    <row r="17">
      <c r="A17" s="34">
        <f>ROW()-ROW(Table_sprites[N])</f>
        <v>15</v>
      </c>
      <c r="B17" s="34" t="s">
        <v>274</v>
      </c>
      <c r="C17" s="34" t="s">
        <v>608</v>
      </c>
    </row>
    <row r="18">
      <c r="A18" s="34">
        <f>ROW()-ROW(Table_sprites[N])</f>
        <v>16</v>
      </c>
      <c r="B18" s="34" t="s">
        <v>609</v>
      </c>
      <c r="C18" s="34" t="s">
        <v>610</v>
      </c>
    </row>
    <row r="19">
      <c r="A19" s="34">
        <f>ROW()-ROW(Table_sprites[N])</f>
        <v>17</v>
      </c>
      <c r="B19" s="34" t="s">
        <v>281</v>
      </c>
      <c r="C19" s="34" t="s">
        <v>611</v>
      </c>
    </row>
    <row r="20">
      <c r="A20" s="34">
        <f>ROW()-ROW(Table_sprites[N])</f>
        <v>18</v>
      </c>
      <c r="B20" s="34" t="s">
        <v>612</v>
      </c>
      <c r="C20" s="34" t="s">
        <v>613</v>
      </c>
    </row>
    <row r="21">
      <c r="A21" s="34">
        <f>ROW()-ROW(Table_sprites[N])</f>
        <v>19</v>
      </c>
      <c r="B21" s="34" t="s">
        <v>289</v>
      </c>
      <c r="C21" s="34" t="s">
        <v>614</v>
      </c>
    </row>
    <row r="22">
      <c r="A22" s="34">
        <f>ROW()-ROW(Table_sprites[N])</f>
        <v>20</v>
      </c>
      <c r="B22" s="34" t="s">
        <v>615</v>
      </c>
      <c r="C22" s="34" t="s">
        <v>616</v>
      </c>
    </row>
    <row r="23">
      <c r="A23" s="34">
        <f>ROW()-ROW(Table_sprites[N])</f>
        <v>21</v>
      </c>
      <c r="B23" s="34" t="s">
        <v>617</v>
      </c>
      <c r="C23" s="34" t="s">
        <v>618</v>
      </c>
    </row>
    <row r="24">
      <c r="A24" s="34">
        <f>ROW()-ROW(Table_sprites[N])</f>
        <v>22</v>
      </c>
      <c r="B24" s="34" t="s">
        <v>619</v>
      </c>
      <c r="C24" s="34" t="s">
        <v>620</v>
      </c>
    </row>
    <row r="25">
      <c r="A25" s="34">
        <f>ROW()-ROW(Table_sprites[N])</f>
        <v>23</v>
      </c>
      <c r="B25" s="34" t="s">
        <v>306</v>
      </c>
      <c r="C25" s="34" t="s">
        <v>621</v>
      </c>
    </row>
    <row r="26">
      <c r="A26" s="34">
        <f>ROW()-ROW(Table_sprites[N])</f>
        <v>24</v>
      </c>
      <c r="B26" s="34" t="s">
        <v>622</v>
      </c>
      <c r="C26" s="34" t="s">
        <v>623</v>
      </c>
    </row>
    <row r="27">
      <c r="A27" s="34">
        <f>ROW()-ROW(Table_sprites[N])</f>
        <v>25</v>
      </c>
      <c r="B27" s="34" t="s">
        <v>624</v>
      </c>
      <c r="C27" s="34" t="s">
        <v>625</v>
      </c>
    </row>
    <row r="28">
      <c r="A28" s="34">
        <f>ROW()-ROW(Table_sprites[N])</f>
        <v>26</v>
      </c>
      <c r="B28" s="34" t="s">
        <v>626</v>
      </c>
      <c r="C28" s="34" t="s">
        <v>627</v>
      </c>
    </row>
    <row r="29">
      <c r="A29" s="34">
        <f>ROW()-ROW(Table_sprites[N])</f>
        <v>27</v>
      </c>
      <c r="B29" s="34" t="s">
        <v>628</v>
      </c>
      <c r="C29" s="34" t="s">
        <v>629</v>
      </c>
    </row>
    <row r="30">
      <c r="A30" s="34">
        <f>ROW()-ROW(Table_sprites[N])</f>
        <v>28</v>
      </c>
      <c r="B30" s="34" t="s">
        <v>630</v>
      </c>
      <c r="C30" s="34" t="s">
        <v>631</v>
      </c>
    </row>
    <row r="31">
      <c r="A31" s="34">
        <f>ROW()-ROW(Table_sprites[N])</f>
        <v>29</v>
      </c>
      <c r="B31" s="34" t="s">
        <v>632</v>
      </c>
      <c r="C31" s="34" t="s">
        <v>633</v>
      </c>
    </row>
    <row r="32">
      <c r="A32" s="34">
        <f>ROW()-ROW(Table_sprites[N])</f>
        <v>30</v>
      </c>
      <c r="B32" s="34" t="s">
        <v>634</v>
      </c>
      <c r="C32" s="34" t="s">
        <v>635</v>
      </c>
    </row>
    <row r="33">
      <c r="A33" s="34">
        <f>ROW()-ROW(Table_sprites[N])</f>
        <v>31</v>
      </c>
      <c r="B33" s="34" t="s">
        <v>636</v>
      </c>
      <c r="C33" s="34" t="s">
        <v>637</v>
      </c>
    </row>
    <row r="34">
      <c r="A34" s="34">
        <f>ROW()-ROW(Table_sprites[N])</f>
        <v>32</v>
      </c>
      <c r="B34" s="34" t="s">
        <v>322</v>
      </c>
      <c r="C34" s="34" t="s">
        <v>638</v>
      </c>
    </row>
    <row r="35">
      <c r="A35" s="34">
        <f>ROW()-ROW(Table_sprites[N])</f>
        <v>33</v>
      </c>
      <c r="B35" s="34" t="s">
        <v>325</v>
      </c>
      <c r="C35" s="34" t="s">
        <v>639</v>
      </c>
    </row>
    <row r="36">
      <c r="A36" s="34">
        <f>ROW()-ROW(Table_sprites[N])</f>
        <v>34</v>
      </c>
      <c r="B36" s="34" t="s">
        <v>640</v>
      </c>
      <c r="C36" s="34" t="s">
        <v>641</v>
      </c>
    </row>
    <row r="37">
      <c r="A37" s="34">
        <f>ROW()-ROW(Table_sprites[N])</f>
        <v>35</v>
      </c>
      <c r="B37" s="34" t="s">
        <v>642</v>
      </c>
      <c r="C37" s="34" t="s">
        <v>643</v>
      </c>
    </row>
    <row r="38">
      <c r="A38" s="34">
        <f>ROW()-ROW(Table_sprites[N])</f>
        <v>36</v>
      </c>
      <c r="B38" s="34" t="s">
        <v>329</v>
      </c>
      <c r="C38" s="34" t="s">
        <v>644</v>
      </c>
    </row>
    <row r="39">
      <c r="A39" s="34">
        <f>ROW()-ROW(Table_sprites[N])</f>
        <v>37</v>
      </c>
      <c r="B39" s="34" t="s">
        <v>330</v>
      </c>
      <c r="C39" s="34" t="s">
        <v>645</v>
      </c>
    </row>
    <row r="40">
      <c r="A40" s="34">
        <f>ROW()-ROW(Table_sprites[N])</f>
        <v>38</v>
      </c>
      <c r="B40" s="34" t="s">
        <v>336</v>
      </c>
      <c r="C40" s="34" t="s">
        <v>646</v>
      </c>
    </row>
    <row r="41">
      <c r="A41" s="34">
        <f>ROW()-ROW(Table_sprites[N])</f>
        <v>39</v>
      </c>
      <c r="B41" s="34" t="s">
        <v>647</v>
      </c>
      <c r="C41" s="34" t="s">
        <v>648</v>
      </c>
    </row>
    <row r="42">
      <c r="A42" s="34">
        <f>ROW()-ROW(Table_sprites[N])</f>
        <v>40</v>
      </c>
      <c r="B42" s="34" t="s">
        <v>346</v>
      </c>
      <c r="C42" s="34" t="s">
        <v>649</v>
      </c>
    </row>
    <row r="43">
      <c r="A43" s="34">
        <f>ROW()-ROW(Table_sprites[N])</f>
        <v>41</v>
      </c>
      <c r="B43" s="34" t="s">
        <v>43</v>
      </c>
      <c r="C43" s="34" t="s">
        <v>620</v>
      </c>
    </row>
    <row r="44">
      <c r="A44" s="34">
        <f>ROW()-ROW(Table_sprites[N])</f>
        <v>42</v>
      </c>
      <c r="B44" s="34" t="s">
        <v>350</v>
      </c>
      <c r="C44" s="34" t="s">
        <v>650</v>
      </c>
    </row>
    <row r="45">
      <c r="A45" s="34">
        <f>ROW()-ROW(Table_sprites[N])</f>
        <v>43</v>
      </c>
      <c r="B45" s="34" t="s">
        <v>19</v>
      </c>
      <c r="C45" s="34" t="s">
        <v>651</v>
      </c>
    </row>
    <row r="46">
      <c r="A46" s="34">
        <f>ROW()-ROW(Table_sprites[N])</f>
        <v>44</v>
      </c>
      <c r="B46" s="34" t="s">
        <v>20</v>
      </c>
      <c r="C46" s="34" t="s">
        <v>652</v>
      </c>
    </row>
    <row r="47">
      <c r="A47" s="34">
        <f>ROW()-ROW(Table_sprites[N])</f>
        <v>45</v>
      </c>
      <c r="B47" s="34" t="s">
        <v>362</v>
      </c>
      <c r="C47" s="34" t="s">
        <v>653</v>
      </c>
    </row>
    <row r="48">
      <c r="A48" s="34">
        <f>ROW()-ROW(Table_sprites[N])</f>
        <v>46</v>
      </c>
      <c r="B48" s="34" t="s">
        <v>363</v>
      </c>
      <c r="C48" s="34" t="s">
        <v>654</v>
      </c>
    </row>
    <row r="49">
      <c r="A49" s="34">
        <f>ROW()-ROW(Table_sprites[N])</f>
        <v>47</v>
      </c>
      <c r="B49" s="34" t="s">
        <v>12</v>
      </c>
      <c r="C49" s="34" t="s">
        <v>655</v>
      </c>
    </row>
    <row r="50">
      <c r="A50" s="34">
        <f>ROW()-ROW(Table_sprites[N])</f>
        <v>48</v>
      </c>
      <c r="B50" s="34" t="s">
        <v>368</v>
      </c>
      <c r="C50" s="34" t="s">
        <v>368</v>
      </c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FF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7.43"/>
    <col customWidth="1" min="3" max="3" width="43.71"/>
    <col customWidth="1" min="4" max="4" width="46.71"/>
    <col customWidth="1" min="5" max="5" width="38.71"/>
    <col customWidth="1" min="6" max="6" width="40.86"/>
    <col customWidth="1" min="7" max="7" width="18.14"/>
    <col customWidth="1" min="8" max="8" width="52.86"/>
    <col customWidth="1" min="9" max="10" width="32.57"/>
  </cols>
  <sheetData>
    <row r="1">
      <c r="A1" s="1" t="s">
        <v>47</v>
      </c>
      <c r="B1" s="1" t="s">
        <v>656</v>
      </c>
      <c r="C1" s="27" t="s">
        <v>23</v>
      </c>
      <c r="D1" s="27" t="s">
        <v>657</v>
      </c>
    </row>
    <row r="2">
      <c r="A2" s="34">
        <f>ROW()-ROW(Table_Dialogs[N])</f>
        <v>0</v>
      </c>
      <c r="B2" s="34" t="s">
        <v>384</v>
      </c>
      <c r="C2" s="39" t="s">
        <v>32</v>
      </c>
      <c r="D2" s="37" t="s">
        <v>658</v>
      </c>
    </row>
    <row r="3">
      <c r="A3" s="34">
        <f>ROW()-ROW(Table_Dialogs[N])</f>
        <v>1</v>
      </c>
      <c r="B3" s="34" t="s">
        <v>401</v>
      </c>
      <c r="C3" s="39" t="s">
        <v>32</v>
      </c>
      <c r="D3" s="37" t="s">
        <v>659</v>
      </c>
    </row>
    <row r="4">
      <c r="A4" s="34">
        <f>ROW()-ROW(Table_Dialogs[N])</f>
        <v>2</v>
      </c>
      <c r="B4" s="34" t="s">
        <v>398</v>
      </c>
      <c r="C4" s="39" t="s">
        <v>32</v>
      </c>
      <c r="D4" s="39" t="s">
        <v>660</v>
      </c>
    </row>
    <row r="5">
      <c r="A5" s="34">
        <f>ROW()-ROW(Table_Dialogs[N])</f>
        <v>3</v>
      </c>
      <c r="B5" s="34" t="s">
        <v>661</v>
      </c>
      <c r="C5" s="39" t="s">
        <v>32</v>
      </c>
      <c r="D5" s="39" t="s">
        <v>662</v>
      </c>
    </row>
    <row r="6">
      <c r="A6" s="34">
        <f>ROW()-ROW(Table_Dialogs[N])</f>
        <v>4</v>
      </c>
      <c r="B6" s="34" t="s">
        <v>435</v>
      </c>
      <c r="C6" s="39" t="s">
        <v>32</v>
      </c>
      <c r="D6" s="39" t="s">
        <v>663</v>
      </c>
    </row>
    <row r="7">
      <c r="A7" s="34">
        <f>ROW()-ROW(Table_Dialogs[N])</f>
        <v>5</v>
      </c>
      <c r="B7" s="34" t="s">
        <v>440</v>
      </c>
      <c r="C7" s="39" t="s">
        <v>32</v>
      </c>
      <c r="D7" s="39" t="s">
        <v>664</v>
      </c>
    </row>
    <row r="8">
      <c r="A8" s="34">
        <f>ROW()-ROW(Table_Dialogs[N])</f>
        <v>6</v>
      </c>
      <c r="B8" s="34" t="s">
        <v>665</v>
      </c>
      <c r="C8" s="39" t="s">
        <v>32</v>
      </c>
      <c r="D8" s="39" t="s">
        <v>666</v>
      </c>
    </row>
    <row r="9">
      <c r="A9" s="34">
        <f>ROW()-ROW(Table_Dialogs[N])</f>
        <v>7</v>
      </c>
      <c r="B9" s="34" t="s">
        <v>442</v>
      </c>
      <c r="C9" s="39" t="s">
        <v>32</v>
      </c>
      <c r="D9" s="39" t="s">
        <v>667</v>
      </c>
    </row>
    <row r="10">
      <c r="A10" s="34">
        <f>ROW()-ROW(Table_Dialogs[N])</f>
        <v>8</v>
      </c>
      <c r="B10" s="34" t="s">
        <v>668</v>
      </c>
      <c r="C10" s="39" t="s">
        <v>32</v>
      </c>
      <c r="D10" s="39" t="s">
        <v>669</v>
      </c>
    </row>
    <row r="11">
      <c r="A11" s="34">
        <f>ROW()-ROW(Table_Dialogs[N])</f>
        <v>9</v>
      </c>
      <c r="B11" s="34" t="s">
        <v>446</v>
      </c>
      <c r="C11" s="39" t="s">
        <v>670</v>
      </c>
      <c r="D11" s="39" t="s">
        <v>671</v>
      </c>
    </row>
    <row r="12">
      <c r="A12" s="34">
        <f>ROW()-ROW(Table_Dialogs[N])</f>
        <v>10</v>
      </c>
      <c r="B12" s="34" t="s">
        <v>453</v>
      </c>
      <c r="C12" s="39" t="s">
        <v>342</v>
      </c>
      <c r="D12" s="39" t="s">
        <v>672</v>
      </c>
    </row>
    <row r="13">
      <c r="A13" s="34">
        <f>ROW()-ROW(Table_Dialogs[N])</f>
        <v>11</v>
      </c>
      <c r="B13" s="34" t="s">
        <v>458</v>
      </c>
      <c r="C13" s="39" t="s">
        <v>344</v>
      </c>
      <c r="D13" s="39" t="s">
        <v>673</v>
      </c>
    </row>
    <row r="14">
      <c r="A14" s="34">
        <f>ROW()-ROW(Table_Dialogs[N])</f>
        <v>12</v>
      </c>
      <c r="B14" s="34" t="s">
        <v>30</v>
      </c>
      <c r="C14" s="39" t="s">
        <v>32</v>
      </c>
      <c r="D14" s="39" t="s">
        <v>674</v>
      </c>
    </row>
    <row r="15">
      <c r="A15" s="34">
        <f>ROW()-ROW(Table_Dialogs[N])</f>
        <v>13</v>
      </c>
      <c r="B15" s="34" t="s">
        <v>460</v>
      </c>
      <c r="C15" s="39" t="s">
        <v>32</v>
      </c>
      <c r="D15" s="39" t="s">
        <v>675</v>
      </c>
    </row>
    <row r="16">
      <c r="A16" s="34">
        <f>ROW()-ROW(Table_Dialogs[N])</f>
        <v>14</v>
      </c>
      <c r="B16" s="34" t="s">
        <v>676</v>
      </c>
      <c r="C16" s="39" t="s">
        <v>32</v>
      </c>
      <c r="D16" s="37" t="s">
        <v>658</v>
      </c>
    </row>
    <row r="18">
      <c r="A18" s="1" t="s">
        <v>47</v>
      </c>
      <c r="B18" s="1" t="s">
        <v>677</v>
      </c>
      <c r="C18" s="1" t="s">
        <v>370</v>
      </c>
      <c r="D18" s="27" t="s">
        <v>678</v>
      </c>
      <c r="E18" s="27" t="s">
        <v>679</v>
      </c>
      <c r="F18" s="27" t="s">
        <v>680</v>
      </c>
      <c r="G18" s="27" t="s">
        <v>681</v>
      </c>
      <c r="H18" s="27" t="s">
        <v>682</v>
      </c>
    </row>
    <row r="19">
      <c r="A19" s="34">
        <f>ROW()-ROW(Table_Dialog_Options[N])</f>
        <v>0</v>
      </c>
      <c r="B19" s="34" t="s">
        <v>658</v>
      </c>
      <c r="C19" s="35" t="s">
        <v>379</v>
      </c>
      <c r="D19" s="49" t="s">
        <v>380</v>
      </c>
      <c r="E19" s="35" t="s">
        <v>379</v>
      </c>
      <c r="F19" s="36" t="s">
        <v>384</v>
      </c>
      <c r="G19" s="50" t="b">
        <v>0</v>
      </c>
      <c r="H19" s="35" t="s">
        <v>385</v>
      </c>
    </row>
    <row r="20">
      <c r="A20" s="34">
        <f>ROW()-ROW(Table_Dialog_Options[N])</f>
        <v>1</v>
      </c>
      <c r="B20" s="34" t="s">
        <v>659</v>
      </c>
      <c r="C20" s="35" t="s">
        <v>379</v>
      </c>
      <c r="D20" s="49" t="s">
        <v>380</v>
      </c>
      <c r="E20" s="35" t="s">
        <v>379</v>
      </c>
      <c r="F20" s="36" t="s">
        <v>384</v>
      </c>
      <c r="G20" s="50" t="b">
        <v>0</v>
      </c>
      <c r="H20" s="35" t="s">
        <v>385</v>
      </c>
    </row>
    <row r="21">
      <c r="A21" s="34">
        <f>ROW()-ROW(Table_Dialog_Options[N])</f>
        <v>2</v>
      </c>
      <c r="B21" s="34" t="s">
        <v>660</v>
      </c>
      <c r="C21" s="38" t="s">
        <v>379</v>
      </c>
      <c r="D21" s="49" t="s">
        <v>380</v>
      </c>
      <c r="E21" s="38" t="s">
        <v>379</v>
      </c>
      <c r="F21" s="36" t="s">
        <v>661</v>
      </c>
      <c r="G21" s="50" t="b">
        <v>0</v>
      </c>
      <c r="H21" s="38" t="s">
        <v>683</v>
      </c>
    </row>
    <row r="22">
      <c r="A22" s="34">
        <f>ROW()-ROW(Table_Dialog_Options[N])</f>
        <v>3</v>
      </c>
      <c r="B22" s="34" t="s">
        <v>684</v>
      </c>
      <c r="C22" s="38" t="s">
        <v>379</v>
      </c>
      <c r="D22" s="49" t="s">
        <v>380</v>
      </c>
      <c r="E22" s="38" t="s">
        <v>379</v>
      </c>
      <c r="F22" s="36" t="s">
        <v>661</v>
      </c>
      <c r="G22" s="50" t="b">
        <v>0</v>
      </c>
      <c r="H22" s="38" t="s">
        <v>685</v>
      </c>
    </row>
    <row r="23">
      <c r="A23" s="34">
        <f>ROW()-ROW(Table_Dialog_Options[N])</f>
        <v>4</v>
      </c>
      <c r="B23" s="34" t="s">
        <v>686</v>
      </c>
      <c r="C23" s="38" t="s">
        <v>379</v>
      </c>
      <c r="D23" s="49" t="s">
        <v>380</v>
      </c>
      <c r="E23" s="38" t="s">
        <v>379</v>
      </c>
      <c r="F23" s="36" t="s">
        <v>384</v>
      </c>
      <c r="G23" s="50" t="b">
        <v>0</v>
      </c>
      <c r="H23" s="38" t="s">
        <v>687</v>
      </c>
    </row>
    <row r="24">
      <c r="A24" s="34">
        <f>ROW()-ROW(Table_Dialog_Options[N])</f>
        <v>5</v>
      </c>
      <c r="B24" s="34" t="s">
        <v>663</v>
      </c>
      <c r="C24" s="38" t="s">
        <v>379</v>
      </c>
      <c r="D24" s="49" t="s">
        <v>380</v>
      </c>
      <c r="E24" s="38" t="s">
        <v>379</v>
      </c>
      <c r="F24" s="36" t="s">
        <v>384</v>
      </c>
      <c r="G24" s="50" t="b">
        <v>0</v>
      </c>
      <c r="H24" s="38" t="s">
        <v>688</v>
      </c>
    </row>
    <row r="25">
      <c r="A25" s="34">
        <f>ROW()-ROW(Table_Dialog_Options[N])</f>
        <v>6</v>
      </c>
      <c r="B25" s="34" t="s">
        <v>664</v>
      </c>
      <c r="C25" s="38" t="s">
        <v>379</v>
      </c>
      <c r="D25" s="49" t="s">
        <v>380</v>
      </c>
      <c r="E25" s="38" t="s">
        <v>379</v>
      </c>
      <c r="F25" s="36" t="s">
        <v>665</v>
      </c>
      <c r="G25" s="50" t="b">
        <v>0</v>
      </c>
      <c r="H25" s="38" t="s">
        <v>689</v>
      </c>
    </row>
    <row r="26">
      <c r="A26" s="34">
        <f>ROW()-ROW(Table_Dialog_Options[N])</f>
        <v>7</v>
      </c>
      <c r="B26" s="34" t="s">
        <v>666</v>
      </c>
      <c r="C26" s="38" t="s">
        <v>379</v>
      </c>
      <c r="D26" s="49" t="s">
        <v>380</v>
      </c>
      <c r="E26" s="38" t="s">
        <v>379</v>
      </c>
      <c r="F26" s="36" t="s">
        <v>384</v>
      </c>
      <c r="G26" s="50" t="b">
        <v>1</v>
      </c>
      <c r="H26" s="38" t="s">
        <v>690</v>
      </c>
    </row>
    <row r="27">
      <c r="A27" s="34">
        <f>ROW()-ROW(Table_Dialog_Options[N])</f>
        <v>8</v>
      </c>
      <c r="B27" s="34" t="s">
        <v>667</v>
      </c>
      <c r="C27" s="38" t="s">
        <v>379</v>
      </c>
      <c r="D27" s="49" t="s">
        <v>380</v>
      </c>
      <c r="E27" s="38" t="s">
        <v>379</v>
      </c>
      <c r="F27" s="36" t="s">
        <v>668</v>
      </c>
      <c r="G27" s="50" t="b">
        <v>1</v>
      </c>
      <c r="H27" s="38" t="s">
        <v>691</v>
      </c>
    </row>
    <row r="28">
      <c r="A28" s="34">
        <f>ROW()-ROW(Table_Dialog_Options[N])</f>
        <v>9</v>
      </c>
      <c r="B28" s="34" t="s">
        <v>692</v>
      </c>
      <c r="C28" s="38" t="s">
        <v>379</v>
      </c>
      <c r="D28" s="49" t="s">
        <v>445</v>
      </c>
      <c r="E28" s="38" t="s">
        <v>693</v>
      </c>
      <c r="F28" s="36" t="s">
        <v>668</v>
      </c>
      <c r="G28" s="50" t="b">
        <v>0</v>
      </c>
      <c r="H28" s="38" t="s">
        <v>694</v>
      </c>
    </row>
    <row r="29">
      <c r="A29" s="34">
        <f>ROW()-ROW(Table_Dialog_Options[N])</f>
        <v>10</v>
      </c>
      <c r="B29" s="34" t="s">
        <v>695</v>
      </c>
      <c r="C29" s="38" t="s">
        <v>693</v>
      </c>
      <c r="D29" s="49" t="s">
        <v>445</v>
      </c>
      <c r="E29" s="38" t="s">
        <v>379</v>
      </c>
      <c r="F29" s="36" t="s">
        <v>668</v>
      </c>
      <c r="G29" s="50" t="b">
        <v>0</v>
      </c>
      <c r="H29" s="38" t="s">
        <v>696</v>
      </c>
    </row>
    <row r="30">
      <c r="A30" s="34">
        <f>ROW()-ROW(Table_Dialog_Options[N])</f>
        <v>11</v>
      </c>
      <c r="B30" s="34" t="s">
        <v>697</v>
      </c>
      <c r="C30" s="38" t="s">
        <v>379</v>
      </c>
      <c r="D30" s="49" t="s">
        <v>380</v>
      </c>
      <c r="E30" s="38" t="s">
        <v>379</v>
      </c>
      <c r="F30" s="36" t="s">
        <v>668</v>
      </c>
      <c r="G30" s="50" t="b">
        <v>0</v>
      </c>
      <c r="H30" s="38" t="s">
        <v>698</v>
      </c>
    </row>
    <row r="31">
      <c r="A31" s="34">
        <f>ROW()-ROW(Table_Dialog_Options[N])</f>
        <v>12</v>
      </c>
      <c r="B31" s="34" t="s">
        <v>699</v>
      </c>
      <c r="C31" s="38" t="s">
        <v>693</v>
      </c>
      <c r="D31" s="49" t="s">
        <v>448</v>
      </c>
      <c r="E31" s="38" t="s">
        <v>457</v>
      </c>
      <c r="F31" s="36" t="s">
        <v>668</v>
      </c>
      <c r="G31" s="50" t="b">
        <v>0</v>
      </c>
      <c r="H31" s="38" t="s">
        <v>700</v>
      </c>
    </row>
    <row r="32">
      <c r="A32" s="34">
        <f>ROW()-ROW(Table_Dialog_Options[N])</f>
        <v>13</v>
      </c>
      <c r="B32" s="34" t="s">
        <v>701</v>
      </c>
      <c r="C32" s="38" t="s">
        <v>379</v>
      </c>
      <c r="D32" s="49" t="s">
        <v>380</v>
      </c>
      <c r="E32" s="38" t="s">
        <v>379</v>
      </c>
      <c r="F32" s="36" t="s">
        <v>384</v>
      </c>
      <c r="G32" s="50" t="b">
        <v>0</v>
      </c>
      <c r="H32" s="38" t="s">
        <v>702</v>
      </c>
    </row>
    <row r="33">
      <c r="A33" s="34">
        <f>ROW()-ROW(Table_Dialog_Options[N])</f>
        <v>14</v>
      </c>
      <c r="B33" s="34" t="s">
        <v>671</v>
      </c>
      <c r="C33" s="38" t="s">
        <v>379</v>
      </c>
      <c r="D33" s="49" t="s">
        <v>380</v>
      </c>
      <c r="E33" s="38" t="s">
        <v>379</v>
      </c>
      <c r="F33" s="36" t="s">
        <v>384</v>
      </c>
      <c r="G33" s="50" t="b">
        <v>0</v>
      </c>
      <c r="H33" s="38" t="s">
        <v>703</v>
      </c>
    </row>
    <row r="34">
      <c r="A34" s="34">
        <f>ROW()-ROW(Table_Dialog_Options[N])</f>
        <v>15</v>
      </c>
      <c r="B34" s="34" t="s">
        <v>672</v>
      </c>
      <c r="C34" s="38" t="s">
        <v>379</v>
      </c>
      <c r="D34" s="49" t="s">
        <v>380</v>
      </c>
      <c r="E34" s="38" t="s">
        <v>379</v>
      </c>
      <c r="F34" s="36" t="s">
        <v>384</v>
      </c>
      <c r="G34" s="50" t="b">
        <v>1</v>
      </c>
      <c r="H34" s="38" t="s">
        <v>704</v>
      </c>
    </row>
    <row r="35">
      <c r="A35" s="34">
        <f>ROW()-ROW(Table_Dialog_Options[N])</f>
        <v>16</v>
      </c>
      <c r="B35" s="34" t="s">
        <v>673</v>
      </c>
      <c r="C35" s="38" t="s">
        <v>379</v>
      </c>
      <c r="D35" s="49" t="s">
        <v>380</v>
      </c>
      <c r="E35" s="38" t="s">
        <v>379</v>
      </c>
      <c r="F35" s="36" t="s">
        <v>384</v>
      </c>
      <c r="G35" s="50" t="b">
        <v>1</v>
      </c>
      <c r="H35" s="38" t="s">
        <v>705</v>
      </c>
    </row>
    <row r="36">
      <c r="A36" s="34">
        <f>ROW()-ROW(Table_Dialog_Options[N])</f>
        <v>17</v>
      </c>
      <c r="B36" s="34" t="s">
        <v>706</v>
      </c>
      <c r="C36" s="38" t="s">
        <v>379</v>
      </c>
      <c r="D36" s="49" t="s">
        <v>380</v>
      </c>
      <c r="E36" s="38" t="s">
        <v>379</v>
      </c>
      <c r="F36" s="36" t="s">
        <v>30</v>
      </c>
      <c r="G36" s="50" t="b">
        <v>0</v>
      </c>
      <c r="H36" s="38" t="s">
        <v>707</v>
      </c>
    </row>
    <row r="37">
      <c r="A37" s="34">
        <f>ROW()-ROW(Table_Dialog_Options[N])</f>
        <v>18</v>
      </c>
      <c r="B37" s="34" t="s">
        <v>708</v>
      </c>
      <c r="C37" s="38" t="s">
        <v>379</v>
      </c>
      <c r="D37" s="49" t="s">
        <v>380</v>
      </c>
      <c r="E37" s="38" t="s">
        <v>379</v>
      </c>
      <c r="F37" s="36" t="s">
        <v>30</v>
      </c>
      <c r="G37" s="50" t="b">
        <v>0</v>
      </c>
      <c r="H37" s="38" t="s">
        <v>709</v>
      </c>
    </row>
    <row r="38">
      <c r="A38" s="34">
        <f>ROW()-ROW(Table_Dialog_Options[N])</f>
        <v>19</v>
      </c>
      <c r="B38" s="34" t="s">
        <v>710</v>
      </c>
      <c r="C38" s="38" t="s">
        <v>379</v>
      </c>
      <c r="D38" s="49" t="s">
        <v>380</v>
      </c>
      <c r="E38" s="38" t="s">
        <v>467</v>
      </c>
      <c r="F38" s="36" t="s">
        <v>30</v>
      </c>
      <c r="G38" s="50" t="b">
        <v>0</v>
      </c>
      <c r="H38" s="38" t="s">
        <v>711</v>
      </c>
    </row>
    <row r="39">
      <c r="A39" s="34">
        <f>ROW()-ROW(Table_Dialog_Options[N])</f>
        <v>20</v>
      </c>
      <c r="B39" s="34" t="s">
        <v>712</v>
      </c>
      <c r="C39" s="38" t="s">
        <v>379</v>
      </c>
      <c r="D39" s="49" t="s">
        <v>380</v>
      </c>
      <c r="E39" s="38" t="s">
        <v>379</v>
      </c>
      <c r="F39" s="36" t="s">
        <v>384</v>
      </c>
      <c r="G39" s="50" t="b">
        <v>0</v>
      </c>
      <c r="H39" s="38" t="s">
        <v>713</v>
      </c>
    </row>
    <row r="40">
      <c r="A40" s="34">
        <f>ROW()-ROW(Table_Dialog_Options[N])</f>
        <v>21</v>
      </c>
      <c r="B40" s="34" t="s">
        <v>675</v>
      </c>
      <c r="C40" s="38" t="s">
        <v>379</v>
      </c>
      <c r="D40" s="49" t="s">
        <v>380</v>
      </c>
      <c r="E40" s="38" t="s">
        <v>379</v>
      </c>
      <c r="F40" s="36" t="s">
        <v>30</v>
      </c>
      <c r="G40" s="50" t="b">
        <v>1</v>
      </c>
      <c r="H40" s="38" t="s">
        <v>714</v>
      </c>
    </row>
    <row r="41">
      <c r="A41" s="34">
        <f>ROW()-ROW(Table_Dialog_Options[N])</f>
        <v>22</v>
      </c>
      <c r="B41" s="34" t="s">
        <v>715</v>
      </c>
      <c r="C41" s="35" t="s">
        <v>379</v>
      </c>
      <c r="D41" s="49" t="s">
        <v>380</v>
      </c>
      <c r="E41" s="35" t="s">
        <v>379</v>
      </c>
      <c r="F41" s="36" t="s">
        <v>384</v>
      </c>
      <c r="G41" s="50" t="b">
        <v>0</v>
      </c>
      <c r="H41" s="35" t="s">
        <v>385</v>
      </c>
    </row>
    <row r="43">
      <c r="A43" s="51"/>
      <c r="B43" s="51"/>
      <c r="C43" s="51"/>
      <c r="D43" s="51"/>
      <c r="E43" s="51"/>
      <c r="F43" s="51"/>
    </row>
    <row r="44">
      <c r="A44" s="51"/>
      <c r="B44" s="51"/>
      <c r="C44" s="51"/>
      <c r="D44" s="51"/>
      <c r="E44" s="51"/>
      <c r="F44" s="51"/>
    </row>
    <row r="45">
      <c r="A45" s="51"/>
      <c r="B45" s="51"/>
      <c r="C45" s="51"/>
      <c r="D45" s="51"/>
      <c r="E45" s="51"/>
      <c r="F45" s="51"/>
    </row>
    <row r="46">
      <c r="A46" s="51"/>
      <c r="B46" s="51"/>
      <c r="C46" s="51"/>
      <c r="D46" s="51"/>
      <c r="E46" s="51"/>
      <c r="F46" s="51"/>
    </row>
    <row r="47">
      <c r="A47" s="51"/>
      <c r="B47" s="51"/>
      <c r="C47" s="51"/>
      <c r="D47" s="51"/>
      <c r="E47" s="51"/>
      <c r="F47" s="51"/>
    </row>
    <row r="48">
      <c r="A48" s="51"/>
      <c r="B48" s="51"/>
      <c r="C48" s="51"/>
      <c r="D48" s="51"/>
      <c r="E48" s="51"/>
      <c r="F48" s="51"/>
    </row>
  </sheetData>
  <dataValidations>
    <dataValidation type="list" allowBlank="1" sqref="C2:C16">
      <formula1>#REF!</formula1>
    </dataValidation>
    <dataValidation type="list" allowBlank="1" sqref="H19:H41">
      <formula1>#REF!</formula1>
    </dataValidation>
    <dataValidation type="list" allowBlank="1" sqref="F19:F41">
      <formula1>Table_Dialogs[DIALOG_ID]</formula1>
    </dataValidation>
    <dataValidation type="list" allowBlank="1" sqref="C19:C41">
      <formula1>#REF!</formula1>
    </dataValidation>
    <dataValidation type="list" allowBlank="1" sqref="D2:D16">
      <formula1>#REF!</formula1>
    </dataValidation>
    <dataValidation type="list" allowBlank="1" sqref="D19:D41">
      <formula1>#REF!</formula1>
    </dataValidation>
    <dataValidation type="list" allowBlank="1" sqref="E19:E41">
      <formula1>#REF!</formula1>
    </dataValidation>
  </dataValidations>
  <drawing r:id="rId2"/>
  <legacyDrawing r:id="rId3"/>
  <tableParts count="2">
    <tablePart r:id="rId6"/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33.43"/>
    <col customWidth="1" min="3" max="3" width="45.43"/>
    <col customWidth="1" min="4" max="4" width="48.43"/>
  </cols>
  <sheetData>
    <row r="1">
      <c r="A1" s="1" t="s">
        <v>47</v>
      </c>
      <c r="B1" s="1" t="s">
        <v>716</v>
      </c>
      <c r="C1" s="52" t="s">
        <v>717</v>
      </c>
    </row>
    <row r="2">
      <c r="A2" s="34">
        <f>ROW()-ROW(Table_Decisions[N])</f>
        <v>0</v>
      </c>
      <c r="B2" s="34" t="s">
        <v>526</v>
      </c>
      <c r="C2" s="38" t="s">
        <v>718</v>
      </c>
    </row>
    <row r="3">
      <c r="A3" s="34">
        <f>ROW()-ROW(Table_Decisions[N])</f>
        <v>1</v>
      </c>
      <c r="B3" s="34" t="s">
        <v>556</v>
      </c>
      <c r="C3" s="38" t="s">
        <v>719</v>
      </c>
    </row>
    <row r="4">
      <c r="A4" s="34">
        <f>ROW()-ROW(Table_Decisions[N])</f>
        <v>2</v>
      </c>
      <c r="B4" s="34" t="s">
        <v>720</v>
      </c>
      <c r="C4" s="38" t="s">
        <v>721</v>
      </c>
    </row>
    <row r="6">
      <c r="A6" s="1" t="s">
        <v>47</v>
      </c>
      <c r="B6" s="1" t="s">
        <v>722</v>
      </c>
      <c r="C6" s="1" t="s">
        <v>723</v>
      </c>
      <c r="D6" s="40" t="s">
        <v>679</v>
      </c>
    </row>
    <row r="7">
      <c r="A7" s="53">
        <f>ROW()-ROW(Table_Decision_Options[N])</f>
        <v>0</v>
      </c>
      <c r="B7" s="34" t="s">
        <v>718</v>
      </c>
      <c r="C7" s="36" t="s">
        <v>385</v>
      </c>
      <c r="D7" s="54" t="s">
        <v>379</v>
      </c>
    </row>
    <row r="8">
      <c r="A8" s="53">
        <f>ROW()-ROW(Table_Decision_Options[N])</f>
        <v>1</v>
      </c>
      <c r="B8" s="34" t="s">
        <v>724</v>
      </c>
      <c r="C8" s="36" t="s">
        <v>725</v>
      </c>
      <c r="D8" s="54" t="s">
        <v>379</v>
      </c>
    </row>
    <row r="9">
      <c r="A9" s="53">
        <f>ROW()-ROW(Table_Decision_Options[N])</f>
        <v>2</v>
      </c>
      <c r="B9" s="34" t="s">
        <v>726</v>
      </c>
      <c r="C9" s="36" t="s">
        <v>727</v>
      </c>
      <c r="D9" s="54" t="s">
        <v>728</v>
      </c>
    </row>
    <row r="10">
      <c r="A10" s="53">
        <f>ROW()-ROW(Table_Decision_Options[N])</f>
        <v>3</v>
      </c>
      <c r="B10" s="34" t="s">
        <v>729</v>
      </c>
      <c r="C10" s="36" t="s">
        <v>730</v>
      </c>
      <c r="D10" s="54" t="s">
        <v>731</v>
      </c>
    </row>
    <row r="11">
      <c r="A11" s="53">
        <f>ROW()-ROW(Table_Decision_Options[N])</f>
        <v>4</v>
      </c>
      <c r="B11" s="34" t="s">
        <v>721</v>
      </c>
      <c r="C11" s="36" t="s">
        <v>385</v>
      </c>
      <c r="D11" s="54" t="s">
        <v>379</v>
      </c>
    </row>
  </sheetData>
  <dataValidations>
    <dataValidation type="list" allowBlank="1" sqref="C2:C4 D7:D11">
      <formula1>#REF!</formula1>
    </dataValidation>
    <dataValidation type="list" allowBlank="1" sqref="C7:C11">
      <formula1>#REF!</formula1>
    </dataValidation>
  </dataValidations>
  <drawing r:id="rId1"/>
  <tableParts count="2">
    <tablePart r:id="rId4"/>
    <tablePart r:id="rId5"/>
  </tableParts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0124D"/>
    <outlinePr summaryBelow="0" summaryRight="0"/>
  </sheetPr>
  <sheetViews>
    <sheetView workbookViewId="0"/>
  </sheetViews>
  <sheetFormatPr customHeight="1" defaultColWidth="14.43" defaultRowHeight="15.0"/>
  <cols>
    <col customWidth="1" min="2" max="2" width="36.57"/>
    <col customWidth="1" min="3" max="3" width="26.43"/>
    <col customWidth="1" min="4" max="4" width="35.43"/>
  </cols>
  <sheetData>
    <row r="1">
      <c r="A1" s="55" t="s">
        <v>47</v>
      </c>
      <c r="B1" s="56" t="s">
        <v>732</v>
      </c>
      <c r="C1" s="55" t="s">
        <v>733</v>
      </c>
      <c r="D1" s="55" t="s">
        <v>734</v>
      </c>
    </row>
    <row r="2">
      <c r="A2" s="28">
        <f>ROW()-ROW(Table_Name[NAME_ID])</f>
        <v>0</v>
      </c>
      <c r="B2" s="28" t="s">
        <v>258</v>
      </c>
      <c r="C2" s="57"/>
      <c r="D2" s="57"/>
    </row>
    <row r="3">
      <c r="A3" s="28">
        <f>ROW()-ROW(Table_Name[NAME_ID])</f>
        <v>1</v>
      </c>
      <c r="B3" s="28" t="s">
        <v>263</v>
      </c>
      <c r="C3" s="28" t="s">
        <v>735</v>
      </c>
      <c r="D3" s="28" t="s">
        <v>735</v>
      </c>
    </row>
    <row r="4">
      <c r="A4" s="28">
        <f>ROW()-ROW(Table_Name[NAME_ID])</f>
        <v>2</v>
      </c>
      <c r="B4" s="28" t="s">
        <v>736</v>
      </c>
      <c r="C4" s="28" t="s">
        <v>737</v>
      </c>
      <c r="D4" s="28" t="s">
        <v>738</v>
      </c>
    </row>
    <row r="5">
      <c r="A5" s="28">
        <f>ROW()-ROW(Table_Name[NAME_ID])</f>
        <v>3</v>
      </c>
      <c r="B5" s="28" t="s">
        <v>739</v>
      </c>
      <c r="C5" s="28" t="s">
        <v>740</v>
      </c>
      <c r="D5" s="28" t="s">
        <v>741</v>
      </c>
    </row>
    <row r="6">
      <c r="A6" s="28">
        <f>ROW()-ROW(Table_Name[NAME_ID])</f>
        <v>4</v>
      </c>
      <c r="B6" s="28" t="s">
        <v>742</v>
      </c>
      <c r="C6" s="28" t="s">
        <v>743</v>
      </c>
      <c r="D6" s="28" t="s">
        <v>744</v>
      </c>
    </row>
    <row r="7">
      <c r="A7" s="28">
        <f>ROW()-ROW(Table_Name[NAME_ID])</f>
        <v>5</v>
      </c>
      <c r="B7" s="28" t="s">
        <v>266</v>
      </c>
      <c r="C7" s="28" t="s">
        <v>745</v>
      </c>
      <c r="D7" s="28" t="s">
        <v>746</v>
      </c>
    </row>
    <row r="8">
      <c r="A8" s="28">
        <f>ROW()-ROW(Table_Name[NAME_ID])</f>
        <v>6</v>
      </c>
      <c r="B8" s="28" t="s">
        <v>287</v>
      </c>
      <c r="C8" s="28" t="s">
        <v>747</v>
      </c>
      <c r="D8" s="28" t="s">
        <v>747</v>
      </c>
    </row>
    <row r="9">
      <c r="A9" s="28">
        <f>ROW()-ROW(Table_Name[NAME_ID])</f>
        <v>7</v>
      </c>
      <c r="B9" s="28" t="s">
        <v>294</v>
      </c>
      <c r="C9" s="28" t="s">
        <v>748</v>
      </c>
      <c r="D9" s="28" t="s">
        <v>749</v>
      </c>
    </row>
    <row r="10">
      <c r="A10" s="28">
        <f>ROW()-ROW(Table_Name[NAME_ID])</f>
        <v>8</v>
      </c>
      <c r="B10" s="28" t="s">
        <v>272</v>
      </c>
      <c r="C10" s="28" t="s">
        <v>750</v>
      </c>
      <c r="D10" s="28" t="s">
        <v>751</v>
      </c>
    </row>
    <row r="11">
      <c r="A11" s="28">
        <f>ROW()-ROW(Table_Name[NAME_ID])</f>
        <v>9</v>
      </c>
      <c r="B11" s="28" t="s">
        <v>752</v>
      </c>
      <c r="C11" s="28" t="s">
        <v>753</v>
      </c>
      <c r="D11" s="28" t="s">
        <v>754</v>
      </c>
    </row>
    <row r="12">
      <c r="A12" s="28">
        <f>ROW()-ROW(Table_Name[NAME_ID])</f>
        <v>10</v>
      </c>
      <c r="B12" s="28" t="s">
        <v>755</v>
      </c>
      <c r="C12" s="28" t="s">
        <v>756</v>
      </c>
      <c r="D12" s="28" t="s">
        <v>757</v>
      </c>
    </row>
    <row r="13">
      <c r="A13" s="28">
        <f>ROW()-ROW(Table_Name[NAME_ID])</f>
        <v>11</v>
      </c>
      <c r="B13" s="28" t="s">
        <v>277</v>
      </c>
      <c r="C13" s="28" t="s">
        <v>758</v>
      </c>
      <c r="D13" s="28" t="s">
        <v>759</v>
      </c>
    </row>
    <row r="14">
      <c r="A14" s="28">
        <f>ROW()-ROW(Table_Name[NAME_ID])</f>
        <v>12</v>
      </c>
      <c r="B14" s="28" t="s">
        <v>284</v>
      </c>
      <c r="C14" s="28" t="s">
        <v>760</v>
      </c>
      <c r="D14" s="28" t="s">
        <v>761</v>
      </c>
    </row>
    <row r="15">
      <c r="A15" s="28">
        <f>ROW()-ROW(Table_Name[NAME_ID])</f>
        <v>13</v>
      </c>
      <c r="B15" s="28" t="s">
        <v>762</v>
      </c>
      <c r="C15" s="28" t="s">
        <v>763</v>
      </c>
      <c r="D15" s="28" t="s">
        <v>764</v>
      </c>
    </row>
    <row r="16">
      <c r="A16" s="28">
        <f>ROW()-ROW(Table_Name[NAME_ID])</f>
        <v>14</v>
      </c>
      <c r="B16" s="28" t="s">
        <v>297</v>
      </c>
      <c r="C16" s="28" t="s">
        <v>765</v>
      </c>
      <c r="D16" s="28" t="s">
        <v>766</v>
      </c>
    </row>
    <row r="17">
      <c r="A17" s="28">
        <f>ROW()-ROW(Table_Name[NAME_ID])</f>
        <v>15</v>
      </c>
      <c r="B17" s="28" t="s">
        <v>302</v>
      </c>
      <c r="C17" s="28" t="s">
        <v>767</v>
      </c>
      <c r="D17" s="28" t="s">
        <v>768</v>
      </c>
    </row>
    <row r="18">
      <c r="A18" s="28">
        <f>ROW()-ROW(Table_Name[NAME_ID])</f>
        <v>16</v>
      </c>
      <c r="B18" s="28" t="s">
        <v>305</v>
      </c>
      <c r="C18" s="28" t="s">
        <v>769</v>
      </c>
      <c r="D18" s="28" t="s">
        <v>770</v>
      </c>
    </row>
    <row r="19">
      <c r="A19" s="28">
        <f>ROW()-ROW(Table_Name[NAME_ID])</f>
        <v>17</v>
      </c>
      <c r="B19" s="28" t="s">
        <v>309</v>
      </c>
      <c r="C19" s="28" t="s">
        <v>771</v>
      </c>
      <c r="D19" s="28" t="s">
        <v>772</v>
      </c>
    </row>
    <row r="20">
      <c r="A20" s="28">
        <f>ROW()-ROW(Table_Name[NAME_ID])</f>
        <v>18</v>
      </c>
      <c r="B20" s="28" t="s">
        <v>312</v>
      </c>
      <c r="C20" s="28" t="s">
        <v>773</v>
      </c>
      <c r="D20" s="28" t="s">
        <v>774</v>
      </c>
    </row>
    <row r="21">
      <c r="A21" s="28">
        <f>ROW()-ROW(Table_Name[NAME_ID])</f>
        <v>19</v>
      </c>
      <c r="B21" s="28" t="s">
        <v>315</v>
      </c>
      <c r="C21" s="28" t="s">
        <v>775</v>
      </c>
      <c r="D21" s="28" t="s">
        <v>776</v>
      </c>
    </row>
    <row r="22">
      <c r="A22" s="28">
        <f>ROW()-ROW(Table_Name[NAME_ID])</f>
        <v>20</v>
      </c>
      <c r="B22" s="28" t="s">
        <v>317</v>
      </c>
      <c r="C22" s="28" t="s">
        <v>777</v>
      </c>
      <c r="D22" s="28" t="s">
        <v>778</v>
      </c>
    </row>
    <row r="23">
      <c r="A23" s="28">
        <f>ROW()-ROW(Table_Name[NAME_ID])</f>
        <v>21</v>
      </c>
      <c r="B23" s="28" t="s">
        <v>319</v>
      </c>
      <c r="C23" s="28" t="s">
        <v>779</v>
      </c>
      <c r="D23" s="28" t="s">
        <v>780</v>
      </c>
    </row>
    <row r="24">
      <c r="A24" s="28">
        <f>ROW()-ROW(Table_Name[NAME_ID])</f>
        <v>22</v>
      </c>
      <c r="B24" s="28" t="s">
        <v>321</v>
      </c>
      <c r="C24" s="28" t="s">
        <v>781</v>
      </c>
      <c r="D24" s="28" t="s">
        <v>782</v>
      </c>
    </row>
    <row r="25">
      <c r="A25" s="28">
        <f>ROW()-ROW(Table_Name[NAME_ID])</f>
        <v>23</v>
      </c>
      <c r="B25" s="28" t="s">
        <v>324</v>
      </c>
      <c r="C25" s="28" t="s">
        <v>783</v>
      </c>
      <c r="D25" s="28" t="s">
        <v>784</v>
      </c>
    </row>
    <row r="26">
      <c r="A26" s="28">
        <f>ROW()-ROW(Table_Name[NAME_ID])</f>
        <v>24</v>
      </c>
      <c r="B26" s="28" t="s">
        <v>328</v>
      </c>
      <c r="C26" s="28" t="s">
        <v>785</v>
      </c>
      <c r="D26" s="28" t="s">
        <v>786</v>
      </c>
    </row>
    <row r="27">
      <c r="A27" s="28">
        <f>ROW()-ROW(Table_Name[NAME_ID])</f>
        <v>25</v>
      </c>
      <c r="B27" s="28" t="s">
        <v>333</v>
      </c>
      <c r="C27" s="28" t="s">
        <v>787</v>
      </c>
      <c r="D27" s="28" t="s">
        <v>788</v>
      </c>
    </row>
    <row r="28">
      <c r="A28" s="28">
        <f>ROW()-ROW(Table_Name[NAME_ID])</f>
        <v>26</v>
      </c>
      <c r="B28" s="28" t="s">
        <v>335</v>
      </c>
      <c r="C28" s="28" t="s">
        <v>789</v>
      </c>
      <c r="D28" s="28" t="s">
        <v>790</v>
      </c>
    </row>
    <row r="29">
      <c r="A29" s="28">
        <f>ROW()-ROW(Table_Name[NAME_ID])</f>
        <v>27</v>
      </c>
      <c r="B29" s="28" t="s">
        <v>339</v>
      </c>
      <c r="C29" s="28" t="s">
        <v>791</v>
      </c>
      <c r="D29" s="28" t="s">
        <v>792</v>
      </c>
    </row>
    <row r="30">
      <c r="A30" s="28">
        <f>ROW()-ROW(Table_Name[NAME_ID])</f>
        <v>28</v>
      </c>
      <c r="B30" s="28" t="s">
        <v>793</v>
      </c>
      <c r="C30" s="28" t="s">
        <v>794</v>
      </c>
      <c r="D30" s="28" t="s">
        <v>795</v>
      </c>
    </row>
    <row r="31">
      <c r="A31" s="28">
        <f>ROW()-ROW(Table_Name[NAME_ID])</f>
        <v>29</v>
      </c>
      <c r="B31" s="28" t="s">
        <v>343</v>
      </c>
      <c r="C31" s="28" t="s">
        <v>796</v>
      </c>
      <c r="D31" s="28" t="s">
        <v>797</v>
      </c>
    </row>
    <row r="32">
      <c r="A32" s="28">
        <f>ROW()-ROW(Table_Name[NAME_ID])</f>
        <v>30</v>
      </c>
      <c r="B32" s="28" t="s">
        <v>345</v>
      </c>
      <c r="C32" s="28" t="s">
        <v>798</v>
      </c>
      <c r="D32" s="28" t="s">
        <v>799</v>
      </c>
    </row>
    <row r="33">
      <c r="A33" s="28">
        <f>ROW()-ROW(Table_Name[NAME_ID])</f>
        <v>31</v>
      </c>
      <c r="B33" s="28" t="s">
        <v>800</v>
      </c>
      <c r="C33" s="28" t="s">
        <v>44</v>
      </c>
      <c r="D33" s="28" t="s">
        <v>801</v>
      </c>
    </row>
    <row r="34">
      <c r="A34" s="28">
        <f>ROW()-ROW(Table_Name[NAME_ID])</f>
        <v>32</v>
      </c>
      <c r="B34" s="28" t="s">
        <v>349</v>
      </c>
      <c r="C34" s="28" t="s">
        <v>802</v>
      </c>
      <c r="D34" s="28" t="s">
        <v>803</v>
      </c>
    </row>
    <row r="35">
      <c r="A35" s="28">
        <f>ROW()-ROW(Table_Name[NAME_ID])</f>
        <v>33</v>
      </c>
      <c r="B35" s="28" t="s">
        <v>353</v>
      </c>
      <c r="C35" s="28" t="s">
        <v>804</v>
      </c>
      <c r="D35" s="28" t="s">
        <v>805</v>
      </c>
    </row>
    <row r="36">
      <c r="A36" s="28">
        <f>ROW()-ROW(Table_Name[NAME_ID])</f>
        <v>34</v>
      </c>
      <c r="B36" s="28" t="s">
        <v>356</v>
      </c>
      <c r="C36" s="28" t="s">
        <v>806</v>
      </c>
      <c r="D36" s="28" t="s">
        <v>807</v>
      </c>
    </row>
    <row r="37">
      <c r="A37" s="28">
        <f>ROW()-ROW(Table_Name[NAME_ID])</f>
        <v>35</v>
      </c>
      <c r="B37" s="28" t="s">
        <v>361</v>
      </c>
      <c r="C37" s="28" t="s">
        <v>808</v>
      </c>
      <c r="D37" s="28" t="s">
        <v>809</v>
      </c>
    </row>
    <row r="38">
      <c r="A38" s="28">
        <f>ROW()-ROW(Table_Name[NAME_ID])</f>
        <v>36</v>
      </c>
      <c r="B38" s="28" t="s">
        <v>11</v>
      </c>
      <c r="C38" s="28" t="s">
        <v>810</v>
      </c>
      <c r="D38" s="28" t="s">
        <v>811</v>
      </c>
    </row>
    <row r="39">
      <c r="A39" s="28">
        <f>ROW()-ROW(Table_Name[NAME_ID])</f>
        <v>37</v>
      </c>
      <c r="B39" s="28" t="s">
        <v>367</v>
      </c>
      <c r="C39" s="28" t="s">
        <v>812</v>
      </c>
      <c r="D39" s="28" t="s">
        <v>813</v>
      </c>
    </row>
  </sheetData>
  <drawing r:id="rId1"/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674EA7"/>
    <outlinePr summaryBelow="0" summaryRight="0"/>
  </sheetPr>
  <sheetViews>
    <sheetView workbookViewId="0"/>
  </sheetViews>
  <sheetFormatPr customHeight="1" defaultColWidth="14.43" defaultRowHeight="15.0"/>
  <cols>
    <col customWidth="1" min="2" max="2" width="59.29"/>
    <col customWidth="1" min="3" max="3" width="15.57"/>
    <col customWidth="1" min="4" max="4" width="10.86"/>
    <col customWidth="1" min="5" max="5" width="32.86"/>
    <col customWidth="1" min="6" max="6" width="50.29"/>
    <col customWidth="1" min="7" max="7" width="58.43"/>
    <col customWidth="1" min="8" max="8" width="32.86"/>
    <col customWidth="1" min="9" max="9" width="24.14"/>
  </cols>
  <sheetData>
    <row r="1">
      <c r="A1" s="1" t="s">
        <v>47</v>
      </c>
      <c r="B1" s="1" t="s">
        <v>814</v>
      </c>
      <c r="C1" s="2" t="s">
        <v>815</v>
      </c>
      <c r="D1" s="1" t="s">
        <v>816</v>
      </c>
      <c r="E1" s="27" t="s">
        <v>817</v>
      </c>
      <c r="F1" s="1" t="s">
        <v>818</v>
      </c>
      <c r="G1" s="58" t="s">
        <v>819</v>
      </c>
    </row>
    <row r="2">
      <c r="A2" s="34">
        <f>ROW()-ROW(Table_Phrases[N])</f>
        <v>0</v>
      </c>
      <c r="B2" s="34" t="s">
        <v>385</v>
      </c>
      <c r="C2" s="34">
        <v>0.0</v>
      </c>
      <c r="D2" s="34">
        <v>0.0</v>
      </c>
      <c r="E2" s="42" t="s">
        <v>820</v>
      </c>
      <c r="F2" s="59"/>
      <c r="G2" s="35"/>
    </row>
    <row r="3">
      <c r="A3" s="34">
        <f>ROW()-ROW(Table_Phrases[N])</f>
        <v>1</v>
      </c>
      <c r="B3" s="34" t="s">
        <v>821</v>
      </c>
      <c r="C3" s="34">
        <v>0.0</v>
      </c>
      <c r="D3" s="34">
        <v>0.0</v>
      </c>
      <c r="E3" s="42" t="s">
        <v>822</v>
      </c>
      <c r="F3" s="35" t="s">
        <v>823</v>
      </c>
      <c r="G3" s="35" t="s">
        <v>824</v>
      </c>
    </row>
    <row r="4">
      <c r="A4" s="34">
        <f>ROW()-ROW(Table_Phrases[N])</f>
        <v>2</v>
      </c>
      <c r="B4" s="34" t="s">
        <v>825</v>
      </c>
      <c r="C4" s="34">
        <v>0.0</v>
      </c>
      <c r="D4" s="34">
        <v>0.0</v>
      </c>
      <c r="E4" s="42" t="s">
        <v>822</v>
      </c>
      <c r="F4" s="35" t="s">
        <v>826</v>
      </c>
      <c r="G4" s="35" t="s">
        <v>827</v>
      </c>
    </row>
    <row r="5">
      <c r="A5" s="34">
        <f>ROW()-ROW(Table_Phrases[N])</f>
        <v>3</v>
      </c>
      <c r="B5" s="34" t="s">
        <v>828</v>
      </c>
      <c r="C5" s="34">
        <v>0.0</v>
      </c>
      <c r="D5" s="34">
        <v>0.0</v>
      </c>
      <c r="E5" s="42" t="s">
        <v>822</v>
      </c>
      <c r="F5" s="35" t="s">
        <v>829</v>
      </c>
      <c r="G5" s="35" t="s">
        <v>830</v>
      </c>
    </row>
    <row r="6">
      <c r="A6" s="34">
        <f>ROW()-ROW(Table_Phrases[N])</f>
        <v>4</v>
      </c>
      <c r="B6" s="34" t="s">
        <v>831</v>
      </c>
      <c r="C6" s="34">
        <v>0.0</v>
      </c>
      <c r="D6" s="34">
        <v>0.0</v>
      </c>
      <c r="E6" s="42" t="s">
        <v>822</v>
      </c>
      <c r="F6" s="35" t="s">
        <v>832</v>
      </c>
      <c r="G6" s="35" t="s">
        <v>833</v>
      </c>
    </row>
    <row r="7">
      <c r="A7" s="34">
        <f>ROW()-ROW(Table_Phrases[N])</f>
        <v>5</v>
      </c>
      <c r="B7" s="34" t="s">
        <v>834</v>
      </c>
      <c r="C7" s="34">
        <v>0.0</v>
      </c>
      <c r="D7" s="34">
        <v>0.0</v>
      </c>
      <c r="E7" s="42" t="s">
        <v>822</v>
      </c>
      <c r="F7" s="35" t="s">
        <v>835</v>
      </c>
      <c r="G7" s="35" t="s">
        <v>836</v>
      </c>
    </row>
    <row r="8">
      <c r="A8" s="34">
        <f>ROW()-ROW(Table_Phrases[N])</f>
        <v>6</v>
      </c>
      <c r="B8" s="34" t="s">
        <v>422</v>
      </c>
      <c r="C8" s="34">
        <v>0.0</v>
      </c>
      <c r="D8" s="34">
        <v>0.0</v>
      </c>
      <c r="E8" s="42" t="s">
        <v>822</v>
      </c>
      <c r="F8" s="35" t="s">
        <v>837</v>
      </c>
      <c r="G8" s="35" t="s">
        <v>838</v>
      </c>
    </row>
    <row r="9">
      <c r="A9" s="34">
        <f>ROW()-ROW(Table_Phrases[N])</f>
        <v>7</v>
      </c>
      <c r="B9" s="34" t="s">
        <v>839</v>
      </c>
      <c r="C9" s="34">
        <v>0.0</v>
      </c>
      <c r="D9" s="34">
        <v>0.0</v>
      </c>
      <c r="E9" s="42" t="s">
        <v>822</v>
      </c>
      <c r="F9" s="35" t="s">
        <v>840</v>
      </c>
      <c r="G9" s="35" t="s">
        <v>841</v>
      </c>
    </row>
    <row r="10">
      <c r="A10" s="34">
        <f>ROW()-ROW(Table_Phrases[N])</f>
        <v>8</v>
      </c>
      <c r="B10" s="34" t="s">
        <v>842</v>
      </c>
      <c r="C10" s="34">
        <v>0.0</v>
      </c>
      <c r="D10" s="34">
        <v>0.0</v>
      </c>
      <c r="E10" s="42" t="s">
        <v>822</v>
      </c>
      <c r="F10" s="35" t="s">
        <v>843</v>
      </c>
      <c r="G10" s="35" t="s">
        <v>844</v>
      </c>
    </row>
    <row r="11">
      <c r="A11" s="34">
        <f>ROW()-ROW(Table_Phrases[N])</f>
        <v>9</v>
      </c>
      <c r="B11" s="34" t="s">
        <v>845</v>
      </c>
      <c r="C11" s="34">
        <v>1.0</v>
      </c>
      <c r="D11" s="34">
        <v>0.0</v>
      </c>
      <c r="E11" s="42" t="s">
        <v>822</v>
      </c>
      <c r="F11" s="35" t="s">
        <v>846</v>
      </c>
      <c r="G11" s="35" t="s">
        <v>847</v>
      </c>
    </row>
    <row r="12">
      <c r="A12" s="34">
        <f>ROW()-ROW(Table_Phrases[N])</f>
        <v>10</v>
      </c>
      <c r="B12" s="34" t="s">
        <v>848</v>
      </c>
      <c r="C12" s="34">
        <v>0.0</v>
      </c>
      <c r="D12" s="34">
        <v>0.0</v>
      </c>
      <c r="E12" s="42" t="s">
        <v>822</v>
      </c>
      <c r="F12" s="35" t="s">
        <v>849</v>
      </c>
      <c r="G12" s="35" t="s">
        <v>850</v>
      </c>
    </row>
    <row r="13">
      <c r="A13" s="34">
        <f>ROW()-ROW(Table_Phrases[N])</f>
        <v>11</v>
      </c>
      <c r="B13" s="34" t="s">
        <v>851</v>
      </c>
      <c r="C13" s="34">
        <v>0.0</v>
      </c>
      <c r="D13" s="34">
        <v>0.0</v>
      </c>
      <c r="E13" s="42" t="s">
        <v>822</v>
      </c>
      <c r="F13" s="35" t="s">
        <v>852</v>
      </c>
      <c r="G13" s="35" t="s">
        <v>853</v>
      </c>
    </row>
    <row r="14">
      <c r="A14" s="34">
        <f>ROW()-ROW(Table_Phrases[N])</f>
        <v>12</v>
      </c>
      <c r="B14" s="34" t="s">
        <v>854</v>
      </c>
      <c r="C14" s="34">
        <v>1.0</v>
      </c>
      <c r="D14" s="34">
        <v>0.0</v>
      </c>
      <c r="E14" s="42" t="s">
        <v>822</v>
      </c>
      <c r="F14" s="35" t="s">
        <v>855</v>
      </c>
      <c r="G14" s="35" t="s">
        <v>856</v>
      </c>
    </row>
    <row r="15">
      <c r="A15" s="34">
        <f>ROW()-ROW(Table_Phrases[N])</f>
        <v>13</v>
      </c>
      <c r="B15" s="34" t="s">
        <v>857</v>
      </c>
      <c r="C15" s="34">
        <v>1.0</v>
      </c>
      <c r="D15" s="34">
        <v>0.0</v>
      </c>
      <c r="E15" s="42" t="s">
        <v>822</v>
      </c>
      <c r="F15" s="35" t="s">
        <v>858</v>
      </c>
      <c r="G15" s="35" t="s">
        <v>859</v>
      </c>
    </row>
    <row r="16">
      <c r="A16" s="34">
        <f>ROW()-ROW(Table_Phrases[N])</f>
        <v>14</v>
      </c>
      <c r="B16" s="34" t="s">
        <v>687</v>
      </c>
      <c r="C16" s="34">
        <v>1.0</v>
      </c>
      <c r="D16" s="34">
        <v>0.0</v>
      </c>
      <c r="E16" s="42" t="s">
        <v>822</v>
      </c>
      <c r="F16" s="35" t="s">
        <v>860</v>
      </c>
      <c r="G16" s="35" t="s">
        <v>861</v>
      </c>
    </row>
    <row r="17">
      <c r="A17" s="34">
        <f>ROW()-ROW(Table_Phrases[N])</f>
        <v>15</v>
      </c>
      <c r="B17" s="34" t="s">
        <v>862</v>
      </c>
      <c r="C17" s="34">
        <v>0.0</v>
      </c>
      <c r="D17" s="34">
        <v>0.0</v>
      </c>
      <c r="E17" s="42" t="s">
        <v>822</v>
      </c>
      <c r="F17" s="35" t="s">
        <v>863</v>
      </c>
      <c r="G17" s="35" t="s">
        <v>864</v>
      </c>
    </row>
    <row r="18">
      <c r="A18" s="34">
        <f>ROW()-ROW(Table_Phrases[N])</f>
        <v>16</v>
      </c>
      <c r="B18" s="34" t="s">
        <v>402</v>
      </c>
      <c r="C18" s="34">
        <v>0.0</v>
      </c>
      <c r="D18" s="34">
        <v>0.0</v>
      </c>
      <c r="E18" s="42" t="s">
        <v>822</v>
      </c>
      <c r="F18" s="35" t="s">
        <v>865</v>
      </c>
      <c r="G18" s="35" t="s">
        <v>866</v>
      </c>
    </row>
    <row r="19">
      <c r="A19" s="34">
        <f>ROW()-ROW(Table_Phrases[N])</f>
        <v>17</v>
      </c>
      <c r="B19" s="34" t="s">
        <v>407</v>
      </c>
      <c r="C19" s="34">
        <v>0.0</v>
      </c>
      <c r="D19" s="34">
        <v>0.0</v>
      </c>
      <c r="E19" s="42" t="s">
        <v>822</v>
      </c>
      <c r="F19" s="35" t="s">
        <v>867</v>
      </c>
      <c r="G19" s="35" t="s">
        <v>868</v>
      </c>
    </row>
    <row r="20">
      <c r="A20" s="34">
        <f>ROW()-ROW(Table_Phrases[N])</f>
        <v>18</v>
      </c>
      <c r="B20" s="34" t="s">
        <v>410</v>
      </c>
      <c r="C20" s="34">
        <v>0.0</v>
      </c>
      <c r="D20" s="34">
        <v>0.0</v>
      </c>
      <c r="E20" s="42" t="s">
        <v>822</v>
      </c>
      <c r="F20" s="35" t="s">
        <v>869</v>
      </c>
      <c r="G20" s="35" t="s">
        <v>870</v>
      </c>
    </row>
    <row r="21">
      <c r="A21" s="34">
        <f>ROW()-ROW(Table_Phrases[N])</f>
        <v>19</v>
      </c>
      <c r="B21" s="34" t="s">
        <v>414</v>
      </c>
      <c r="C21" s="34">
        <v>0.0</v>
      </c>
      <c r="D21" s="34">
        <v>0.0</v>
      </c>
      <c r="E21" s="42" t="s">
        <v>822</v>
      </c>
      <c r="F21" s="35" t="s">
        <v>871</v>
      </c>
      <c r="G21" s="35" t="s">
        <v>872</v>
      </c>
    </row>
    <row r="22">
      <c r="A22" s="34">
        <f>ROW()-ROW(Table_Phrases[N])</f>
        <v>20</v>
      </c>
      <c r="B22" s="34" t="s">
        <v>418</v>
      </c>
      <c r="C22" s="34">
        <v>0.0</v>
      </c>
      <c r="D22" s="34">
        <v>0.0</v>
      </c>
      <c r="E22" s="42" t="s">
        <v>822</v>
      </c>
      <c r="F22" s="35" t="s">
        <v>873</v>
      </c>
      <c r="G22" s="35" t="s">
        <v>874</v>
      </c>
    </row>
    <row r="23">
      <c r="A23" s="34">
        <f>ROW()-ROW(Table_Phrases[N])</f>
        <v>21</v>
      </c>
      <c r="B23" s="34" t="s">
        <v>427</v>
      </c>
      <c r="C23" s="34">
        <v>0.0</v>
      </c>
      <c r="D23" s="34">
        <v>0.0</v>
      </c>
      <c r="E23" s="42" t="s">
        <v>822</v>
      </c>
      <c r="F23" s="35" t="s">
        <v>875</v>
      </c>
      <c r="G23" s="35" t="s">
        <v>876</v>
      </c>
    </row>
    <row r="24">
      <c r="A24" s="34">
        <f>ROW()-ROW(Table_Phrases[N])</f>
        <v>22</v>
      </c>
      <c r="B24" s="34" t="s">
        <v>431</v>
      </c>
      <c r="C24" s="34">
        <v>0.0</v>
      </c>
      <c r="D24" s="34">
        <v>0.0</v>
      </c>
      <c r="E24" s="42" t="s">
        <v>822</v>
      </c>
      <c r="F24" s="35" t="s">
        <v>877</v>
      </c>
      <c r="G24" s="35" t="s">
        <v>878</v>
      </c>
    </row>
    <row r="25">
      <c r="A25" s="34">
        <f>ROW()-ROW(Table_Phrases[N])</f>
        <v>23</v>
      </c>
      <c r="B25" s="34" t="s">
        <v>433</v>
      </c>
      <c r="C25" s="34">
        <v>0.0</v>
      </c>
      <c r="D25" s="34">
        <v>0.0</v>
      </c>
      <c r="E25" s="42" t="s">
        <v>822</v>
      </c>
      <c r="F25" s="35" t="s">
        <v>879</v>
      </c>
      <c r="G25" s="35" t="s">
        <v>880</v>
      </c>
    </row>
    <row r="26">
      <c r="A26" s="34">
        <f>ROW()-ROW(Table_Phrases[N])</f>
        <v>24</v>
      </c>
      <c r="B26" s="34" t="s">
        <v>881</v>
      </c>
      <c r="C26" s="34">
        <v>0.0</v>
      </c>
      <c r="D26" s="34">
        <v>0.0</v>
      </c>
      <c r="E26" s="42" t="s">
        <v>822</v>
      </c>
      <c r="F26" s="35" t="s">
        <v>882</v>
      </c>
      <c r="G26" s="35" t="s">
        <v>883</v>
      </c>
    </row>
    <row r="27">
      <c r="A27" s="34">
        <f>ROW()-ROW(Table_Phrases[N])</f>
        <v>25</v>
      </c>
      <c r="B27" s="34" t="s">
        <v>884</v>
      </c>
      <c r="C27" s="34">
        <v>1.0</v>
      </c>
      <c r="D27" s="34">
        <v>0.0</v>
      </c>
      <c r="E27" s="42" t="s">
        <v>822</v>
      </c>
      <c r="F27" s="35" t="s">
        <v>885</v>
      </c>
      <c r="G27" s="35" t="s">
        <v>886</v>
      </c>
    </row>
    <row r="28">
      <c r="A28" s="34">
        <f>ROW()-ROW(Table_Phrases[N])</f>
        <v>26</v>
      </c>
      <c r="B28" s="34" t="s">
        <v>725</v>
      </c>
      <c r="C28" s="34">
        <v>0.0</v>
      </c>
      <c r="D28" s="34">
        <v>0.0</v>
      </c>
      <c r="E28" s="42" t="s">
        <v>822</v>
      </c>
      <c r="F28" s="35" t="s">
        <v>887</v>
      </c>
      <c r="G28" s="35" t="s">
        <v>888</v>
      </c>
    </row>
    <row r="29">
      <c r="A29" s="34">
        <f>ROW()-ROW(Table_Phrases[N])</f>
        <v>27</v>
      </c>
      <c r="B29" s="34" t="s">
        <v>727</v>
      </c>
      <c r="C29" s="34">
        <v>0.0</v>
      </c>
      <c r="D29" s="34">
        <v>0.0</v>
      </c>
      <c r="E29" s="42" t="s">
        <v>822</v>
      </c>
      <c r="F29" s="35" t="s">
        <v>889</v>
      </c>
      <c r="G29" s="35" t="s">
        <v>890</v>
      </c>
    </row>
    <row r="30">
      <c r="A30" s="34">
        <f>ROW()-ROW(Table_Phrases[N])</f>
        <v>28</v>
      </c>
      <c r="B30" s="34" t="s">
        <v>730</v>
      </c>
      <c r="C30" s="34">
        <v>0.0</v>
      </c>
      <c r="D30" s="34">
        <v>0.0</v>
      </c>
      <c r="E30" s="42" t="s">
        <v>822</v>
      </c>
      <c r="F30" s="35" t="s">
        <v>891</v>
      </c>
      <c r="G30" s="35" t="s">
        <v>892</v>
      </c>
    </row>
    <row r="31">
      <c r="A31" s="34">
        <f>ROW()-ROW(Table_Phrases[N])</f>
        <v>29</v>
      </c>
      <c r="B31" s="34" t="s">
        <v>438</v>
      </c>
      <c r="C31" s="34">
        <v>0.0</v>
      </c>
      <c r="D31" s="34">
        <v>0.0</v>
      </c>
      <c r="E31" s="42" t="s">
        <v>822</v>
      </c>
      <c r="F31" s="35" t="s">
        <v>893</v>
      </c>
      <c r="G31" s="35" t="s">
        <v>894</v>
      </c>
    </row>
    <row r="32">
      <c r="A32" s="34">
        <f>ROW()-ROW(Table_Phrases[N])</f>
        <v>30</v>
      </c>
      <c r="B32" s="34" t="s">
        <v>689</v>
      </c>
      <c r="C32" s="34">
        <v>0.0</v>
      </c>
      <c r="D32" s="34">
        <v>0.0</v>
      </c>
      <c r="E32" s="42" t="s">
        <v>822</v>
      </c>
      <c r="F32" s="35" t="s">
        <v>895</v>
      </c>
      <c r="G32" s="35" t="s">
        <v>896</v>
      </c>
    </row>
    <row r="33">
      <c r="A33" s="34">
        <f>ROW()-ROW(Table_Phrases[N])</f>
        <v>31</v>
      </c>
      <c r="B33" s="34" t="s">
        <v>897</v>
      </c>
      <c r="C33" s="34">
        <v>1.0</v>
      </c>
      <c r="D33" s="34">
        <v>0.0</v>
      </c>
      <c r="E33" s="42" t="s">
        <v>822</v>
      </c>
      <c r="F33" s="35" t="s">
        <v>898</v>
      </c>
      <c r="G33" s="35" t="s">
        <v>899</v>
      </c>
    </row>
    <row r="34">
      <c r="A34" s="34">
        <f>ROW()-ROW(Table_Phrases[N])</f>
        <v>32</v>
      </c>
      <c r="B34" s="34" t="s">
        <v>900</v>
      </c>
      <c r="C34" s="34">
        <v>1.0</v>
      </c>
      <c r="D34" s="34">
        <v>0.0</v>
      </c>
      <c r="E34" s="42" t="s">
        <v>822</v>
      </c>
      <c r="F34" s="35" t="s">
        <v>901</v>
      </c>
      <c r="G34" s="35" t="s">
        <v>902</v>
      </c>
    </row>
    <row r="35">
      <c r="A35" s="34">
        <f>ROW()-ROW(Table_Phrases[N])</f>
        <v>33</v>
      </c>
      <c r="B35" s="34" t="s">
        <v>441</v>
      </c>
      <c r="C35" s="34">
        <v>0.0</v>
      </c>
      <c r="D35" s="34">
        <v>0.0</v>
      </c>
      <c r="E35" s="42" t="s">
        <v>822</v>
      </c>
      <c r="F35" s="35" t="s">
        <v>903</v>
      </c>
      <c r="G35" s="35" t="s">
        <v>904</v>
      </c>
    </row>
    <row r="36">
      <c r="A36" s="34">
        <f>ROW()-ROW(Table_Phrases[N])</f>
        <v>34</v>
      </c>
      <c r="B36" s="34" t="s">
        <v>905</v>
      </c>
      <c r="C36" s="34">
        <v>0.0</v>
      </c>
      <c r="D36" s="34">
        <v>0.0</v>
      </c>
      <c r="E36" s="42" t="s">
        <v>822</v>
      </c>
      <c r="F36" s="35" t="s">
        <v>906</v>
      </c>
      <c r="G36" s="35" t="s">
        <v>907</v>
      </c>
    </row>
    <row r="37">
      <c r="A37" s="34">
        <f>ROW()-ROW(Table_Phrases[N])</f>
        <v>35</v>
      </c>
      <c r="B37" s="34" t="s">
        <v>908</v>
      </c>
      <c r="C37" s="34">
        <v>1.0</v>
      </c>
      <c r="D37" s="34">
        <v>0.0</v>
      </c>
      <c r="E37" s="42" t="s">
        <v>822</v>
      </c>
      <c r="F37" s="35" t="s">
        <v>909</v>
      </c>
      <c r="G37" s="35" t="s">
        <v>910</v>
      </c>
    </row>
    <row r="38">
      <c r="A38" s="34">
        <f>ROW()-ROW(Table_Phrases[N])</f>
        <v>36</v>
      </c>
      <c r="B38" s="34" t="s">
        <v>911</v>
      </c>
      <c r="C38" s="34">
        <v>0.0</v>
      </c>
      <c r="D38" s="34">
        <v>0.0</v>
      </c>
      <c r="E38" s="42" t="s">
        <v>822</v>
      </c>
      <c r="F38" s="35" t="s">
        <v>912</v>
      </c>
      <c r="G38" s="35" t="s">
        <v>913</v>
      </c>
    </row>
    <row r="39">
      <c r="A39" s="34">
        <f>ROW()-ROW(Table_Phrases[N])</f>
        <v>37</v>
      </c>
      <c r="B39" s="34" t="s">
        <v>914</v>
      </c>
      <c r="C39" s="34">
        <v>1.0</v>
      </c>
      <c r="D39" s="34">
        <v>0.0</v>
      </c>
      <c r="E39" s="42" t="s">
        <v>822</v>
      </c>
      <c r="F39" s="35" t="s">
        <v>915</v>
      </c>
      <c r="G39" s="35" t="s">
        <v>916</v>
      </c>
    </row>
    <row r="40">
      <c r="A40" s="34">
        <f>ROW()-ROW(Table_Phrases[N])</f>
        <v>38</v>
      </c>
      <c r="B40" s="34" t="s">
        <v>917</v>
      </c>
      <c r="C40" s="34">
        <v>0.0</v>
      </c>
      <c r="D40" s="34">
        <v>0.0</v>
      </c>
      <c r="E40" s="42" t="s">
        <v>822</v>
      </c>
      <c r="F40" s="35" t="s">
        <v>918</v>
      </c>
      <c r="G40" s="35" t="s">
        <v>919</v>
      </c>
    </row>
    <row r="41">
      <c r="A41" s="34">
        <f>ROW()-ROW(Table_Phrases[N])</f>
        <v>39</v>
      </c>
      <c r="B41" s="34" t="s">
        <v>920</v>
      </c>
      <c r="C41" s="34">
        <v>1.0</v>
      </c>
      <c r="D41" s="34">
        <v>0.0</v>
      </c>
      <c r="E41" s="42" t="s">
        <v>822</v>
      </c>
      <c r="F41" s="35" t="s">
        <v>921</v>
      </c>
      <c r="G41" s="35" t="s">
        <v>922</v>
      </c>
    </row>
    <row r="42">
      <c r="A42" s="34">
        <f>ROW()-ROW(Table_Phrases[N])</f>
        <v>40</v>
      </c>
      <c r="B42" s="34" t="s">
        <v>923</v>
      </c>
      <c r="C42" s="34">
        <v>0.0</v>
      </c>
      <c r="D42" s="34">
        <v>0.0</v>
      </c>
      <c r="E42" s="42" t="s">
        <v>822</v>
      </c>
      <c r="F42" s="35" t="s">
        <v>924</v>
      </c>
      <c r="G42" s="35" t="s">
        <v>925</v>
      </c>
    </row>
    <row r="43">
      <c r="A43" s="34">
        <f>ROW()-ROW(Table_Phrases[N])</f>
        <v>41</v>
      </c>
      <c r="B43" s="34" t="s">
        <v>926</v>
      </c>
      <c r="C43" s="34">
        <v>1.0</v>
      </c>
      <c r="D43" s="34">
        <v>0.0</v>
      </c>
      <c r="E43" s="42" t="s">
        <v>822</v>
      </c>
      <c r="F43" s="35" t="s">
        <v>927</v>
      </c>
      <c r="G43" s="35" t="s">
        <v>928</v>
      </c>
    </row>
    <row r="44">
      <c r="A44" s="34">
        <f>ROW()-ROW(Table_Phrases[N])</f>
        <v>42</v>
      </c>
      <c r="B44" s="34" t="s">
        <v>929</v>
      </c>
      <c r="C44" s="34">
        <v>0.0</v>
      </c>
      <c r="D44" s="34">
        <v>0.0</v>
      </c>
      <c r="E44" s="42" t="s">
        <v>822</v>
      </c>
      <c r="F44" s="35" t="s">
        <v>930</v>
      </c>
      <c r="G44" s="35" t="s">
        <v>931</v>
      </c>
    </row>
    <row r="45">
      <c r="A45" s="34">
        <f>ROW()-ROW(Table_Phrases[N])</f>
        <v>43</v>
      </c>
      <c r="B45" s="34" t="s">
        <v>932</v>
      </c>
      <c r="C45" s="34">
        <v>1.0</v>
      </c>
      <c r="D45" s="34">
        <v>0.0</v>
      </c>
      <c r="E45" s="42" t="s">
        <v>822</v>
      </c>
      <c r="F45" s="35" t="s">
        <v>933</v>
      </c>
      <c r="G45" s="35" t="s">
        <v>934</v>
      </c>
    </row>
    <row r="46">
      <c r="A46" s="34">
        <f>ROW()-ROW(Table_Phrases[N])</f>
        <v>44</v>
      </c>
      <c r="B46" s="34" t="s">
        <v>935</v>
      </c>
      <c r="C46" s="34">
        <v>1.0</v>
      </c>
      <c r="D46" s="34">
        <v>0.0</v>
      </c>
      <c r="E46" s="42" t="s">
        <v>822</v>
      </c>
      <c r="F46" s="35" t="s">
        <v>936</v>
      </c>
      <c r="G46" s="35" t="s">
        <v>937</v>
      </c>
    </row>
    <row r="47">
      <c r="A47" s="34">
        <f>ROW()-ROW(Table_Phrases[N])</f>
        <v>45</v>
      </c>
      <c r="B47" s="34" t="s">
        <v>938</v>
      </c>
      <c r="C47" s="34">
        <v>0.0</v>
      </c>
      <c r="D47" s="34">
        <v>0.0</v>
      </c>
      <c r="E47" s="42" t="s">
        <v>822</v>
      </c>
      <c r="F47" s="35" t="s">
        <v>939</v>
      </c>
      <c r="G47" s="35" t="s">
        <v>940</v>
      </c>
    </row>
    <row r="48">
      <c r="A48" s="34">
        <f>ROW()-ROW(Table_Phrases[N])</f>
        <v>46</v>
      </c>
      <c r="B48" s="34" t="s">
        <v>941</v>
      </c>
      <c r="C48" s="34">
        <v>1.0</v>
      </c>
      <c r="D48" s="34">
        <v>0.0</v>
      </c>
      <c r="E48" s="42" t="s">
        <v>822</v>
      </c>
      <c r="F48" s="35" t="s">
        <v>942</v>
      </c>
      <c r="G48" s="35" t="s">
        <v>943</v>
      </c>
    </row>
    <row r="49">
      <c r="A49" s="34">
        <f>ROW()-ROW(Table_Phrases[N])</f>
        <v>47</v>
      </c>
      <c r="B49" s="34" t="s">
        <v>944</v>
      </c>
      <c r="C49" s="34">
        <v>0.0</v>
      </c>
      <c r="D49" s="34">
        <v>0.0</v>
      </c>
      <c r="E49" s="42" t="s">
        <v>822</v>
      </c>
      <c r="F49" s="35" t="s">
        <v>945</v>
      </c>
      <c r="G49" s="35" t="s">
        <v>946</v>
      </c>
    </row>
    <row r="50">
      <c r="A50" s="34">
        <f>ROW()-ROW(Table_Phrases[N])</f>
        <v>48</v>
      </c>
      <c r="B50" s="34" t="s">
        <v>947</v>
      </c>
      <c r="C50" s="34">
        <v>0.0</v>
      </c>
      <c r="D50" s="34">
        <v>0.0</v>
      </c>
      <c r="E50" s="42" t="s">
        <v>822</v>
      </c>
      <c r="F50" s="35" t="s">
        <v>948</v>
      </c>
      <c r="G50" s="35" t="s">
        <v>949</v>
      </c>
    </row>
    <row r="51">
      <c r="A51" s="34">
        <f>ROW()-ROW(Table_Phrases[N])</f>
        <v>49</v>
      </c>
      <c r="B51" s="34" t="s">
        <v>950</v>
      </c>
      <c r="C51" s="34">
        <v>1.0</v>
      </c>
      <c r="D51" s="34">
        <v>0.0</v>
      </c>
      <c r="E51" s="42" t="s">
        <v>822</v>
      </c>
      <c r="F51" s="35" t="s">
        <v>951</v>
      </c>
      <c r="G51" s="35" t="s">
        <v>952</v>
      </c>
    </row>
    <row r="52">
      <c r="A52" s="34">
        <f>ROW()-ROW(Table_Phrases[N])</f>
        <v>50</v>
      </c>
      <c r="B52" s="34" t="s">
        <v>953</v>
      </c>
      <c r="C52" s="34">
        <v>1.0</v>
      </c>
      <c r="D52" s="34">
        <v>0.0</v>
      </c>
      <c r="E52" s="42" t="s">
        <v>822</v>
      </c>
      <c r="F52" s="35" t="s">
        <v>954</v>
      </c>
      <c r="G52" s="35" t="s">
        <v>955</v>
      </c>
    </row>
    <row r="53">
      <c r="A53" s="34">
        <f>ROW()-ROW(Table_Phrases[N])</f>
        <v>51</v>
      </c>
      <c r="B53" s="34" t="s">
        <v>956</v>
      </c>
      <c r="C53" s="34">
        <v>1.0</v>
      </c>
      <c r="D53" s="34">
        <v>0.0</v>
      </c>
      <c r="E53" s="42" t="s">
        <v>822</v>
      </c>
      <c r="F53" s="35" t="s">
        <v>957</v>
      </c>
      <c r="G53" s="35" t="s">
        <v>958</v>
      </c>
    </row>
    <row r="54">
      <c r="A54" s="34">
        <f>ROW()-ROW(Table_Phrases[N])</f>
        <v>52</v>
      </c>
      <c r="B54" s="34" t="s">
        <v>959</v>
      </c>
      <c r="C54" s="34">
        <v>0.0</v>
      </c>
      <c r="D54" s="34">
        <v>0.0</v>
      </c>
      <c r="E54" s="42" t="s">
        <v>822</v>
      </c>
      <c r="F54" s="35" t="s">
        <v>960</v>
      </c>
      <c r="G54" s="35" t="s">
        <v>961</v>
      </c>
    </row>
    <row r="55">
      <c r="A55" s="34">
        <f>ROW()-ROW(Table_Phrases[N])</f>
        <v>53</v>
      </c>
      <c r="B55" s="34" t="s">
        <v>702</v>
      </c>
      <c r="C55" s="34">
        <v>0.0</v>
      </c>
      <c r="D55" s="34">
        <v>0.0</v>
      </c>
      <c r="E55" s="42" t="s">
        <v>822</v>
      </c>
      <c r="F55" s="35" t="s">
        <v>962</v>
      </c>
      <c r="G55" s="35" t="s">
        <v>963</v>
      </c>
    </row>
    <row r="56">
      <c r="A56" s="34">
        <f>ROW()-ROW(Table_Phrases[N])</f>
        <v>54</v>
      </c>
      <c r="B56" s="34" t="s">
        <v>964</v>
      </c>
      <c r="C56" s="34">
        <v>0.0</v>
      </c>
      <c r="D56" s="34">
        <v>0.0</v>
      </c>
      <c r="E56" s="42" t="s">
        <v>822</v>
      </c>
      <c r="F56" s="35" t="s">
        <v>965</v>
      </c>
      <c r="G56" s="35" t="s">
        <v>966</v>
      </c>
    </row>
    <row r="57">
      <c r="A57" s="34">
        <f>ROW()-ROW(Table_Phrases[N])</f>
        <v>55</v>
      </c>
      <c r="B57" s="34" t="s">
        <v>703</v>
      </c>
      <c r="C57" s="34">
        <v>1.0</v>
      </c>
      <c r="D57" s="34">
        <v>0.0</v>
      </c>
      <c r="E57" s="42" t="s">
        <v>822</v>
      </c>
      <c r="F57" s="35" t="s">
        <v>967</v>
      </c>
      <c r="G57" s="35" t="s">
        <v>968</v>
      </c>
    </row>
    <row r="58">
      <c r="A58" s="34">
        <f>ROW()-ROW(Table_Phrases[N])</f>
        <v>56</v>
      </c>
      <c r="B58" s="34" t="s">
        <v>449</v>
      </c>
      <c r="C58" s="34">
        <v>0.0</v>
      </c>
      <c r="D58" s="34">
        <v>0.0</v>
      </c>
      <c r="E58" s="42" t="s">
        <v>822</v>
      </c>
      <c r="F58" s="35" t="s">
        <v>969</v>
      </c>
      <c r="G58" s="35" t="s">
        <v>970</v>
      </c>
    </row>
    <row r="59">
      <c r="A59" s="34">
        <f>ROW()-ROW(Table_Phrases[N])</f>
        <v>57</v>
      </c>
      <c r="B59" s="34" t="s">
        <v>971</v>
      </c>
      <c r="C59" s="34">
        <v>0.0</v>
      </c>
      <c r="D59" s="34">
        <v>0.0</v>
      </c>
      <c r="E59" s="42" t="s">
        <v>820</v>
      </c>
      <c r="F59" s="35" t="s">
        <v>972</v>
      </c>
      <c r="G59" s="35" t="s">
        <v>973</v>
      </c>
    </row>
    <row r="60">
      <c r="A60" s="34">
        <f>ROW()-ROW(Table_Phrases[N])</f>
        <v>58</v>
      </c>
      <c r="B60" s="34" t="s">
        <v>974</v>
      </c>
      <c r="C60" s="34">
        <v>0.0</v>
      </c>
      <c r="D60" s="34">
        <v>0.0</v>
      </c>
      <c r="E60" s="42" t="s">
        <v>820</v>
      </c>
      <c r="F60" s="35" t="s">
        <v>975</v>
      </c>
      <c r="G60" s="35" t="s">
        <v>976</v>
      </c>
    </row>
    <row r="61">
      <c r="A61" s="34">
        <f>ROW()-ROW(Table_Phrases[N])</f>
        <v>59</v>
      </c>
      <c r="B61" s="34" t="s">
        <v>977</v>
      </c>
      <c r="C61" s="34">
        <v>0.0</v>
      </c>
      <c r="D61" s="34">
        <v>0.0</v>
      </c>
      <c r="E61" s="42" t="s">
        <v>820</v>
      </c>
      <c r="F61" s="35" t="s">
        <v>978</v>
      </c>
      <c r="G61" s="35" t="s">
        <v>979</v>
      </c>
    </row>
    <row r="62">
      <c r="A62" s="34">
        <f>ROW()-ROW(Table_Phrases[N])</f>
        <v>60</v>
      </c>
      <c r="B62" s="34" t="s">
        <v>455</v>
      </c>
      <c r="C62" s="34">
        <v>0.0</v>
      </c>
      <c r="D62" s="34">
        <v>0.0</v>
      </c>
      <c r="E62" s="42" t="s">
        <v>822</v>
      </c>
      <c r="F62" s="35" t="s">
        <v>980</v>
      </c>
      <c r="G62" s="35" t="s">
        <v>981</v>
      </c>
    </row>
    <row r="63">
      <c r="A63" s="34">
        <f>ROW()-ROW(Table_Phrases[N])</f>
        <v>61</v>
      </c>
      <c r="B63" s="34" t="s">
        <v>982</v>
      </c>
      <c r="C63" s="34">
        <v>0.0</v>
      </c>
      <c r="D63" s="34">
        <v>0.0</v>
      </c>
      <c r="E63" s="42" t="s">
        <v>822</v>
      </c>
      <c r="F63" s="35" t="s">
        <v>983</v>
      </c>
      <c r="G63" s="35" t="s">
        <v>983</v>
      </c>
    </row>
    <row r="64">
      <c r="A64" s="34">
        <f>ROW()-ROW(Table_Phrases[N])</f>
        <v>62</v>
      </c>
      <c r="B64" s="34" t="s">
        <v>984</v>
      </c>
      <c r="C64" s="34">
        <v>0.0</v>
      </c>
      <c r="D64" s="34">
        <v>0.0</v>
      </c>
      <c r="E64" s="42" t="s">
        <v>822</v>
      </c>
      <c r="F64" s="35" t="s">
        <v>985</v>
      </c>
      <c r="G64" s="35" t="s">
        <v>985</v>
      </c>
    </row>
    <row r="65">
      <c r="A65" s="34">
        <f>ROW()-ROW(Table_Phrases[N])</f>
        <v>63</v>
      </c>
      <c r="B65" s="34" t="s">
        <v>986</v>
      </c>
      <c r="C65" s="34">
        <v>0.0</v>
      </c>
      <c r="D65" s="34">
        <v>0.0</v>
      </c>
      <c r="E65" s="42" t="s">
        <v>822</v>
      </c>
      <c r="F65" s="35" t="s">
        <v>987</v>
      </c>
      <c r="G65" s="35" t="s">
        <v>987</v>
      </c>
    </row>
    <row r="66">
      <c r="A66" s="34">
        <f>ROW()-ROW(Table_Phrases[N])</f>
        <v>64</v>
      </c>
      <c r="B66" s="34" t="s">
        <v>988</v>
      </c>
      <c r="C66" s="34">
        <v>0.0</v>
      </c>
      <c r="D66" s="34">
        <v>0.0</v>
      </c>
      <c r="E66" s="42" t="s">
        <v>822</v>
      </c>
      <c r="F66" s="35" t="s">
        <v>989</v>
      </c>
      <c r="G66" s="35" t="s">
        <v>989</v>
      </c>
    </row>
    <row r="67">
      <c r="A67" s="34">
        <f>ROW()-ROW(Table_Phrases[N])</f>
        <v>65</v>
      </c>
      <c r="B67" s="34" t="s">
        <v>990</v>
      </c>
      <c r="C67" s="34">
        <v>0.0</v>
      </c>
      <c r="D67" s="34">
        <v>0.0</v>
      </c>
      <c r="E67" s="42" t="s">
        <v>822</v>
      </c>
      <c r="F67" s="35" t="s">
        <v>991</v>
      </c>
      <c r="G67" s="35" t="s">
        <v>991</v>
      </c>
    </row>
    <row r="68">
      <c r="A68" s="34">
        <f>ROW()-ROW(Table_Phrases[N])</f>
        <v>66</v>
      </c>
      <c r="B68" s="34" t="s">
        <v>992</v>
      </c>
      <c r="C68" s="34">
        <v>1.0</v>
      </c>
      <c r="D68" s="34">
        <v>0.0</v>
      </c>
      <c r="E68" s="42" t="s">
        <v>822</v>
      </c>
      <c r="F68" s="35" t="s">
        <v>993</v>
      </c>
      <c r="G68" s="35" t="s">
        <v>993</v>
      </c>
    </row>
    <row r="69">
      <c r="A69" s="34">
        <f>ROW()-ROW(Table_Phrases[N])</f>
        <v>67</v>
      </c>
      <c r="B69" s="34" t="s">
        <v>994</v>
      </c>
      <c r="C69" s="34">
        <v>0.0</v>
      </c>
      <c r="D69" s="34">
        <v>0.0</v>
      </c>
      <c r="E69" s="42" t="s">
        <v>822</v>
      </c>
      <c r="F69" s="35" t="s">
        <v>995</v>
      </c>
      <c r="G69" s="35" t="s">
        <v>995</v>
      </c>
    </row>
    <row r="70">
      <c r="A70" s="34">
        <f>ROW()-ROW(Table_Phrases[N])</f>
        <v>68</v>
      </c>
      <c r="B70" s="34" t="s">
        <v>996</v>
      </c>
      <c r="C70" s="34">
        <v>1.0</v>
      </c>
      <c r="D70" s="34">
        <v>0.0</v>
      </c>
      <c r="E70" s="42" t="s">
        <v>822</v>
      </c>
      <c r="F70" s="35" t="s">
        <v>997</v>
      </c>
      <c r="G70" s="35" t="s">
        <v>997</v>
      </c>
    </row>
    <row r="71">
      <c r="A71" s="34">
        <f>ROW()-ROW(Table_Phrases[N])</f>
        <v>69</v>
      </c>
      <c r="B71" s="34" t="s">
        <v>998</v>
      </c>
      <c r="C71" s="34">
        <v>0.0</v>
      </c>
      <c r="D71" s="34">
        <v>0.0</v>
      </c>
      <c r="E71" s="42" t="s">
        <v>822</v>
      </c>
      <c r="F71" s="35" t="s">
        <v>999</v>
      </c>
      <c r="G71" s="35" t="s">
        <v>999</v>
      </c>
    </row>
    <row r="72">
      <c r="A72" s="34">
        <f>ROW()-ROW(Table_Phrases[N])</f>
        <v>70</v>
      </c>
      <c r="B72" s="34" t="s">
        <v>1000</v>
      </c>
      <c r="C72" s="34">
        <v>1.0</v>
      </c>
      <c r="D72" s="34">
        <v>0.0</v>
      </c>
      <c r="E72" s="42" t="s">
        <v>822</v>
      </c>
      <c r="F72" s="35" t="s">
        <v>1001</v>
      </c>
      <c r="G72" s="35" t="s">
        <v>1001</v>
      </c>
    </row>
    <row r="73">
      <c r="A73" s="34">
        <f>ROW()-ROW(Table_Phrases[N])</f>
        <v>71</v>
      </c>
      <c r="B73" s="34" t="s">
        <v>1002</v>
      </c>
      <c r="C73" s="34">
        <v>0.0</v>
      </c>
      <c r="D73" s="34">
        <v>0.0</v>
      </c>
      <c r="E73" s="42" t="s">
        <v>822</v>
      </c>
      <c r="F73" s="35" t="s">
        <v>1003</v>
      </c>
      <c r="G73" s="35" t="s">
        <v>1003</v>
      </c>
    </row>
    <row r="74">
      <c r="A74" s="34">
        <f>ROW()-ROW(Table_Phrases[N])</f>
        <v>72</v>
      </c>
      <c r="B74" s="34" t="s">
        <v>1004</v>
      </c>
      <c r="C74" s="34">
        <v>1.0</v>
      </c>
      <c r="D74" s="34">
        <v>0.0</v>
      </c>
      <c r="E74" s="42" t="s">
        <v>822</v>
      </c>
      <c r="F74" s="35" t="s">
        <v>1005</v>
      </c>
      <c r="G74" s="35" t="s">
        <v>1005</v>
      </c>
    </row>
    <row r="75">
      <c r="A75" s="34">
        <f>ROW()-ROW(Table_Phrases[N])</f>
        <v>73</v>
      </c>
      <c r="B75" s="34" t="s">
        <v>1006</v>
      </c>
      <c r="C75" s="34">
        <v>0.0</v>
      </c>
      <c r="D75" s="34">
        <v>0.0</v>
      </c>
      <c r="E75" s="42" t="s">
        <v>822</v>
      </c>
      <c r="F75" s="35" t="s">
        <v>1007</v>
      </c>
      <c r="G75" s="35" t="s">
        <v>1007</v>
      </c>
    </row>
    <row r="76">
      <c r="A76" s="34">
        <f>ROW()-ROW(Table_Phrases[N])</f>
        <v>74</v>
      </c>
      <c r="B76" s="34" t="s">
        <v>1008</v>
      </c>
      <c r="C76" s="34">
        <v>1.0</v>
      </c>
      <c r="D76" s="34">
        <v>0.0</v>
      </c>
      <c r="E76" s="42" t="s">
        <v>822</v>
      </c>
      <c r="F76" s="35" t="s">
        <v>1009</v>
      </c>
      <c r="G76" s="35" t="s">
        <v>1009</v>
      </c>
    </row>
    <row r="77">
      <c r="A77" s="34">
        <f>ROW()-ROW(Table_Phrases[N])</f>
        <v>75</v>
      </c>
      <c r="B77" s="34" t="s">
        <v>1010</v>
      </c>
      <c r="C77" s="34">
        <v>0.0</v>
      </c>
      <c r="D77" s="34">
        <v>0.0</v>
      </c>
      <c r="E77" s="42" t="s">
        <v>822</v>
      </c>
      <c r="F77" s="35" t="s">
        <v>1011</v>
      </c>
      <c r="G77" s="35" t="s">
        <v>1011</v>
      </c>
    </row>
    <row r="78">
      <c r="A78" s="34">
        <f>ROW()-ROW(Table_Phrases[N])</f>
        <v>76</v>
      </c>
      <c r="B78" s="34" t="s">
        <v>713</v>
      </c>
      <c r="C78" s="34">
        <v>0.0</v>
      </c>
      <c r="D78" s="34">
        <v>0.0</v>
      </c>
      <c r="E78" s="42" t="s">
        <v>822</v>
      </c>
      <c r="F78" s="35" t="s">
        <v>36</v>
      </c>
      <c r="G78" s="35" t="s">
        <v>36</v>
      </c>
    </row>
    <row r="79">
      <c r="A79" s="34">
        <f>ROW()-ROW(Table_Phrases[N])</f>
        <v>77</v>
      </c>
      <c r="B79" s="34" t="s">
        <v>1012</v>
      </c>
      <c r="C79" s="34">
        <v>1.0</v>
      </c>
      <c r="D79" s="34">
        <v>0.0</v>
      </c>
      <c r="E79" s="42" t="s">
        <v>822</v>
      </c>
      <c r="F79" s="35" t="s">
        <v>1013</v>
      </c>
      <c r="G79" s="35" t="s">
        <v>1013</v>
      </c>
    </row>
    <row r="80">
      <c r="A80" s="34">
        <f>ROW()-ROW(Table_Phrases[N])</f>
        <v>78</v>
      </c>
      <c r="B80" s="34" t="s">
        <v>1014</v>
      </c>
      <c r="C80" s="34">
        <v>1.0</v>
      </c>
      <c r="D80" s="34">
        <v>0.0</v>
      </c>
      <c r="E80" s="42" t="s">
        <v>822</v>
      </c>
      <c r="F80" s="35" t="s">
        <v>1015</v>
      </c>
      <c r="G80" s="35" t="s">
        <v>1015</v>
      </c>
    </row>
    <row r="81">
      <c r="A81" s="34">
        <f>ROW()-ROW(Table_Phrases[N])</f>
        <v>79</v>
      </c>
      <c r="B81" s="34" t="s">
        <v>1016</v>
      </c>
      <c r="C81" s="34">
        <v>1.0</v>
      </c>
      <c r="D81" s="34">
        <v>0.0</v>
      </c>
      <c r="E81" s="42" t="s">
        <v>822</v>
      </c>
      <c r="F81" s="35" t="s">
        <v>1017</v>
      </c>
      <c r="G81" s="35" t="s">
        <v>1017</v>
      </c>
    </row>
    <row r="82">
      <c r="A82" s="34">
        <f>ROW()-ROW(Table_Phrases[N])</f>
        <v>80</v>
      </c>
      <c r="B82" s="34" t="s">
        <v>1018</v>
      </c>
      <c r="C82" s="34">
        <v>0.0</v>
      </c>
      <c r="D82" s="34">
        <v>0.0</v>
      </c>
      <c r="E82" s="42" t="s">
        <v>822</v>
      </c>
      <c r="F82" s="35" t="s">
        <v>1019</v>
      </c>
      <c r="G82" s="35" t="s">
        <v>1020</v>
      </c>
    </row>
    <row r="83">
      <c r="A83" s="34">
        <f>ROW()-ROW(Table_Phrases[N])</f>
        <v>81</v>
      </c>
      <c r="B83" s="34" t="s">
        <v>1021</v>
      </c>
      <c r="C83" s="34">
        <v>0.0</v>
      </c>
      <c r="D83" s="34">
        <v>0.0</v>
      </c>
      <c r="E83" s="42" t="s">
        <v>822</v>
      </c>
      <c r="F83" s="35" t="s">
        <v>1022</v>
      </c>
      <c r="G83" s="35" t="s">
        <v>1023</v>
      </c>
    </row>
    <row r="84">
      <c r="A84" s="34">
        <f>ROW()-ROW(Table_Phrases[N])</f>
        <v>82</v>
      </c>
      <c r="B84" s="34" t="s">
        <v>1024</v>
      </c>
      <c r="C84" s="34">
        <v>0.0</v>
      </c>
      <c r="D84" s="34">
        <v>0.0</v>
      </c>
      <c r="E84" s="42" t="s">
        <v>822</v>
      </c>
      <c r="F84" s="35" t="s">
        <v>1025</v>
      </c>
      <c r="G84" s="35" t="s">
        <v>1026</v>
      </c>
    </row>
    <row r="85">
      <c r="A85" s="34">
        <f>ROW()-ROW(Table_Phrases[N])</f>
        <v>83</v>
      </c>
      <c r="B85" s="34" t="s">
        <v>462</v>
      </c>
      <c r="C85" s="34">
        <v>0.0</v>
      </c>
      <c r="D85" s="34">
        <v>0.0</v>
      </c>
      <c r="E85" s="42" t="s">
        <v>822</v>
      </c>
      <c r="F85" s="35" t="s">
        <v>1027</v>
      </c>
      <c r="G85" s="35" t="s">
        <v>1028</v>
      </c>
    </row>
    <row r="86">
      <c r="A86" s="34">
        <f>ROW()-ROW(Table_Phrases[N])</f>
        <v>84</v>
      </c>
      <c r="B86" s="34" t="s">
        <v>468</v>
      </c>
      <c r="C86" s="34">
        <v>0.0</v>
      </c>
      <c r="D86" s="34">
        <v>0.0</v>
      </c>
      <c r="E86" s="42" t="s">
        <v>822</v>
      </c>
      <c r="F86" s="35" t="s">
        <v>1029</v>
      </c>
      <c r="G86" s="35" t="s">
        <v>1029</v>
      </c>
    </row>
    <row r="87">
      <c r="A87" s="34">
        <f>ROW()-ROW(Table_Phrases[N])</f>
        <v>85</v>
      </c>
      <c r="B87" s="34" t="s">
        <v>471</v>
      </c>
      <c r="C87" s="34">
        <v>0.0</v>
      </c>
      <c r="D87" s="34">
        <v>0.0</v>
      </c>
      <c r="E87" s="42" t="s">
        <v>822</v>
      </c>
      <c r="F87" s="35" t="s">
        <v>1030</v>
      </c>
      <c r="G87" s="35" t="s">
        <v>1031</v>
      </c>
    </row>
    <row r="88">
      <c r="A88" s="34">
        <f>ROW()-ROW(Table_Phrases[N])</f>
        <v>86</v>
      </c>
      <c r="B88" s="34" t="s">
        <v>475</v>
      </c>
      <c r="C88" s="34">
        <v>0.0</v>
      </c>
      <c r="D88" s="34">
        <v>0.0</v>
      </c>
      <c r="E88" s="42" t="s">
        <v>822</v>
      </c>
      <c r="F88" s="35" t="s">
        <v>1032</v>
      </c>
      <c r="G88" s="35" t="s">
        <v>1033</v>
      </c>
    </row>
    <row r="89">
      <c r="A89" s="34">
        <f>ROW()-ROW(Table_Phrases[N])</f>
        <v>87</v>
      </c>
      <c r="B89" s="34" t="s">
        <v>465</v>
      </c>
      <c r="C89" s="34">
        <v>0.0</v>
      </c>
      <c r="D89" s="34">
        <v>0.0</v>
      </c>
      <c r="E89" s="42" t="s">
        <v>822</v>
      </c>
      <c r="F89" s="35" t="s">
        <v>1034</v>
      </c>
      <c r="G89" s="35" t="s">
        <v>1035</v>
      </c>
    </row>
    <row r="90">
      <c r="A90" s="34">
        <f>ROW()-ROW(Table_Phrases[N])</f>
        <v>88</v>
      </c>
      <c r="B90" s="34" t="s">
        <v>479</v>
      </c>
      <c r="C90" s="34">
        <v>0.0</v>
      </c>
      <c r="D90" s="34">
        <v>0.0</v>
      </c>
      <c r="E90" s="42" t="s">
        <v>822</v>
      </c>
      <c r="F90" s="35" t="s">
        <v>1036</v>
      </c>
      <c r="G90" s="35" t="s">
        <v>1037</v>
      </c>
    </row>
    <row r="91">
      <c r="A91" s="34">
        <f>ROW()-ROW(Table_Phrases[N])</f>
        <v>89</v>
      </c>
      <c r="B91" s="34" t="s">
        <v>482</v>
      </c>
      <c r="C91" s="34">
        <v>0.0</v>
      </c>
      <c r="D91" s="34">
        <v>0.0</v>
      </c>
      <c r="E91" s="42" t="s">
        <v>822</v>
      </c>
      <c r="F91" s="35" t="s">
        <v>1038</v>
      </c>
      <c r="G91" s="35" t="s">
        <v>1039</v>
      </c>
    </row>
    <row r="92">
      <c r="A92" s="34">
        <f>ROW()-ROW(Table_Phrases[N])</f>
        <v>90</v>
      </c>
      <c r="B92" s="34" t="s">
        <v>484</v>
      </c>
      <c r="C92" s="34">
        <v>0.0</v>
      </c>
      <c r="D92" s="34">
        <v>0.0</v>
      </c>
      <c r="E92" s="42" t="s">
        <v>822</v>
      </c>
      <c r="F92" s="35" t="s">
        <v>1040</v>
      </c>
      <c r="G92" s="35" t="s">
        <v>1041</v>
      </c>
    </row>
    <row r="93">
      <c r="A93" s="34">
        <f>ROW()-ROW(Table_Phrases[N])</f>
        <v>91</v>
      </c>
      <c r="B93" s="34" t="s">
        <v>487</v>
      </c>
      <c r="C93" s="34">
        <v>0.0</v>
      </c>
      <c r="D93" s="34">
        <v>0.0</v>
      </c>
      <c r="E93" s="42" t="s">
        <v>822</v>
      </c>
      <c r="F93" s="35" t="s">
        <v>1042</v>
      </c>
      <c r="G93" s="35" t="s">
        <v>1043</v>
      </c>
    </row>
    <row r="94">
      <c r="A94" s="34">
        <f>ROW()-ROW(Table_Phrases[N])</f>
        <v>92</v>
      </c>
      <c r="B94" s="34" t="s">
        <v>489</v>
      </c>
      <c r="C94" s="34">
        <v>0.0</v>
      </c>
      <c r="D94" s="34">
        <v>0.0</v>
      </c>
      <c r="E94" s="42" t="s">
        <v>822</v>
      </c>
      <c r="F94" s="35" t="s">
        <v>1044</v>
      </c>
      <c r="G94" s="35" t="s">
        <v>1044</v>
      </c>
    </row>
    <row r="95">
      <c r="A95" s="34">
        <f>ROW()-ROW(Table_Phrases[N])</f>
        <v>93</v>
      </c>
      <c r="B95" s="34" t="s">
        <v>492</v>
      </c>
      <c r="C95" s="34">
        <v>0.0</v>
      </c>
      <c r="D95" s="34">
        <v>0.0</v>
      </c>
      <c r="E95" s="42" t="s">
        <v>822</v>
      </c>
      <c r="F95" s="35" t="s">
        <v>1045</v>
      </c>
      <c r="G95" s="35" t="s">
        <v>1046</v>
      </c>
    </row>
    <row r="96">
      <c r="A96" s="34">
        <f>ROW()-ROW(Table_Phrases[N])</f>
        <v>94</v>
      </c>
      <c r="B96" s="34" t="s">
        <v>495</v>
      </c>
      <c r="C96" s="34">
        <v>0.0</v>
      </c>
      <c r="D96" s="34">
        <v>0.0</v>
      </c>
      <c r="E96" s="42" t="s">
        <v>822</v>
      </c>
      <c r="F96" s="35" t="s">
        <v>1047</v>
      </c>
      <c r="G96" s="35" t="s">
        <v>1048</v>
      </c>
    </row>
    <row r="97">
      <c r="A97" s="34">
        <f>ROW()-ROW(Table_Phrases[N])</f>
        <v>95</v>
      </c>
      <c r="B97" s="34" t="s">
        <v>498</v>
      </c>
      <c r="C97" s="34">
        <v>0.0</v>
      </c>
      <c r="D97" s="34">
        <v>0.0</v>
      </c>
      <c r="E97" s="42" t="s">
        <v>822</v>
      </c>
      <c r="F97" s="35" t="s">
        <v>14</v>
      </c>
      <c r="G97" s="35" t="s">
        <v>1049</v>
      </c>
    </row>
    <row r="98">
      <c r="A98" s="34">
        <f>ROW()-ROW(Table_Phrases[N])</f>
        <v>96</v>
      </c>
      <c r="B98" s="34" t="s">
        <v>502</v>
      </c>
      <c r="C98" s="34">
        <v>0.0</v>
      </c>
      <c r="D98" s="34">
        <v>0.0</v>
      </c>
      <c r="E98" s="42" t="s">
        <v>820</v>
      </c>
      <c r="F98" s="35" t="s">
        <v>1050</v>
      </c>
      <c r="G98" s="35" t="s">
        <v>1051</v>
      </c>
    </row>
    <row r="99">
      <c r="A99" s="34">
        <f>ROW()-ROW(Table_Phrases[N])</f>
        <v>97</v>
      </c>
      <c r="B99" s="34" t="s">
        <v>506</v>
      </c>
      <c r="C99" s="34">
        <v>0.0</v>
      </c>
      <c r="D99" s="34">
        <v>0.0</v>
      </c>
      <c r="E99" s="42" t="s">
        <v>822</v>
      </c>
      <c r="F99" s="35" t="s">
        <v>1052</v>
      </c>
      <c r="G99" s="35" t="s">
        <v>1053</v>
      </c>
    </row>
    <row r="100">
      <c r="A100" s="34">
        <f>ROW()-ROW(Table_Phrases[N])</f>
        <v>98</v>
      </c>
      <c r="B100" s="34" t="s">
        <v>509</v>
      </c>
      <c r="C100" s="34">
        <v>0.0</v>
      </c>
      <c r="D100" s="34">
        <v>0.0</v>
      </c>
      <c r="E100" s="42" t="s">
        <v>822</v>
      </c>
      <c r="F100" s="35" t="s">
        <v>1054</v>
      </c>
      <c r="G100" s="35" t="s">
        <v>1055</v>
      </c>
    </row>
    <row r="101">
      <c r="A101" s="34">
        <f>ROW()-ROW(Table_Phrases[N])</f>
        <v>99</v>
      </c>
      <c r="B101" s="34" t="s">
        <v>1056</v>
      </c>
      <c r="C101" s="34">
        <v>0.0</v>
      </c>
      <c r="D101" s="34">
        <v>0.0</v>
      </c>
      <c r="E101" s="42" t="s">
        <v>822</v>
      </c>
      <c r="F101" s="35" t="s">
        <v>1057</v>
      </c>
      <c r="G101" s="35" t="s">
        <v>1057</v>
      </c>
    </row>
  </sheetData>
  <dataValidations>
    <dataValidation type="list" allowBlank="1" sqref="E2:E101">
      <formula1>#REF!</formula1>
    </dataValidation>
  </dataValidations>
  <drawing r:id="rId1"/>
  <tableParts count="1"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20.0"/>
    <col customWidth="1" min="3" max="3" width="45.71"/>
    <col customWidth="1" min="4" max="4" width="38.57"/>
    <col customWidth="1" min="5" max="5" width="42.0"/>
    <col customWidth="1" min="6" max="6" width="24.43"/>
    <col customWidth="1" min="7" max="7" width="26.0"/>
    <col customWidth="1" min="8" max="8" width="45.43"/>
  </cols>
  <sheetData>
    <row r="1">
      <c r="A1" s="1" t="s">
        <v>47</v>
      </c>
      <c r="B1" s="1" t="s">
        <v>1058</v>
      </c>
      <c r="C1" s="27" t="s">
        <v>1059</v>
      </c>
      <c r="D1" s="27" t="s">
        <v>1060</v>
      </c>
      <c r="E1" s="27" t="s">
        <v>1061</v>
      </c>
      <c r="F1" s="27" t="s">
        <v>1062</v>
      </c>
      <c r="G1" s="27" t="s">
        <v>1063</v>
      </c>
      <c r="H1" s="27" t="s">
        <v>1064</v>
      </c>
    </row>
    <row r="2" ht="186.0" customHeight="1">
      <c r="A2" s="60">
        <f t="shared" ref="A2:A12" si="1">ROW()-ROW($A$2)-1</f>
        <v>-1</v>
      </c>
      <c r="B2" s="28" t="s">
        <v>1065</v>
      </c>
      <c r="C2" s="61" t="s">
        <v>260</v>
      </c>
      <c r="D2" s="33" t="s">
        <v>260</v>
      </c>
      <c r="E2" s="33" t="s">
        <v>32</v>
      </c>
      <c r="F2" s="33" t="s">
        <v>258</v>
      </c>
      <c r="G2" s="33" t="s">
        <v>261</v>
      </c>
      <c r="H2" s="33" t="s">
        <v>821</v>
      </c>
    </row>
    <row r="3">
      <c r="A3" s="60">
        <f t="shared" si="1"/>
        <v>0</v>
      </c>
      <c r="B3" s="28" t="s">
        <v>1066</v>
      </c>
      <c r="C3" s="61" t="s">
        <v>603</v>
      </c>
      <c r="D3" s="33" t="s">
        <v>1067</v>
      </c>
      <c r="E3" s="33" t="s">
        <v>1068</v>
      </c>
      <c r="F3" s="33" t="s">
        <v>258</v>
      </c>
      <c r="G3" s="33" t="s">
        <v>261</v>
      </c>
      <c r="H3" s="33" t="s">
        <v>1069</v>
      </c>
    </row>
    <row r="4">
      <c r="A4" s="60">
        <f t="shared" si="1"/>
        <v>1</v>
      </c>
      <c r="B4" s="28" t="s">
        <v>1070</v>
      </c>
      <c r="C4" s="61" t="s">
        <v>1071</v>
      </c>
      <c r="D4" s="33" t="s">
        <v>1071</v>
      </c>
      <c r="E4" s="33" t="s">
        <v>1072</v>
      </c>
      <c r="F4" s="33" t="s">
        <v>258</v>
      </c>
      <c r="G4" s="33" t="s">
        <v>261</v>
      </c>
      <c r="H4" s="33" t="s">
        <v>821</v>
      </c>
    </row>
    <row r="5">
      <c r="A5" s="60">
        <f t="shared" si="1"/>
        <v>2</v>
      </c>
      <c r="B5" s="28" t="s">
        <v>1073</v>
      </c>
      <c r="C5" s="61" t="s">
        <v>1074</v>
      </c>
      <c r="D5" s="33" t="s">
        <v>1074</v>
      </c>
      <c r="E5" s="33" t="s">
        <v>1075</v>
      </c>
      <c r="F5" s="33" t="s">
        <v>258</v>
      </c>
      <c r="G5" s="33" t="s">
        <v>456</v>
      </c>
      <c r="H5" s="33" t="s">
        <v>821</v>
      </c>
    </row>
    <row r="6">
      <c r="A6" s="60">
        <f t="shared" si="1"/>
        <v>3</v>
      </c>
      <c r="B6" s="28" t="s">
        <v>1076</v>
      </c>
      <c r="C6" s="61" t="s">
        <v>1077</v>
      </c>
      <c r="D6" s="33" t="s">
        <v>1077</v>
      </c>
      <c r="E6" s="33" t="s">
        <v>1078</v>
      </c>
      <c r="F6" s="33" t="s">
        <v>258</v>
      </c>
      <c r="G6" s="33" t="s">
        <v>456</v>
      </c>
      <c r="H6" s="33" t="s">
        <v>821</v>
      </c>
    </row>
    <row r="7">
      <c r="A7" s="60">
        <f t="shared" si="1"/>
        <v>4</v>
      </c>
      <c r="B7" s="28" t="s">
        <v>1079</v>
      </c>
      <c r="C7" s="31" t="s">
        <v>1080</v>
      </c>
      <c r="D7" s="33" t="s">
        <v>1080</v>
      </c>
      <c r="E7" s="33" t="s">
        <v>1081</v>
      </c>
      <c r="F7" s="33" t="s">
        <v>258</v>
      </c>
      <c r="G7" s="33" t="s">
        <v>261</v>
      </c>
      <c r="H7" s="33" t="s">
        <v>821</v>
      </c>
    </row>
    <row r="8">
      <c r="A8" s="60">
        <f t="shared" si="1"/>
        <v>5</v>
      </c>
      <c r="B8" s="28" t="s">
        <v>1082</v>
      </c>
      <c r="C8" s="31" t="s">
        <v>1083</v>
      </c>
      <c r="D8" s="33" t="s">
        <v>1083</v>
      </c>
      <c r="E8" s="33" t="s">
        <v>1084</v>
      </c>
      <c r="F8" s="33" t="s">
        <v>258</v>
      </c>
      <c r="G8" s="33" t="s">
        <v>261</v>
      </c>
      <c r="H8" s="33" t="s">
        <v>821</v>
      </c>
    </row>
    <row r="9">
      <c r="A9" s="60">
        <f t="shared" si="1"/>
        <v>6</v>
      </c>
      <c r="B9" s="28" t="s">
        <v>1085</v>
      </c>
      <c r="C9" s="31" t="s">
        <v>636</v>
      </c>
      <c r="D9" s="33" t="s">
        <v>636</v>
      </c>
      <c r="E9" s="33" t="s">
        <v>1086</v>
      </c>
      <c r="F9" s="33" t="s">
        <v>258</v>
      </c>
      <c r="G9" s="33" t="s">
        <v>261</v>
      </c>
      <c r="H9" s="33" t="s">
        <v>821</v>
      </c>
    </row>
    <row r="10">
      <c r="A10" s="60">
        <f t="shared" si="1"/>
        <v>7</v>
      </c>
      <c r="B10" s="28" t="s">
        <v>1087</v>
      </c>
      <c r="C10" s="31" t="s">
        <v>1088</v>
      </c>
      <c r="D10" s="33" t="s">
        <v>1088</v>
      </c>
      <c r="E10" s="33" t="s">
        <v>1089</v>
      </c>
      <c r="F10" s="33" t="s">
        <v>258</v>
      </c>
      <c r="G10" s="33" t="s">
        <v>451</v>
      </c>
      <c r="H10" s="33" t="s">
        <v>821</v>
      </c>
    </row>
    <row r="11">
      <c r="A11" s="60">
        <f t="shared" si="1"/>
        <v>8</v>
      </c>
      <c r="B11" s="28" t="s">
        <v>15</v>
      </c>
      <c r="C11" s="31" t="s">
        <v>1090</v>
      </c>
      <c r="D11" s="33" t="s">
        <v>1090</v>
      </c>
      <c r="E11" s="33" t="s">
        <v>1091</v>
      </c>
      <c r="F11" s="33" t="s">
        <v>258</v>
      </c>
      <c r="G11" s="33" t="s">
        <v>261</v>
      </c>
      <c r="H11" s="33" t="s">
        <v>821</v>
      </c>
    </row>
    <row r="12">
      <c r="A12" s="60">
        <f t="shared" si="1"/>
        <v>9</v>
      </c>
      <c r="B12" s="28" t="s">
        <v>1092</v>
      </c>
      <c r="C12" s="61" t="s">
        <v>260</v>
      </c>
      <c r="D12" s="33" t="s">
        <v>368</v>
      </c>
      <c r="E12" s="33" t="s">
        <v>366</v>
      </c>
      <c r="F12" s="33" t="s">
        <v>258</v>
      </c>
      <c r="G12" s="33" t="s">
        <v>261</v>
      </c>
      <c r="H12" s="33" t="s">
        <v>821</v>
      </c>
    </row>
  </sheetData>
  <dataValidations>
    <dataValidation type="list" allowBlank="1" sqref="C2:H12">
      <formula1>#REF!</formula1>
    </dataValidation>
  </dataValidations>
  <drawing r:id="rId1"/>
  <tableParts count="1"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9900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40.29"/>
    <col customWidth="1" min="3" max="3" width="38.86"/>
    <col customWidth="1" min="4" max="4" width="23.29"/>
    <col customWidth="1" min="6" max="6" width="38.86"/>
    <col customWidth="1" min="8" max="8" width="34.57"/>
  </cols>
  <sheetData>
    <row r="1">
      <c r="A1" s="1" t="s">
        <v>47</v>
      </c>
      <c r="B1" s="1" t="s">
        <v>1093</v>
      </c>
    </row>
    <row r="2">
      <c r="A2" s="34">
        <f>ROW()-ROW(Table_Characters[N])</f>
        <v>0</v>
      </c>
      <c r="B2" s="34" t="s">
        <v>381</v>
      </c>
    </row>
    <row r="3">
      <c r="A3" s="34">
        <f>ROW()-ROW(Table_Characters[N])</f>
        <v>1</v>
      </c>
      <c r="B3" s="34" t="s">
        <v>13</v>
      </c>
    </row>
    <row r="4">
      <c r="A4" s="34">
        <f>ROW()-ROW(Table_Characters[N])</f>
        <v>2</v>
      </c>
      <c r="B4" s="34" t="s">
        <v>1094</v>
      </c>
    </row>
    <row r="5">
      <c r="A5" s="34">
        <f>ROW()-ROW(Table_Characters[N])</f>
        <v>3</v>
      </c>
      <c r="B5" s="34" t="s">
        <v>1095</v>
      </c>
    </row>
    <row r="6">
      <c r="A6" s="18"/>
      <c r="B6" s="18"/>
    </row>
    <row r="7">
      <c r="A7" s="1" t="s">
        <v>47</v>
      </c>
      <c r="B7" s="1" t="s">
        <v>1096</v>
      </c>
    </row>
    <row r="8">
      <c r="A8" s="34">
        <v>0.0</v>
      </c>
      <c r="B8" s="34" t="s">
        <v>383</v>
      </c>
    </row>
    <row r="9">
      <c r="A9" s="34">
        <v>1.0</v>
      </c>
      <c r="B9" s="34" t="s">
        <v>417</v>
      </c>
    </row>
    <row r="10">
      <c r="A10" s="34">
        <v>2.0</v>
      </c>
      <c r="B10" s="34" t="s">
        <v>389</v>
      </c>
    </row>
    <row r="11">
      <c r="A11" s="34">
        <v>3.0</v>
      </c>
      <c r="B11" s="34" t="s">
        <v>421</v>
      </c>
    </row>
    <row r="12">
      <c r="A12" s="34">
        <v>4.0</v>
      </c>
      <c r="B12" s="34" t="s">
        <v>400</v>
      </c>
    </row>
    <row r="13">
      <c r="A13" s="34">
        <v>5.0</v>
      </c>
      <c r="B13" s="34" t="s">
        <v>501</v>
      </c>
    </row>
    <row r="15">
      <c r="A15" s="1" t="s">
        <v>47</v>
      </c>
      <c r="B15" s="1" t="s">
        <v>1097</v>
      </c>
    </row>
    <row r="16">
      <c r="A16" s="34">
        <f>ROW()-ROW(Table_Interaction[N])</f>
        <v>0</v>
      </c>
      <c r="B16" s="34" t="s">
        <v>382</v>
      </c>
    </row>
    <row r="17">
      <c r="A17" s="34">
        <f>ROW()-ROW(Table_Interaction[N])</f>
        <v>1</v>
      </c>
      <c r="B17" s="34" t="s">
        <v>1098</v>
      </c>
    </row>
    <row r="18">
      <c r="A18" s="34">
        <f>ROW()-ROW(Table_Interaction[N])</f>
        <v>2</v>
      </c>
      <c r="B18" s="34" t="s">
        <v>416</v>
      </c>
    </row>
    <row r="19">
      <c r="A19" s="34">
        <f>ROW()-ROW(Table_Interaction[N])</f>
        <v>3</v>
      </c>
      <c r="B19" s="34" t="s">
        <v>388</v>
      </c>
    </row>
    <row r="20">
      <c r="A20" s="34">
        <f>ROW()-ROW(Table_Interaction[N])</f>
        <v>4</v>
      </c>
      <c r="B20" s="34" t="s">
        <v>399</v>
      </c>
    </row>
    <row r="21">
      <c r="A21" s="34">
        <f>ROW()-ROW(Table_Interaction[N])</f>
        <v>5</v>
      </c>
      <c r="B21" s="34" t="s">
        <v>397</v>
      </c>
    </row>
    <row r="22">
      <c r="A22" s="34">
        <f>ROW()-ROW(Table_Interaction[N])</f>
        <v>6</v>
      </c>
      <c r="B22" s="34" t="s">
        <v>452</v>
      </c>
    </row>
    <row r="23">
      <c r="A23" s="34">
        <f>ROW()-ROW(Table_Interaction[N])</f>
        <v>7</v>
      </c>
      <c r="B23" s="34" t="s">
        <v>406</v>
      </c>
    </row>
    <row r="25">
      <c r="A25" s="1" t="s">
        <v>47</v>
      </c>
      <c r="B25" s="1" t="s">
        <v>1099</v>
      </c>
    </row>
    <row r="26">
      <c r="A26" s="34">
        <f>ROW()-ROW(Table_Unchain_Type[N])</f>
        <v>0</v>
      </c>
      <c r="B26" s="34" t="s">
        <v>534</v>
      </c>
    </row>
    <row r="27">
      <c r="A27" s="34">
        <f>ROW()-ROW(Table_Unchain_Type[N])</f>
        <v>1</v>
      </c>
      <c r="B27" s="34" t="s">
        <v>538</v>
      </c>
    </row>
    <row r="28">
      <c r="A28" s="34">
        <f>ROW()-ROW(Table_Unchain_Type[N])</f>
        <v>2</v>
      </c>
      <c r="B28" s="34" t="s">
        <v>541</v>
      </c>
    </row>
    <row r="29">
      <c r="A29" s="34">
        <f>ROW()-ROW(Table_Unchain_Type[N])</f>
        <v>3</v>
      </c>
      <c r="B29" s="34" t="s">
        <v>1100</v>
      </c>
    </row>
    <row r="30">
      <c r="A30" s="34">
        <f>ROW()-ROW(Table_Unchain_Type[N])</f>
        <v>4</v>
      </c>
      <c r="B30" s="34" t="s">
        <v>531</v>
      </c>
    </row>
    <row r="31">
      <c r="A31" s="34">
        <f>ROW()-ROW(Table_Unchain_Type[N])</f>
        <v>5</v>
      </c>
      <c r="B31" s="34" t="s">
        <v>543</v>
      </c>
    </row>
    <row r="32">
      <c r="A32" s="34">
        <f>ROW()-ROW(Table_Unchain_Type[N])</f>
        <v>6</v>
      </c>
      <c r="B32" s="34" t="s">
        <v>1101</v>
      </c>
    </row>
    <row r="33">
      <c r="A33" s="34">
        <f>ROW()-ROW(Table_Unchain_Type[N])</f>
        <v>7</v>
      </c>
      <c r="B33" s="34" t="s">
        <v>523</v>
      </c>
    </row>
    <row r="34">
      <c r="A34" s="34">
        <f>ROW()-ROW(Table_Unchain_Type[N])</f>
        <v>8</v>
      </c>
      <c r="B34" s="34" t="s">
        <v>1102</v>
      </c>
    </row>
    <row r="35">
      <c r="A35" s="34">
        <f>ROW()-ROW(Table_Unchain_Type[N])</f>
        <v>9</v>
      </c>
      <c r="B35" s="34" t="s">
        <v>528</v>
      </c>
    </row>
    <row r="36">
      <c r="A36" s="34">
        <f>ROW()-ROW(Table_Unchain_Type[N])</f>
        <v>10</v>
      </c>
      <c r="B36" s="34" t="s">
        <v>555</v>
      </c>
    </row>
    <row r="37">
      <c r="A37" s="34">
        <f>ROW()-ROW(Table_Unchain_Type[N])</f>
        <v>11</v>
      </c>
      <c r="B37" s="34" t="s">
        <v>1103</v>
      </c>
    </row>
    <row r="39">
      <c r="A39" s="1" t="s">
        <v>47</v>
      </c>
      <c r="B39" s="1" t="s">
        <v>1104</v>
      </c>
    </row>
    <row r="40">
      <c r="A40" s="34">
        <v>0.0</v>
      </c>
      <c r="B40" s="34" t="s">
        <v>820</v>
      </c>
    </row>
    <row r="41">
      <c r="A41" s="34">
        <v>1.0</v>
      </c>
      <c r="B41" s="34" t="s">
        <v>822</v>
      </c>
    </row>
    <row r="43">
      <c r="A43" s="1" t="s">
        <v>47</v>
      </c>
      <c r="B43" s="1" t="s">
        <v>1105</v>
      </c>
    </row>
    <row r="44">
      <c r="A44" s="34">
        <f>ROW()-ROW(Table_Item_Family_Type[N])</f>
        <v>0</v>
      </c>
      <c r="B44" s="34" t="s">
        <v>259</v>
      </c>
    </row>
    <row r="45">
      <c r="A45" s="34">
        <f>ROW()-ROW(Table_Item_Family_Type[N])</f>
        <v>1</v>
      </c>
      <c r="B45" s="1" t="s">
        <v>285</v>
      </c>
    </row>
    <row r="46">
      <c r="A46" s="34">
        <f>ROW()-ROW(Table_Item_Family_Type[N])</f>
        <v>2</v>
      </c>
      <c r="B46" s="1" t="s">
        <v>267</v>
      </c>
    </row>
    <row r="47">
      <c r="A47" s="34">
        <f>ROW()-ROW(Table_Item_Family_Type[N])</f>
        <v>3</v>
      </c>
      <c r="B47" s="1" t="s">
        <v>288</v>
      </c>
    </row>
    <row r="48">
      <c r="A48" s="34">
        <f>ROW()-ROW(Table_Item_Family_Type[N])</f>
        <v>4</v>
      </c>
      <c r="B48" s="1" t="s">
        <v>264</v>
      </c>
    </row>
    <row r="50">
      <c r="A50" s="1" t="s">
        <v>47</v>
      </c>
      <c r="B50" s="1" t="s">
        <v>1106</v>
      </c>
    </row>
    <row r="51">
      <c r="A51" s="34">
        <f>ROW()-ROW(Table_Moment_Day[N])</f>
        <v>0</v>
      </c>
      <c r="B51" s="34" t="s">
        <v>445</v>
      </c>
    </row>
    <row r="52">
      <c r="A52" s="34">
        <f>ROW()-ROW(Table_Moment_Day[N])</f>
        <v>1</v>
      </c>
      <c r="B52" s="34" t="s">
        <v>448</v>
      </c>
    </row>
    <row r="53">
      <c r="A53" s="34">
        <f>ROW()-ROW(Table_Moment_Day[N])</f>
        <v>2</v>
      </c>
      <c r="B53" s="34" t="s">
        <v>380</v>
      </c>
    </row>
  </sheetData>
  <drawing r:id="rId1"/>
  <tableParts count="7">
    <tablePart r:id="rId9"/>
    <tablePart r:id="rId10"/>
    <tablePart r:id="rId11"/>
    <tablePart r:id="rId12"/>
    <tablePart r:id="rId13"/>
    <tablePart r:id="rId14"/>
    <tablePart r:id="rId15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00"/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2" max="2" width="55.0"/>
    <col customWidth="1" min="3" max="3" width="52.71"/>
    <col customWidth="1" min="4" max="4" width="39.0"/>
    <col customWidth="1" min="5" max="5" width="46.0"/>
    <col customWidth="1" min="6" max="6" width="10.0"/>
    <col customWidth="1" min="7" max="7" width="21.71"/>
  </cols>
  <sheetData>
    <row r="1">
      <c r="A1" s="1" t="s">
        <v>47</v>
      </c>
      <c r="B1" s="1" t="s">
        <v>1107</v>
      </c>
    </row>
    <row r="2">
      <c r="A2" s="34">
        <f t="shared" ref="A2:A30" si="1">ROW()-ROW($A$2)</f>
        <v>0</v>
      </c>
      <c r="B2" s="34" t="s">
        <v>379</v>
      </c>
    </row>
    <row r="3">
      <c r="A3" s="34">
        <f t="shared" si="1"/>
        <v>1</v>
      </c>
      <c r="B3" s="34" t="s">
        <v>575</v>
      </c>
    </row>
    <row r="4">
      <c r="A4" s="34">
        <f t="shared" si="1"/>
        <v>2</v>
      </c>
      <c r="B4" s="34" t="s">
        <v>1108</v>
      </c>
    </row>
    <row r="5">
      <c r="A5" s="34">
        <f t="shared" si="1"/>
        <v>3</v>
      </c>
      <c r="B5" s="34" t="s">
        <v>728</v>
      </c>
    </row>
    <row r="6">
      <c r="A6" s="34">
        <f t="shared" si="1"/>
        <v>4</v>
      </c>
      <c r="B6" s="34" t="s">
        <v>731</v>
      </c>
    </row>
    <row r="7">
      <c r="A7" s="34">
        <f t="shared" si="1"/>
        <v>5</v>
      </c>
      <c r="B7" s="34" t="s">
        <v>524</v>
      </c>
    </row>
    <row r="8">
      <c r="A8" s="34">
        <f t="shared" si="1"/>
        <v>6</v>
      </c>
      <c r="B8" s="34" t="s">
        <v>390</v>
      </c>
    </row>
    <row r="9">
      <c r="A9" s="34">
        <f t="shared" si="1"/>
        <v>7</v>
      </c>
      <c r="B9" s="34" t="s">
        <v>393</v>
      </c>
    </row>
    <row r="10">
      <c r="A10" s="34">
        <f t="shared" si="1"/>
        <v>8</v>
      </c>
      <c r="B10" s="34" t="s">
        <v>395</v>
      </c>
    </row>
    <row r="11">
      <c r="A11" s="34">
        <f t="shared" si="1"/>
        <v>9</v>
      </c>
      <c r="B11" s="34" t="s">
        <v>403</v>
      </c>
    </row>
    <row r="12">
      <c r="A12" s="34">
        <f t="shared" si="1"/>
        <v>10</v>
      </c>
      <c r="B12" s="34" t="s">
        <v>428</v>
      </c>
    </row>
    <row r="13">
      <c r="A13" s="34">
        <f t="shared" si="1"/>
        <v>11</v>
      </c>
      <c r="B13" s="34" t="s">
        <v>419</v>
      </c>
    </row>
    <row r="14">
      <c r="A14" s="34">
        <f t="shared" si="1"/>
        <v>12</v>
      </c>
      <c r="B14" s="34" t="s">
        <v>424</v>
      </c>
    </row>
    <row r="15">
      <c r="A15" s="34">
        <f t="shared" si="1"/>
        <v>13</v>
      </c>
      <c r="B15" s="34" t="s">
        <v>436</v>
      </c>
    </row>
    <row r="16">
      <c r="A16" s="34">
        <f t="shared" si="1"/>
        <v>14</v>
      </c>
      <c r="B16" s="34" t="s">
        <v>1109</v>
      </c>
    </row>
    <row r="17">
      <c r="A17" s="34">
        <f t="shared" si="1"/>
        <v>15</v>
      </c>
      <c r="B17" s="34" t="s">
        <v>1110</v>
      </c>
    </row>
    <row r="18">
      <c r="A18" s="34">
        <f t="shared" si="1"/>
        <v>16</v>
      </c>
      <c r="B18" s="34" t="s">
        <v>693</v>
      </c>
    </row>
    <row r="19">
      <c r="A19" s="34">
        <f t="shared" si="1"/>
        <v>17</v>
      </c>
      <c r="B19" s="34" t="s">
        <v>457</v>
      </c>
    </row>
    <row r="20">
      <c r="A20" s="34">
        <f t="shared" si="1"/>
        <v>18</v>
      </c>
      <c r="B20" s="34" t="s">
        <v>450</v>
      </c>
    </row>
    <row r="21">
      <c r="A21" s="34">
        <f t="shared" si="1"/>
        <v>19</v>
      </c>
      <c r="B21" s="34" t="s">
        <v>467</v>
      </c>
    </row>
    <row r="22">
      <c r="A22" s="34">
        <f t="shared" si="1"/>
        <v>20</v>
      </c>
      <c r="B22" s="34" t="s">
        <v>574</v>
      </c>
    </row>
    <row r="23">
      <c r="A23" s="34">
        <f t="shared" si="1"/>
        <v>21</v>
      </c>
      <c r="B23" s="34" t="s">
        <v>469</v>
      </c>
    </row>
    <row r="24">
      <c r="A24" s="34">
        <f t="shared" si="1"/>
        <v>22</v>
      </c>
      <c r="B24" s="34" t="s">
        <v>480</v>
      </c>
    </row>
    <row r="25">
      <c r="A25" s="34">
        <f t="shared" si="1"/>
        <v>23</v>
      </c>
      <c r="B25" s="34" t="s">
        <v>472</v>
      </c>
    </row>
    <row r="26">
      <c r="A26" s="34">
        <f t="shared" si="1"/>
        <v>24</v>
      </c>
      <c r="B26" s="34" t="s">
        <v>485</v>
      </c>
    </row>
    <row r="27">
      <c r="A27" s="34">
        <f t="shared" si="1"/>
        <v>25</v>
      </c>
      <c r="B27" s="34" t="s">
        <v>496</v>
      </c>
    </row>
    <row r="28">
      <c r="A28" s="34">
        <f t="shared" si="1"/>
        <v>26</v>
      </c>
      <c r="B28" s="34" t="s">
        <v>503</v>
      </c>
    </row>
    <row r="29">
      <c r="A29" s="34">
        <f t="shared" si="1"/>
        <v>27</v>
      </c>
      <c r="B29" s="34" t="s">
        <v>507</v>
      </c>
    </row>
    <row r="30">
      <c r="A30" s="34">
        <f t="shared" si="1"/>
        <v>28</v>
      </c>
      <c r="B30" s="34" t="s">
        <v>1111</v>
      </c>
    </row>
    <row r="32">
      <c r="A32" s="1" t="s">
        <v>47</v>
      </c>
      <c r="B32" s="1" t="s">
        <v>1112</v>
      </c>
      <c r="C32" s="62" t="s">
        <v>251</v>
      </c>
      <c r="D32" s="62" t="s">
        <v>1113</v>
      </c>
      <c r="E32" s="62" t="s">
        <v>1114</v>
      </c>
    </row>
    <row r="33">
      <c r="A33" s="34">
        <f>ROW()-ROW(Table_Memento_Parent[N])</f>
        <v>0</v>
      </c>
      <c r="B33" s="34" t="s">
        <v>1115</v>
      </c>
      <c r="C33" s="36" t="s">
        <v>258</v>
      </c>
      <c r="D33" s="36" t="s">
        <v>260</v>
      </c>
      <c r="E33" s="63" t="str">
        <f>IFERROR(__xludf.DUMMYFUNCTION("ArrayFormula(SUBSTITUTE(SUBSTITUTE(JOIN(""|"",UNIQUE(IF(Table_Memento[Parent]=B33,Table_Memento[MEMENTO_ID],""Ñ""))),""Ñ|"",""""),""|Ñ"",""""))"),"MEMENTO_NONE")</f>
        <v>MEMENTO_NONE</v>
      </c>
    </row>
    <row r="34">
      <c r="A34" s="34">
        <f>ROW()-ROW(Table_Memento_Parent[N])</f>
        <v>1</v>
      </c>
      <c r="B34" s="34" t="s">
        <v>1116</v>
      </c>
      <c r="C34" s="36" t="s">
        <v>762</v>
      </c>
      <c r="D34" s="36" t="s">
        <v>619</v>
      </c>
      <c r="E34" s="63" t="str">
        <f>IFERROR(__xludf.DUMMYFUNCTION("ArrayFormula(SUBSTITUTE(SUBSTITUTE(JOIN(""|"",UNIQUE(IF(Table_Memento[Parent]=B34,Table_Memento[MEMENTO_ID],""Ñ""))),""Ñ|"",""""),""|Ñ"",""""))"),"MEMENTO_JOB_FIND_1_1|MEMENTO_JOB_FIND_1_2")</f>
        <v>MEMENTO_JOB_FIND_1_1|MEMENTO_JOB_FIND_1_2</v>
      </c>
    </row>
    <row r="35">
      <c r="A35" s="34">
        <f>ROW()-ROW(Table_Memento_Parent[N])</f>
        <v>2</v>
      </c>
      <c r="B35" s="34" t="s">
        <v>1117</v>
      </c>
      <c r="C35" s="36" t="s">
        <v>793</v>
      </c>
      <c r="D35" s="36" t="s">
        <v>647</v>
      </c>
      <c r="E35" s="63" t="str">
        <f>IFERROR(__xludf.DUMMYFUNCTION("ArrayFormula(SUBSTITUTE(SUBSTITUTE(JOIN(""|"",UNIQUE(IF(Table_Memento[Parent]=B35,Table_Memento[MEMENTO_ID],""Ñ""))),""Ñ|"",""""),""|Ñ"",""""))"),"MEMENTO_RECIPE_MISSION_1")</f>
        <v>MEMENTO_RECIPE_MISSION_1</v>
      </c>
    </row>
    <row r="36">
      <c r="A36" s="34">
        <f>ROW()-ROW(Table_Memento_Parent[N])</f>
        <v>3</v>
      </c>
      <c r="B36" s="34" t="s">
        <v>42</v>
      </c>
      <c r="C36" s="36" t="s">
        <v>800</v>
      </c>
      <c r="D36" s="36" t="s">
        <v>43</v>
      </c>
      <c r="E36" s="63" t="str">
        <f>IFERROR(__xludf.DUMMYFUNCTION("ArrayFormula(SUBSTITUTE(SUBSTITUTE(JOIN(""|"",UNIQUE(IF(Table_Memento[Parent]=B36,Table_Memento[MEMENTO_ID],""Ñ""))),""Ñ|"",""""),""|Ñ"",""""))"),"MEMENTO_POOR_MAN_WC_1|MEMENTO_POOR_MAN_WC_2|MEMENTO_POOR_MAN_WC_3")</f>
        <v>MEMENTO_POOR_MAN_WC_1|MEMENTO_POOR_MAN_WC_2|MEMENTO_POOR_MAN_WC_3</v>
      </c>
    </row>
    <row r="37">
      <c r="A37" s="34">
        <f>ROW()-ROW(Table_Memento_Parent[N])</f>
        <v>4</v>
      </c>
      <c r="B37" s="34" t="s">
        <v>1118</v>
      </c>
      <c r="C37" s="36" t="s">
        <v>367</v>
      </c>
      <c r="D37" s="36" t="s">
        <v>260</v>
      </c>
      <c r="E37" s="63" t="str">
        <f>IFERROR(__xludf.DUMMYFUNCTION("ArrayFormula(SUBSTITUTE(SUBSTITUTE(JOIN(""|"",UNIQUE(IF(Table_Memento[Parent]=B37,Table_Memento[MEMENTO_ID],""Ñ""))),""Ñ|"",""""),""|Ñ"",""""))"),"MEMENTO_LAST")</f>
        <v>MEMENTO_LAST</v>
      </c>
    </row>
    <row r="39">
      <c r="A39" s="1" t="s">
        <v>47</v>
      </c>
      <c r="B39" s="1" t="s">
        <v>1119</v>
      </c>
      <c r="C39" s="64" t="s">
        <v>1120</v>
      </c>
      <c r="D39" s="64" t="s">
        <v>723</v>
      </c>
      <c r="E39" s="62" t="s">
        <v>1121</v>
      </c>
      <c r="F39" s="64" t="s">
        <v>1122</v>
      </c>
    </row>
    <row r="40">
      <c r="A40" s="34">
        <f>ROW()-ROW(Table_Memento[N])</f>
        <v>0</v>
      </c>
      <c r="B40" s="34" t="s">
        <v>525</v>
      </c>
      <c r="C40" s="42" t="s">
        <v>1115</v>
      </c>
      <c r="D40" s="42" t="s">
        <v>385</v>
      </c>
      <c r="E40" s="65" t="s">
        <v>1123</v>
      </c>
      <c r="F40" s="45" t="b">
        <v>0</v>
      </c>
    </row>
    <row r="41">
      <c r="A41" s="34">
        <f>ROW()-ROW(Table_Memento[N])</f>
        <v>1</v>
      </c>
      <c r="B41" s="34" t="s">
        <v>529</v>
      </c>
      <c r="C41" s="42" t="s">
        <v>1116</v>
      </c>
      <c r="D41" s="42" t="s">
        <v>862</v>
      </c>
      <c r="E41" s="65" t="s">
        <v>1123</v>
      </c>
      <c r="F41" s="45" t="b">
        <v>0</v>
      </c>
    </row>
    <row r="42">
      <c r="A42" s="34">
        <f>ROW()-ROW(Table_Memento[N])</f>
        <v>2</v>
      </c>
      <c r="B42" s="34" t="s">
        <v>551</v>
      </c>
      <c r="C42" s="42" t="s">
        <v>1116</v>
      </c>
      <c r="D42" s="42" t="s">
        <v>402</v>
      </c>
      <c r="E42" s="65" t="s">
        <v>1123</v>
      </c>
      <c r="F42" s="45" t="b">
        <v>0</v>
      </c>
    </row>
    <row r="43">
      <c r="A43" s="34">
        <f>ROW()-ROW(Table_Memento[N])</f>
        <v>3</v>
      </c>
      <c r="B43" s="34" t="s">
        <v>564</v>
      </c>
      <c r="C43" s="42" t="s">
        <v>1117</v>
      </c>
      <c r="D43" s="42" t="s">
        <v>964</v>
      </c>
      <c r="E43" s="65" t="s">
        <v>1123</v>
      </c>
      <c r="F43" s="45" t="b">
        <v>0</v>
      </c>
    </row>
    <row r="44">
      <c r="A44" s="34">
        <f>ROW()-ROW(Table_Memento[N])</f>
        <v>4</v>
      </c>
      <c r="B44" s="34" t="s">
        <v>569</v>
      </c>
      <c r="C44" s="42" t="s">
        <v>42</v>
      </c>
      <c r="D44" s="42" t="s">
        <v>1018</v>
      </c>
      <c r="E44" s="65" t="s">
        <v>1123</v>
      </c>
      <c r="F44" s="45" t="b">
        <v>0</v>
      </c>
    </row>
    <row r="45">
      <c r="A45" s="34">
        <f>ROW()-ROW(Table_Memento[N])</f>
        <v>5</v>
      </c>
      <c r="B45" s="34" t="s">
        <v>1124</v>
      </c>
      <c r="C45" s="42" t="s">
        <v>42</v>
      </c>
      <c r="D45" s="42" t="s">
        <v>1021</v>
      </c>
      <c r="E45" s="65" t="s">
        <v>1123</v>
      </c>
      <c r="F45" s="45" t="b">
        <v>0</v>
      </c>
    </row>
    <row r="46">
      <c r="A46" s="34">
        <f>ROW()-ROW(Table_Memento[N])</f>
        <v>6</v>
      </c>
      <c r="B46" s="34" t="s">
        <v>1125</v>
      </c>
      <c r="C46" s="42" t="s">
        <v>42</v>
      </c>
      <c r="D46" s="42" t="s">
        <v>1024</v>
      </c>
      <c r="E46" s="65" t="s">
        <v>1123</v>
      </c>
      <c r="F46" s="45" t="b">
        <v>1</v>
      </c>
    </row>
    <row r="47">
      <c r="A47" s="34">
        <f>ROW()-ROW(Table_Memento[N])</f>
        <v>7</v>
      </c>
      <c r="B47" s="34" t="s">
        <v>1126</v>
      </c>
      <c r="C47" s="42" t="s">
        <v>1118</v>
      </c>
      <c r="D47" s="42" t="s">
        <v>385</v>
      </c>
      <c r="E47" s="65" t="s">
        <v>1123</v>
      </c>
      <c r="F47" s="45" t="b">
        <v>0</v>
      </c>
    </row>
    <row r="49">
      <c r="A49" s="1" t="s">
        <v>47</v>
      </c>
      <c r="B49" s="1" t="s">
        <v>1127</v>
      </c>
      <c r="C49" s="27" t="s">
        <v>1128</v>
      </c>
    </row>
    <row r="50">
      <c r="A50" s="34">
        <f>ROW()-ROW(Table_Memento_Combi[N])</f>
        <v>0</v>
      </c>
      <c r="B50" s="34" t="s">
        <v>1123</v>
      </c>
      <c r="C50" s="66" t="s">
        <v>379</v>
      </c>
    </row>
    <row r="52">
      <c r="A52" s="1" t="s">
        <v>47</v>
      </c>
      <c r="B52" s="1" t="s">
        <v>1129</v>
      </c>
    </row>
    <row r="53">
      <c r="A53" s="44">
        <f>ROW()-ROW(Table_EventsCombi[N])</f>
        <v>0</v>
      </c>
      <c r="B53" s="67" t="str">
        <f>IFERROR(__xludf.DUMMYFUNCTION("ArrayFormula(FLATTEN(Table_Events[EVENT_ID],""(NOT)""&amp;Table_Events[EVENT_ID]))"),"EVENT_NONE")</f>
        <v>EVENT_NONE</v>
      </c>
    </row>
    <row r="54">
      <c r="A54" s="44">
        <f>ROW()-ROW(Table_EventsCombi[N])</f>
        <v>1</v>
      </c>
      <c r="B54" s="67" t="str">
        <f>IFERROR(__xludf.DUMMYFUNCTION("""COMPUTED_VALUE"""),"EVENT_MASTER_CHANGE_ROOM")</f>
        <v>EVENT_MASTER_CHANGE_ROOM</v>
      </c>
    </row>
    <row r="55">
      <c r="A55" s="44">
        <f>ROW()-ROW(Table_EventsCombi[N])</f>
        <v>2</v>
      </c>
      <c r="B55" s="67" t="str">
        <f>IFERROR(__xludf.DUMMYFUNCTION("""COMPUTED_VALUE"""),"EVENT_MASTER_CHANGE_MOMENT_DAY")</f>
        <v>EVENT_MASTER_CHANGE_MOMENT_DAY</v>
      </c>
    </row>
    <row r="56">
      <c r="A56" s="44">
        <f>ROW()-ROW(Table_EventsCombi[N])</f>
        <v>3</v>
      </c>
      <c r="B56" s="67" t="str">
        <f>IFERROR(__xludf.DUMMYFUNCTION("""COMPUTED_VALUE"""),"EVENT_MASTER_PENDING_SLEEP_NAP")</f>
        <v>EVENT_MASTER_PENDING_SLEEP_NAP</v>
      </c>
    </row>
    <row r="57">
      <c r="A57" s="44">
        <f>ROW()-ROW(Table_EventsCombi[N])</f>
        <v>4</v>
      </c>
      <c r="B57" s="67" t="str">
        <f>IFERROR(__xludf.DUMMYFUNCTION("""COMPUTED_VALUE"""),"EVENT_MASTER_PENDING_SLEEP_LONG")</f>
        <v>EVENT_MASTER_PENDING_SLEEP_LONG</v>
      </c>
    </row>
    <row r="58">
      <c r="A58" s="44">
        <f>ROW()-ROW(Table_EventsCombi[N])</f>
        <v>5</v>
      </c>
      <c r="B58" s="67" t="str">
        <f>IFERROR(__xludf.DUMMYFUNCTION("""COMPUTED_VALUE"""),"EVENT_FIRST")</f>
        <v>EVENT_FIRST</v>
      </c>
    </row>
    <row r="59">
      <c r="A59" s="44">
        <f>ROW()-ROW(Table_EventsCombi[N])</f>
        <v>6</v>
      </c>
      <c r="B59" s="67" t="str">
        <f>IFERROR(__xludf.DUMMYFUNCTION("""COMPUTED_VALUE"""),"EVENT_HIVE1_CHEST_OPENED")</f>
        <v>EVENT_HIVE1_CHEST_OPENED</v>
      </c>
    </row>
    <row r="60">
      <c r="A60" s="44">
        <f>ROW()-ROW(Table_EventsCombi[N])</f>
        <v>7</v>
      </c>
      <c r="B60" s="67" t="str">
        <f>IFERROR(__xludf.DUMMYFUNCTION("""COMPUTED_VALUE"""),"EVENT_CARDS_PICKABLE_TAKEN")</f>
        <v>EVENT_CARDS_PICKABLE_TAKEN</v>
      </c>
    </row>
    <row r="61">
      <c r="A61" s="44">
        <f>ROW()-ROW(Table_EventsCombi[N])</f>
        <v>8</v>
      </c>
      <c r="B61" s="67" t="str">
        <f>IFERROR(__xludf.DUMMYFUNCTION("""COMPUTED_VALUE"""),"EVENT_HIVE1_WARDROBE_OPENED")</f>
        <v>EVENT_HIVE1_WARDROBE_OPENED</v>
      </c>
    </row>
    <row r="62">
      <c r="A62" s="44">
        <f>ROW()-ROW(Table_EventsCombi[N])</f>
        <v>9</v>
      </c>
      <c r="B62" s="67" t="str">
        <f>IFERROR(__xludf.DUMMYFUNCTION("""COMPUTED_VALUE"""),"EVENT_HIVE1_AD_BOARD_OBSERVED_1")</f>
        <v>EVENT_HIVE1_AD_BOARD_OBSERVED_1</v>
      </c>
    </row>
    <row r="63">
      <c r="A63" s="44">
        <f>ROW()-ROW(Table_EventsCombi[N])</f>
        <v>10</v>
      </c>
      <c r="B63" s="67" t="str">
        <f>IFERROR(__xludf.DUMMYFUNCTION("""COMPUTED_VALUE"""),"EVENT_HIVE1_USED_PERFUME")</f>
        <v>EVENT_HIVE1_USED_PERFUME</v>
      </c>
    </row>
    <row r="64">
      <c r="A64" s="44">
        <f>ROW()-ROW(Table_EventsCombi[N])</f>
        <v>11</v>
      </c>
      <c r="B64" s="67" t="str">
        <f>IFERROR(__xludf.DUMMYFUNCTION("""COMPUTED_VALUE"""),"EVENT_HIVE1_USED_BASIN")</f>
        <v>EVENT_HIVE1_USED_BASIN</v>
      </c>
    </row>
    <row r="65">
      <c r="A65" s="44">
        <f>ROW()-ROW(Table_EventsCombi[N])</f>
        <v>12</v>
      </c>
      <c r="B65" s="67" t="str">
        <f>IFERROR(__xludf.DUMMYFUNCTION("""COMPUTED_VALUE"""),"EVENT_SOAP_PICKABLE_TAKEN")</f>
        <v>EVENT_SOAP_PICKABLE_TAKEN</v>
      </c>
    </row>
    <row r="66">
      <c r="A66" s="44">
        <f>ROW()-ROW(Table_EventsCombi[N])</f>
        <v>13</v>
      </c>
      <c r="B66" s="67" t="str">
        <f>IFERROR(__xludf.DUMMYFUNCTION("""COMPUTED_VALUE"""),"EVENT_LAUNCH_SLEEP_DECISION")</f>
        <v>EVENT_LAUNCH_SLEEP_DECISION</v>
      </c>
    </row>
    <row r="67">
      <c r="A67" s="44">
        <f>ROW()-ROW(Table_EventsCombi[N])</f>
        <v>14</v>
      </c>
      <c r="B67" s="67" t="str">
        <f>IFERROR(__xludf.DUMMYFUNCTION("""COMPUTED_VALUE"""),"EVENT_CAN_GO_SOUTH_NEIGH")</f>
        <v>EVENT_CAN_GO_SOUTH_NEIGH</v>
      </c>
    </row>
    <row r="68">
      <c r="A68" s="44">
        <f>ROW()-ROW(Table_EventsCombi[N])</f>
        <v>15</v>
      </c>
      <c r="B68" s="67" t="str">
        <f>IFERROR(__xludf.DUMMYFUNCTION("""COMPUTED_VALUE"""),"EVENT_PHARMACY_EMPTY")</f>
        <v>EVENT_PHARMACY_EMPTY</v>
      </c>
    </row>
    <row r="69">
      <c r="A69" s="44">
        <f>ROW()-ROW(Table_EventsCombi[N])</f>
        <v>16</v>
      </c>
      <c r="B69" s="67" t="str">
        <f>IFERROR(__xludf.DUMMYFUNCTION("""COMPUTED_VALUE"""),"EVENT_MANYO_REFUSED_WORK")</f>
        <v>EVENT_MANYO_REFUSED_WORK</v>
      </c>
    </row>
    <row r="70">
      <c r="A70" s="44">
        <f>ROW()-ROW(Table_EventsCombi[N])</f>
        <v>17</v>
      </c>
      <c r="B70" s="67" t="str">
        <f>IFERROR(__xludf.DUMMYFUNCTION("""COMPUTED_VALUE"""),"EVENT_MANYO_LOOK_FOR_RECIPE_MISSION")</f>
        <v>EVENT_MANYO_LOOK_FOR_RECIPE_MISSION</v>
      </c>
    </row>
    <row r="71">
      <c r="A71" s="44">
        <f>ROW()-ROW(Table_EventsCombi[N])</f>
        <v>18</v>
      </c>
      <c r="B71" s="67" t="str">
        <f>IFERROR(__xludf.DUMMYFUNCTION("""COMPUTED_VALUE"""),"EVENT_UMBRELLA_PICKABLE_TAKEN")</f>
        <v>EVENT_UMBRELLA_PICKABLE_TAKEN</v>
      </c>
    </row>
    <row r="72">
      <c r="A72" s="44">
        <f>ROW()-ROW(Table_EventsCombi[N])</f>
        <v>19</v>
      </c>
      <c r="B72" s="67" t="str">
        <f>IFERROR(__xludf.DUMMYFUNCTION("""COMPUTED_VALUE"""),"EVENT_POOR_MAN_WC_NEED_WATER")</f>
        <v>EVENT_POOR_MAN_WC_NEED_WATER</v>
      </c>
    </row>
    <row r="73">
      <c r="A73" s="44">
        <f>ROW()-ROW(Table_EventsCombi[N])</f>
        <v>20</v>
      </c>
      <c r="B73" s="67" t="str">
        <f>IFERROR(__xludf.DUMMYFUNCTION("""COMPUTED_VALUE"""),"EVENT_COCKROACH_CHEATED")</f>
        <v>EVENT_COCKROACH_CHEATED</v>
      </c>
    </row>
    <row r="74">
      <c r="A74" s="44">
        <f>ROW()-ROW(Table_EventsCombi[N])</f>
        <v>21</v>
      </c>
      <c r="B74" s="67" t="str">
        <f>IFERROR(__xludf.DUMMYFUNCTION("""COMPUTED_VALUE"""),"EVENT_PIPE_OBSERVATION_1")</f>
        <v>EVENT_PIPE_OBSERVATION_1</v>
      </c>
    </row>
    <row r="75">
      <c r="A75" s="44">
        <f>ROW()-ROW(Table_EventsCombi[N])</f>
        <v>22</v>
      </c>
      <c r="B75" s="67" t="str">
        <f>IFERROR(__xludf.DUMMYFUNCTION("""COMPUTED_VALUE"""),"EVENT_PIPE_OBSERVATION_2")</f>
        <v>EVENT_PIPE_OBSERVATION_2</v>
      </c>
    </row>
    <row r="76">
      <c r="A76" s="44">
        <f>ROW()-ROW(Table_EventsCombi[N])</f>
        <v>23</v>
      </c>
      <c r="B76" s="67" t="str">
        <f>IFERROR(__xludf.DUMMYFUNCTION("""COMPUTED_VALUE"""),"EVENT_COCKROACH_SCARED")</f>
        <v>EVENT_COCKROACH_SCARED</v>
      </c>
    </row>
    <row r="77">
      <c r="A77" s="44">
        <f>ROW()-ROW(Table_EventsCombi[N])</f>
        <v>24</v>
      </c>
      <c r="B77" s="67" t="str">
        <f>IFERROR(__xludf.DUMMYFUNCTION("""COMPUTED_VALUE"""),"EVENT_VALVE_BOX_NEED_OPEN")</f>
        <v>EVENT_VALVE_BOX_NEED_OPEN</v>
      </c>
    </row>
    <row r="78">
      <c r="A78" s="44">
        <f>ROW()-ROW(Table_EventsCombi[N])</f>
        <v>25</v>
      </c>
      <c r="B78" s="67" t="str">
        <f>IFERROR(__xludf.DUMMYFUNCTION("""COMPUTED_VALUE"""),"EVENT_ITEM_HIVE1_SHOELACE_PICKABLE_TAKEN")</f>
        <v>EVENT_ITEM_HIVE1_SHOELACE_PICKABLE_TAKEN</v>
      </c>
    </row>
    <row r="79">
      <c r="A79" s="44">
        <f>ROW()-ROW(Table_EventsCombi[N])</f>
        <v>26</v>
      </c>
      <c r="B79" s="67" t="str">
        <f>IFERROR(__xludf.DUMMYFUNCTION("""COMPUTED_VALUE"""),"EVENT_VALVE_BOX_OPENED")</f>
        <v>EVENT_VALVE_BOX_OPENED</v>
      </c>
    </row>
    <row r="80">
      <c r="A80" s="44">
        <f>ROW()-ROW(Table_EventsCombi[N])</f>
        <v>27</v>
      </c>
      <c r="B80" s="67" t="str">
        <f>IFERROR(__xludf.DUMMYFUNCTION("""COMPUTED_VALUE"""),"EVENT_HIVE1_VALVE_ACTIVATED")</f>
        <v>EVENT_HIVE1_VALVE_ACTIVATED</v>
      </c>
    </row>
    <row r="81">
      <c r="A81" s="44">
        <f>ROW()-ROW(Table_EventsCombi[N])</f>
        <v>28</v>
      </c>
      <c r="B81" s="67" t="str">
        <f>IFERROR(__xludf.DUMMYFUNCTION("""COMPUTED_VALUE"""),"EVENT_LAST")</f>
        <v>EVENT_LAST</v>
      </c>
    </row>
    <row r="82">
      <c r="A82" s="44">
        <f>ROW()-ROW(Table_EventsCombi[N])</f>
        <v>29</v>
      </c>
      <c r="B82" s="67" t="str">
        <f>IFERROR(__xludf.DUMMYFUNCTION("""COMPUTED_VALUE"""),"(NOT)EVENT_NONE")</f>
        <v>(NOT)EVENT_NONE</v>
      </c>
    </row>
    <row r="83">
      <c r="A83" s="44">
        <f>ROW()-ROW(Table_EventsCombi[N])</f>
        <v>30</v>
      </c>
      <c r="B83" s="67" t="str">
        <f>IFERROR(__xludf.DUMMYFUNCTION("""COMPUTED_VALUE"""),"(NOT)EVENT_MASTER_CHANGE_ROOM")</f>
        <v>(NOT)EVENT_MASTER_CHANGE_ROOM</v>
      </c>
    </row>
    <row r="84">
      <c r="A84" s="44">
        <f>ROW()-ROW(Table_EventsCombi[N])</f>
        <v>31</v>
      </c>
      <c r="B84" s="67" t="str">
        <f>IFERROR(__xludf.DUMMYFUNCTION("""COMPUTED_VALUE"""),"(NOT)EVENT_MASTER_CHANGE_MOMENT_DAY")</f>
        <v>(NOT)EVENT_MASTER_CHANGE_MOMENT_DAY</v>
      </c>
    </row>
    <row r="85">
      <c r="A85" s="44">
        <f>ROW()-ROW(Table_EventsCombi[N])</f>
        <v>32</v>
      </c>
      <c r="B85" s="67" t="str">
        <f>IFERROR(__xludf.DUMMYFUNCTION("""COMPUTED_VALUE"""),"(NOT)EVENT_MASTER_PENDING_SLEEP_NAP")</f>
        <v>(NOT)EVENT_MASTER_PENDING_SLEEP_NAP</v>
      </c>
    </row>
    <row r="86">
      <c r="A86" s="44">
        <f>ROW()-ROW(Table_EventsCombi[N])</f>
        <v>33</v>
      </c>
      <c r="B86" s="67" t="str">
        <f>IFERROR(__xludf.DUMMYFUNCTION("""COMPUTED_VALUE"""),"(NOT)EVENT_MASTER_PENDING_SLEEP_LONG")</f>
        <v>(NOT)EVENT_MASTER_PENDING_SLEEP_LONG</v>
      </c>
    </row>
    <row r="87">
      <c r="A87" s="44">
        <f>ROW()-ROW(Table_EventsCombi[N])</f>
        <v>34</v>
      </c>
      <c r="B87" s="67" t="str">
        <f>IFERROR(__xludf.DUMMYFUNCTION("""COMPUTED_VALUE"""),"(NOT)EVENT_FIRST")</f>
        <v>(NOT)EVENT_FIRST</v>
      </c>
    </row>
    <row r="88">
      <c r="A88" s="44">
        <f>ROW()-ROW(Table_EventsCombi[N])</f>
        <v>35</v>
      </c>
      <c r="B88" s="67" t="str">
        <f>IFERROR(__xludf.DUMMYFUNCTION("""COMPUTED_VALUE"""),"(NOT)EVENT_HIVE1_CHEST_OPENED")</f>
        <v>(NOT)EVENT_HIVE1_CHEST_OPENED</v>
      </c>
    </row>
    <row r="89">
      <c r="A89" s="44">
        <f>ROW()-ROW(Table_EventsCombi[N])</f>
        <v>36</v>
      </c>
      <c r="B89" s="67" t="str">
        <f>IFERROR(__xludf.DUMMYFUNCTION("""COMPUTED_VALUE"""),"(NOT)EVENT_CARDS_PICKABLE_TAKEN")</f>
        <v>(NOT)EVENT_CARDS_PICKABLE_TAKEN</v>
      </c>
    </row>
    <row r="90">
      <c r="A90" s="44">
        <f>ROW()-ROW(Table_EventsCombi[N])</f>
        <v>37</v>
      </c>
      <c r="B90" s="67" t="str">
        <f>IFERROR(__xludf.DUMMYFUNCTION("""COMPUTED_VALUE"""),"(NOT)EVENT_HIVE1_WARDROBE_OPENED")</f>
        <v>(NOT)EVENT_HIVE1_WARDROBE_OPENED</v>
      </c>
    </row>
    <row r="91">
      <c r="A91" s="44">
        <f>ROW()-ROW(Table_EventsCombi[N])</f>
        <v>38</v>
      </c>
      <c r="B91" s="67" t="str">
        <f>IFERROR(__xludf.DUMMYFUNCTION("""COMPUTED_VALUE"""),"(NOT)EVENT_HIVE1_AD_BOARD_OBSERVED_1")</f>
        <v>(NOT)EVENT_HIVE1_AD_BOARD_OBSERVED_1</v>
      </c>
    </row>
    <row r="92">
      <c r="A92" s="44">
        <f>ROW()-ROW(Table_EventsCombi[N])</f>
        <v>39</v>
      </c>
      <c r="B92" s="67" t="str">
        <f>IFERROR(__xludf.DUMMYFUNCTION("""COMPUTED_VALUE"""),"(NOT)EVENT_HIVE1_USED_PERFUME")</f>
        <v>(NOT)EVENT_HIVE1_USED_PERFUME</v>
      </c>
    </row>
    <row r="93">
      <c r="A93" s="44">
        <f>ROW()-ROW(Table_EventsCombi[N])</f>
        <v>40</v>
      </c>
      <c r="B93" s="67" t="str">
        <f>IFERROR(__xludf.DUMMYFUNCTION("""COMPUTED_VALUE"""),"(NOT)EVENT_HIVE1_USED_BASIN")</f>
        <v>(NOT)EVENT_HIVE1_USED_BASIN</v>
      </c>
    </row>
    <row r="94">
      <c r="A94" s="44">
        <f>ROW()-ROW(Table_EventsCombi[N])</f>
        <v>41</v>
      </c>
      <c r="B94" s="67" t="str">
        <f>IFERROR(__xludf.DUMMYFUNCTION("""COMPUTED_VALUE"""),"(NOT)EVENT_SOAP_PICKABLE_TAKEN")</f>
        <v>(NOT)EVENT_SOAP_PICKABLE_TAKEN</v>
      </c>
    </row>
    <row r="95">
      <c r="A95" s="44">
        <f>ROW()-ROW(Table_EventsCombi[N])</f>
        <v>42</v>
      </c>
      <c r="B95" s="67" t="str">
        <f>IFERROR(__xludf.DUMMYFUNCTION("""COMPUTED_VALUE"""),"(NOT)EVENT_LAUNCH_SLEEP_DECISION")</f>
        <v>(NOT)EVENT_LAUNCH_SLEEP_DECISION</v>
      </c>
    </row>
    <row r="96">
      <c r="A96" s="44">
        <f>ROW()-ROW(Table_EventsCombi[N])</f>
        <v>43</v>
      </c>
      <c r="B96" s="67" t="str">
        <f>IFERROR(__xludf.DUMMYFUNCTION("""COMPUTED_VALUE"""),"(NOT)EVENT_CAN_GO_SOUTH_NEIGH")</f>
        <v>(NOT)EVENT_CAN_GO_SOUTH_NEIGH</v>
      </c>
    </row>
    <row r="97">
      <c r="A97" s="44">
        <f>ROW()-ROW(Table_EventsCombi[N])</f>
        <v>44</v>
      </c>
      <c r="B97" s="67" t="str">
        <f>IFERROR(__xludf.DUMMYFUNCTION("""COMPUTED_VALUE"""),"(NOT)EVENT_PHARMACY_EMPTY")</f>
        <v>(NOT)EVENT_PHARMACY_EMPTY</v>
      </c>
    </row>
    <row r="98">
      <c r="A98" s="44">
        <f>ROW()-ROW(Table_EventsCombi[N])</f>
        <v>45</v>
      </c>
      <c r="B98" s="67" t="str">
        <f>IFERROR(__xludf.DUMMYFUNCTION("""COMPUTED_VALUE"""),"(NOT)EVENT_MANYO_REFUSED_WORK")</f>
        <v>(NOT)EVENT_MANYO_REFUSED_WORK</v>
      </c>
    </row>
    <row r="99">
      <c r="A99" s="44">
        <f>ROW()-ROW(Table_EventsCombi[N])</f>
        <v>46</v>
      </c>
      <c r="B99" s="67" t="str">
        <f>IFERROR(__xludf.DUMMYFUNCTION("""COMPUTED_VALUE"""),"(NOT)EVENT_MANYO_LOOK_FOR_RECIPE_MISSION")</f>
        <v>(NOT)EVENT_MANYO_LOOK_FOR_RECIPE_MISSION</v>
      </c>
    </row>
    <row r="100">
      <c r="A100" s="44">
        <f>ROW()-ROW(Table_EventsCombi[N])</f>
        <v>47</v>
      </c>
      <c r="B100" s="67" t="str">
        <f>IFERROR(__xludf.DUMMYFUNCTION("""COMPUTED_VALUE"""),"(NOT)EVENT_UMBRELLA_PICKABLE_TAKEN")</f>
        <v>(NOT)EVENT_UMBRELLA_PICKABLE_TAKEN</v>
      </c>
    </row>
    <row r="101">
      <c r="A101" s="44">
        <f>ROW()-ROW(Table_EventsCombi[N])</f>
        <v>48</v>
      </c>
      <c r="B101" s="67" t="str">
        <f>IFERROR(__xludf.DUMMYFUNCTION("""COMPUTED_VALUE"""),"(NOT)EVENT_POOR_MAN_WC_NEED_WATER")</f>
        <v>(NOT)EVENT_POOR_MAN_WC_NEED_WATER</v>
      </c>
    </row>
    <row r="102">
      <c r="A102" s="44">
        <f>ROW()-ROW(Table_EventsCombi[N])</f>
        <v>49</v>
      </c>
      <c r="B102" s="67" t="str">
        <f>IFERROR(__xludf.DUMMYFUNCTION("""COMPUTED_VALUE"""),"(NOT)EVENT_COCKROACH_CHEATED")</f>
        <v>(NOT)EVENT_COCKROACH_CHEATED</v>
      </c>
    </row>
    <row r="103">
      <c r="A103" s="44">
        <f>ROW()-ROW(Table_EventsCombi[N])</f>
        <v>50</v>
      </c>
      <c r="B103" s="67" t="str">
        <f>IFERROR(__xludf.DUMMYFUNCTION("""COMPUTED_VALUE"""),"(NOT)EVENT_PIPE_OBSERVATION_1")</f>
        <v>(NOT)EVENT_PIPE_OBSERVATION_1</v>
      </c>
    </row>
    <row r="104">
      <c r="A104" s="44">
        <f>ROW()-ROW(Table_EventsCombi[N])</f>
        <v>51</v>
      </c>
      <c r="B104" s="67" t="str">
        <f>IFERROR(__xludf.DUMMYFUNCTION("""COMPUTED_VALUE"""),"(NOT)EVENT_PIPE_OBSERVATION_2")</f>
        <v>(NOT)EVENT_PIPE_OBSERVATION_2</v>
      </c>
    </row>
    <row r="105">
      <c r="A105" s="44">
        <f>ROW()-ROW(Table_EventsCombi[N])</f>
        <v>52</v>
      </c>
      <c r="B105" s="67" t="str">
        <f>IFERROR(__xludf.DUMMYFUNCTION("""COMPUTED_VALUE"""),"(NOT)EVENT_COCKROACH_SCARED")</f>
        <v>(NOT)EVENT_COCKROACH_SCARED</v>
      </c>
    </row>
    <row r="106">
      <c r="A106" s="44">
        <f>ROW()-ROW(Table_EventsCombi[N])</f>
        <v>53</v>
      </c>
      <c r="B106" s="67" t="str">
        <f>IFERROR(__xludf.DUMMYFUNCTION("""COMPUTED_VALUE"""),"(NOT)EVENT_VALVE_BOX_NEED_OPEN")</f>
        <v>(NOT)EVENT_VALVE_BOX_NEED_OPEN</v>
      </c>
    </row>
    <row r="107">
      <c r="A107" s="44">
        <f>ROW()-ROW(Table_EventsCombi[N])</f>
        <v>54</v>
      </c>
      <c r="B107" s="67" t="str">
        <f>IFERROR(__xludf.DUMMYFUNCTION("""COMPUTED_VALUE"""),"(NOT)EVENT_ITEM_HIVE1_SHOELACE_PICKABLE_TAKEN")</f>
        <v>(NOT)EVENT_ITEM_HIVE1_SHOELACE_PICKABLE_TAKEN</v>
      </c>
    </row>
    <row r="108">
      <c r="A108" s="44">
        <f>ROW()-ROW(Table_EventsCombi[N])</f>
        <v>55</v>
      </c>
      <c r="B108" s="67" t="str">
        <f>IFERROR(__xludf.DUMMYFUNCTION("""COMPUTED_VALUE"""),"(NOT)EVENT_VALVE_BOX_OPENED")</f>
        <v>(NOT)EVENT_VALVE_BOX_OPENED</v>
      </c>
    </row>
    <row r="109">
      <c r="A109" s="44">
        <f>ROW()-ROW(Table_EventsCombi[N])</f>
        <v>56</v>
      </c>
      <c r="B109" s="67" t="str">
        <f>IFERROR(__xludf.DUMMYFUNCTION("""COMPUTED_VALUE"""),"(NOT)EVENT_HIVE1_VALVE_ACTIVATED")</f>
        <v>(NOT)EVENT_HIVE1_VALVE_ACTIVATED</v>
      </c>
    </row>
    <row r="110">
      <c r="A110" s="44">
        <f>ROW()-ROW(Table_EventsCombi[N])</f>
        <v>57</v>
      </c>
      <c r="B110" s="67" t="str">
        <f>IFERROR(__xludf.DUMMYFUNCTION("""COMPUTED_VALUE"""),"(NOT)EVENT_LAST")</f>
        <v>(NOT)EVENT_LAST</v>
      </c>
    </row>
    <row r="111">
      <c r="A111" s="44">
        <f>ROW()-ROW(Table_EventsCombi[N])</f>
        <v>58</v>
      </c>
      <c r="B111" s="67"/>
    </row>
    <row r="112">
      <c r="A112" s="44">
        <f>ROW()-ROW(Table_EventsCombi[N])</f>
        <v>59</v>
      </c>
      <c r="B112" s="67"/>
    </row>
    <row r="113">
      <c r="A113" s="44">
        <f>ROW()-ROW(Table_EventsCombi[N])</f>
        <v>60</v>
      </c>
      <c r="B113" s="67"/>
    </row>
    <row r="114">
      <c r="A114" s="44">
        <f>ROW()-ROW(Table_EventsCombi[N])</f>
        <v>61</v>
      </c>
      <c r="B114" s="67"/>
    </row>
    <row r="115">
      <c r="A115" s="44">
        <f>ROW()-ROW(Table_EventsCombi[N])</f>
        <v>62</v>
      </c>
      <c r="B115" s="67"/>
    </row>
    <row r="116">
      <c r="A116" s="44">
        <f>ROW()-ROW(Table_EventsCombi[N])</f>
        <v>63</v>
      </c>
      <c r="B116" s="67"/>
    </row>
    <row r="117">
      <c r="A117" s="44">
        <f>ROW()-ROW(Table_EventsCombi[N])</f>
        <v>64</v>
      </c>
      <c r="B117" s="67"/>
    </row>
    <row r="118">
      <c r="A118" s="44">
        <f>ROW()-ROW(Table_EventsCombi[N])</f>
        <v>65</v>
      </c>
      <c r="B118" s="67"/>
    </row>
    <row r="119">
      <c r="A119" s="44">
        <f>ROW()-ROW(Table_EventsCombi[N])</f>
        <v>66</v>
      </c>
      <c r="B119" s="67"/>
    </row>
    <row r="120">
      <c r="A120" s="44">
        <f>ROW()-ROW(Table_EventsCombi[N])</f>
        <v>67</v>
      </c>
      <c r="B120" s="67"/>
    </row>
    <row r="121">
      <c r="A121" s="44">
        <f>ROW()-ROW(Table_EventsCombi[N])</f>
        <v>68</v>
      </c>
      <c r="B121" s="67"/>
    </row>
    <row r="122">
      <c r="A122" s="44">
        <f>ROW()-ROW(Table_EventsCombi[N])</f>
        <v>69</v>
      </c>
      <c r="B122" s="67"/>
    </row>
    <row r="123">
      <c r="A123" s="44">
        <f>ROW()-ROW(Table_EventsCombi[N])</f>
        <v>70</v>
      </c>
      <c r="B123" s="67"/>
    </row>
    <row r="124">
      <c r="A124" s="44">
        <f>ROW()-ROW(Table_EventsCombi[N])</f>
        <v>71</v>
      </c>
      <c r="B124" s="67"/>
    </row>
    <row r="125">
      <c r="A125" s="44">
        <f>ROW()-ROW(Table_EventsCombi[N])</f>
        <v>72</v>
      </c>
      <c r="B125" s="67"/>
    </row>
    <row r="126">
      <c r="A126" s="44">
        <f>ROW()-ROW(Table_EventsCombi[N])</f>
        <v>73</v>
      </c>
      <c r="B126" s="67"/>
    </row>
    <row r="127">
      <c r="A127" s="44">
        <f>ROW()-ROW(Table_EventsCombi[N])</f>
        <v>74</v>
      </c>
      <c r="B127" s="67"/>
    </row>
    <row r="128">
      <c r="A128" s="44">
        <f>ROW()-ROW(Table_EventsCombi[N])</f>
        <v>75</v>
      </c>
      <c r="B128" s="67"/>
    </row>
    <row r="129">
      <c r="A129" s="44">
        <f>ROW()-ROW(Table_EventsCombi[N])</f>
        <v>76</v>
      </c>
      <c r="B129" s="67"/>
    </row>
    <row r="130">
      <c r="A130" s="44">
        <f>ROW()-ROW(Table_EventsCombi[N])</f>
        <v>77</v>
      </c>
      <c r="B130" s="67"/>
    </row>
    <row r="131">
      <c r="A131" s="44">
        <f>ROW()-ROW(Table_EventsCombi[N])</f>
        <v>78</v>
      </c>
      <c r="B131" s="67"/>
    </row>
    <row r="132">
      <c r="A132" s="44">
        <f>ROW()-ROW(Table_EventsCombi[N])</f>
        <v>79</v>
      </c>
      <c r="B132" s="67"/>
    </row>
    <row r="133">
      <c r="A133" s="44">
        <f>ROW()-ROW(Table_EventsCombi[N])</f>
        <v>80</v>
      </c>
      <c r="B133" s="67"/>
    </row>
    <row r="134">
      <c r="A134" s="44">
        <f>ROW()-ROW(Table_EventsCombi[N])</f>
        <v>81</v>
      </c>
      <c r="B134" s="67"/>
    </row>
    <row r="135">
      <c r="A135" s="44">
        <f>ROW()-ROW(Table_EventsCombi[N])</f>
        <v>82</v>
      </c>
      <c r="B135" s="67"/>
    </row>
    <row r="136">
      <c r="A136" s="44">
        <f>ROW()-ROW(Table_EventsCombi[N])</f>
        <v>83</v>
      </c>
      <c r="B136" s="67"/>
    </row>
    <row r="137">
      <c r="A137" s="44">
        <f>ROW()-ROW(Table_EventsCombi[N])</f>
        <v>84</v>
      </c>
      <c r="B137" s="67"/>
    </row>
    <row r="138">
      <c r="A138" s="44">
        <f>ROW()-ROW(Table_EventsCombi[N])</f>
        <v>85</v>
      </c>
      <c r="B138" s="67"/>
    </row>
    <row r="139">
      <c r="A139" s="44">
        <f>ROW()-ROW(Table_EventsCombi[N])</f>
        <v>86</v>
      </c>
      <c r="B139" s="67"/>
    </row>
    <row r="140">
      <c r="A140" s="44">
        <f>ROW()-ROW(Table_EventsCombi[N])</f>
        <v>87</v>
      </c>
      <c r="B140" s="67"/>
    </row>
    <row r="141">
      <c r="A141" s="44">
        <f>ROW()-ROW(Table_EventsCombi[N])</f>
        <v>88</v>
      </c>
      <c r="B141" s="67"/>
    </row>
    <row r="142">
      <c r="A142" s="44">
        <f>ROW()-ROW(Table_EventsCombi[N])</f>
        <v>89</v>
      </c>
      <c r="B142" s="67"/>
    </row>
    <row r="143">
      <c r="A143" s="44">
        <f>ROW()-ROW(Table_EventsCombi[N])</f>
        <v>90</v>
      </c>
      <c r="B143" s="67"/>
    </row>
    <row r="144">
      <c r="A144" s="44">
        <f>ROW()-ROW(Table_EventsCombi[N])</f>
        <v>91</v>
      </c>
      <c r="B144" s="67"/>
    </row>
    <row r="145">
      <c r="A145" s="44">
        <f>ROW()-ROW(Table_EventsCombi[N])</f>
        <v>92</v>
      </c>
      <c r="B145" s="67"/>
    </row>
    <row r="146">
      <c r="A146" s="44">
        <f>ROW()-ROW(Table_EventsCombi[N])</f>
        <v>93</v>
      </c>
      <c r="B146" s="67"/>
    </row>
    <row r="147">
      <c r="A147" s="44">
        <f>ROW()-ROW(Table_EventsCombi[N])</f>
        <v>94</v>
      </c>
      <c r="B147" s="67"/>
    </row>
    <row r="148">
      <c r="A148" s="44">
        <f>ROW()-ROW(Table_EventsCombi[N])</f>
        <v>95</v>
      </c>
      <c r="B148" s="67"/>
    </row>
    <row r="149">
      <c r="A149" s="44">
        <f>ROW()-ROW(Table_EventsCombi[N])</f>
        <v>96</v>
      </c>
      <c r="B149" s="67"/>
    </row>
    <row r="150">
      <c r="A150" s="44">
        <f>ROW()-ROW(Table_EventsCombi[N])</f>
        <v>97</v>
      </c>
      <c r="B150" s="67"/>
    </row>
    <row r="151">
      <c r="A151" s="44">
        <f>ROW()-ROW(Table_EventsCombi[N])</f>
        <v>98</v>
      </c>
      <c r="B151" s="67"/>
    </row>
    <row r="152">
      <c r="A152" s="44">
        <f>ROW()-ROW(Table_EventsCombi[N])</f>
        <v>99</v>
      </c>
      <c r="B152" s="67"/>
    </row>
    <row r="153">
      <c r="A153" s="44">
        <f>ROW()-ROW(Table_EventsCombi[N])</f>
        <v>100</v>
      </c>
      <c r="B153" s="67"/>
    </row>
    <row r="154">
      <c r="A154" s="44">
        <f>ROW()-ROW(Table_EventsCombi[N])</f>
        <v>101</v>
      </c>
      <c r="B154" s="67"/>
    </row>
    <row r="155">
      <c r="A155" s="44">
        <f>ROW()-ROW(Table_EventsCombi[N])</f>
        <v>102</v>
      </c>
      <c r="B155" s="67"/>
    </row>
    <row r="156">
      <c r="A156" s="44">
        <f>ROW()-ROW(Table_EventsCombi[N])</f>
        <v>103</v>
      </c>
      <c r="B156" s="67"/>
    </row>
    <row r="157">
      <c r="A157" s="44">
        <f>ROW()-ROW(Table_EventsCombi[N])</f>
        <v>104</v>
      </c>
      <c r="B157" s="67"/>
    </row>
    <row r="158">
      <c r="A158" s="44">
        <f>ROW()-ROW(Table_EventsCombi[N])</f>
        <v>105</v>
      </c>
      <c r="B158" s="67"/>
    </row>
    <row r="159">
      <c r="A159" s="44">
        <f>ROW()-ROW(Table_EventsCombi[N])</f>
        <v>106</v>
      </c>
      <c r="B159" s="67"/>
    </row>
    <row r="160">
      <c r="A160" s="44">
        <f>ROW()-ROW(Table_EventsCombi[N])</f>
        <v>107</v>
      </c>
      <c r="B160" s="67"/>
    </row>
    <row r="161">
      <c r="A161" s="44">
        <f>ROW()-ROW(Table_EventsCombi[N])</f>
        <v>108</v>
      </c>
      <c r="B161" s="67"/>
    </row>
    <row r="162">
      <c r="A162" s="44">
        <f>ROW()-ROW(Table_EventsCombi[N])</f>
        <v>109</v>
      </c>
      <c r="B162" s="67"/>
    </row>
  </sheetData>
  <dataValidations>
    <dataValidation type="list" allowBlank="1" sqref="E40:E47">
      <formula1>#REF!</formula1>
    </dataValidation>
    <dataValidation type="list" allowBlank="1" sqref="C33:D37 C40:D47 C50">
      <formula1>#REF!</formula1>
    </dataValidation>
  </dataValidations>
  <drawing r:id="rId1"/>
  <tableParts count="5">
    <tablePart r:id="rId7"/>
    <tablePart r:id="rId8"/>
    <tablePart r:id="rId9"/>
    <tablePart r:id="rId10"/>
    <tablePart r:id="rId1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39.29"/>
    <col customWidth="1" min="2" max="2" width="9.43"/>
    <col customWidth="1" min="3" max="3" width="11.71"/>
    <col customWidth="1" min="4" max="4" width="15.57"/>
  </cols>
  <sheetData>
    <row r="1">
      <c r="A1" s="1" t="s">
        <v>1130</v>
      </c>
      <c r="B1" s="1" t="s">
        <v>1131</v>
      </c>
      <c r="C1" s="1" t="s">
        <v>1132</v>
      </c>
      <c r="D1" s="1" t="s">
        <v>1133</v>
      </c>
    </row>
    <row r="2">
      <c r="A2" s="34" t="s">
        <v>1134</v>
      </c>
      <c r="B2" s="68">
        <v>1.0</v>
      </c>
      <c r="C2" s="34" t="b">
        <v>1</v>
      </c>
      <c r="D2" s="34" t="b">
        <v>1</v>
      </c>
    </row>
    <row r="3">
      <c r="A3" s="34" t="s">
        <v>1135</v>
      </c>
      <c r="B3" s="68">
        <v>1.0</v>
      </c>
      <c r="C3" s="34" t="b">
        <v>0</v>
      </c>
      <c r="D3" s="34" t="b">
        <v>1</v>
      </c>
    </row>
    <row r="4">
      <c r="A4" s="34" t="s">
        <v>1136</v>
      </c>
      <c r="B4" s="68">
        <v>3.0</v>
      </c>
      <c r="C4" s="34" t="b">
        <v>1</v>
      </c>
      <c r="D4" s="34" t="b">
        <v>1</v>
      </c>
    </row>
    <row r="5">
      <c r="A5" s="34" t="s">
        <v>1137</v>
      </c>
      <c r="B5" s="68">
        <v>1.0</v>
      </c>
      <c r="C5" s="34" t="b">
        <v>1</v>
      </c>
      <c r="D5" s="34" t="b">
        <v>1</v>
      </c>
    </row>
    <row r="6">
      <c r="A6" s="34" t="s">
        <v>1138</v>
      </c>
      <c r="B6" s="68">
        <v>3.0</v>
      </c>
      <c r="C6" s="34" t="b">
        <v>1</v>
      </c>
      <c r="D6" s="34" t="b">
        <v>1</v>
      </c>
    </row>
    <row r="7">
      <c r="A7" s="34" t="s">
        <v>1139</v>
      </c>
      <c r="B7" s="68">
        <v>3.0</v>
      </c>
      <c r="C7" s="34" t="b">
        <v>1</v>
      </c>
      <c r="D7" s="34" t="b">
        <v>1</v>
      </c>
    </row>
    <row r="8">
      <c r="A8" s="34" t="s">
        <v>1140</v>
      </c>
      <c r="B8" s="68">
        <v>5.0</v>
      </c>
      <c r="C8" s="34" t="b">
        <v>1</v>
      </c>
      <c r="D8" s="34" t="b">
        <v>1</v>
      </c>
    </row>
    <row r="9">
      <c r="A9" s="34" t="s">
        <v>1141</v>
      </c>
      <c r="B9" s="68">
        <v>4.0</v>
      </c>
      <c r="C9" s="34" t="b">
        <v>1</v>
      </c>
      <c r="D9" s="34" t="b">
        <v>1</v>
      </c>
    </row>
    <row r="10">
      <c r="A10" s="34" t="s">
        <v>1142</v>
      </c>
      <c r="B10" s="68">
        <v>5.0</v>
      </c>
      <c r="C10" s="34" t="b">
        <v>0</v>
      </c>
      <c r="D10" s="34" t="b">
        <v>0</v>
      </c>
    </row>
    <row r="11">
      <c r="A11" s="34" t="s">
        <v>1143</v>
      </c>
      <c r="B11" s="68">
        <v>4.0</v>
      </c>
      <c r="C11" s="34" t="b">
        <v>0</v>
      </c>
      <c r="D11" s="34" t="b">
        <v>0</v>
      </c>
    </row>
    <row r="12">
      <c r="A12" s="34" t="s">
        <v>1144</v>
      </c>
      <c r="B12" s="68">
        <v>1.0</v>
      </c>
      <c r="C12" s="34" t="b">
        <v>1</v>
      </c>
      <c r="D12" s="34" t="b">
        <v>1</v>
      </c>
    </row>
    <row r="13">
      <c r="A13" s="34" t="s">
        <v>1145</v>
      </c>
      <c r="B13" s="68">
        <v>4.0</v>
      </c>
      <c r="C13" s="34" t="b">
        <v>1</v>
      </c>
      <c r="D13" s="34" t="b">
        <v>1</v>
      </c>
    </row>
    <row r="14">
      <c r="A14" s="34" t="s">
        <v>1146</v>
      </c>
      <c r="B14" s="68">
        <v>1.0</v>
      </c>
      <c r="C14" s="34" t="b">
        <v>1</v>
      </c>
      <c r="D14" s="34" t="b">
        <v>1</v>
      </c>
    </row>
    <row r="15">
      <c r="A15" s="34" t="s">
        <v>1147</v>
      </c>
      <c r="B15" s="68">
        <v>2.0</v>
      </c>
      <c r="C15" s="34" t="b">
        <v>1</v>
      </c>
      <c r="D15" s="34" t="b">
        <v>1</v>
      </c>
    </row>
    <row r="16">
      <c r="A16" s="34" t="s">
        <v>1148</v>
      </c>
      <c r="B16" s="68">
        <v>3.0</v>
      </c>
      <c r="C16" s="34" t="b">
        <v>1</v>
      </c>
      <c r="D16" s="34" t="b">
        <v>1</v>
      </c>
    </row>
    <row r="17">
      <c r="A17" s="34" t="s">
        <v>1149</v>
      </c>
      <c r="B17" s="68">
        <v>2.0</v>
      </c>
      <c r="C17" s="34" t="b">
        <v>1</v>
      </c>
      <c r="D17" s="34" t="b">
        <v>1</v>
      </c>
    </row>
    <row r="18">
      <c r="A18" s="34" t="s">
        <v>1150</v>
      </c>
      <c r="B18" s="68">
        <v>2.0</v>
      </c>
      <c r="C18" s="34" t="b">
        <v>1</v>
      </c>
      <c r="D18" s="34" t="b">
        <v>1</v>
      </c>
    </row>
    <row r="19">
      <c r="A19" s="34" t="s">
        <v>1151</v>
      </c>
      <c r="B19" s="68">
        <v>2.0</v>
      </c>
      <c r="C19" s="34" t="b">
        <v>1</v>
      </c>
      <c r="D19" s="34" t="b">
        <v>1</v>
      </c>
    </row>
    <row r="20">
      <c r="A20" s="34" t="s">
        <v>1152</v>
      </c>
      <c r="B20" s="68">
        <v>2.0</v>
      </c>
      <c r="C20" s="34" t="b">
        <v>1</v>
      </c>
      <c r="D20" s="34" t="b">
        <v>1</v>
      </c>
    </row>
    <row r="21">
      <c r="A21" s="34" t="s">
        <v>1153</v>
      </c>
      <c r="B21" s="68">
        <v>3.0</v>
      </c>
      <c r="C21" s="34" t="b">
        <v>1</v>
      </c>
      <c r="D21" s="34" t="b">
        <v>1</v>
      </c>
    </row>
    <row r="22">
      <c r="A22" s="34" t="s">
        <v>1154</v>
      </c>
      <c r="B22" s="68">
        <v>2.0</v>
      </c>
      <c r="C22" s="34" t="b">
        <v>1</v>
      </c>
      <c r="D22" s="34" t="b">
        <v>1</v>
      </c>
    </row>
    <row r="23">
      <c r="A23" s="34" t="s">
        <v>1155</v>
      </c>
      <c r="B23" s="68">
        <v>2.0</v>
      </c>
      <c r="C23" s="34" t="b">
        <v>1</v>
      </c>
      <c r="D23" s="34" t="b">
        <v>1</v>
      </c>
    </row>
    <row r="24">
      <c r="A24" s="34" t="s">
        <v>1156</v>
      </c>
      <c r="B24" s="68">
        <v>2.0</v>
      </c>
      <c r="C24" s="34" t="b">
        <v>1</v>
      </c>
      <c r="D24" s="34" t="b">
        <v>1</v>
      </c>
    </row>
    <row r="25">
      <c r="A25" s="34" t="s">
        <v>1157</v>
      </c>
      <c r="B25" s="68">
        <v>2.0</v>
      </c>
      <c r="C25" s="34" t="b">
        <v>1</v>
      </c>
      <c r="D25" s="34" t="b">
        <v>1</v>
      </c>
    </row>
    <row r="26">
      <c r="A26" s="34" t="s">
        <v>1158</v>
      </c>
      <c r="B26" s="68">
        <v>2.0</v>
      </c>
      <c r="C26" s="34" t="b">
        <v>1</v>
      </c>
      <c r="D26" s="34" t="b">
        <v>1</v>
      </c>
    </row>
    <row r="27">
      <c r="A27" s="34" t="s">
        <v>1159</v>
      </c>
      <c r="B27" s="68">
        <v>2.0</v>
      </c>
      <c r="C27" s="34" t="b">
        <v>1</v>
      </c>
      <c r="D27" s="34" t="b">
        <v>1</v>
      </c>
    </row>
    <row r="28">
      <c r="A28" s="34" t="s">
        <v>1160</v>
      </c>
      <c r="B28" s="68">
        <v>2.0</v>
      </c>
      <c r="C28" s="34" t="b">
        <v>0</v>
      </c>
      <c r="D28" s="34" t="b">
        <v>0</v>
      </c>
    </row>
    <row r="29">
      <c r="A29" s="34" t="s">
        <v>1161</v>
      </c>
      <c r="B29" s="68">
        <v>4.0</v>
      </c>
      <c r="C29" s="34" t="b">
        <v>0</v>
      </c>
      <c r="D29" s="34" t="b">
        <v>0</v>
      </c>
    </row>
    <row r="30">
      <c r="A30" s="34" t="s">
        <v>1162</v>
      </c>
      <c r="B30" s="68">
        <v>2.0</v>
      </c>
      <c r="C30" s="34" t="b">
        <v>0</v>
      </c>
      <c r="D30" s="34" t="b">
        <v>0</v>
      </c>
    </row>
    <row r="31">
      <c r="A31" s="34" t="s">
        <v>812</v>
      </c>
      <c r="B31" s="68">
        <v>5.0</v>
      </c>
      <c r="C31" s="34" t="b">
        <v>0</v>
      </c>
      <c r="D31" s="34" t="b">
        <v>0</v>
      </c>
    </row>
  </sheetData>
  <conditionalFormatting sqref="B2:B31">
    <cfRule type="colorScale" priority="1">
      <colorScale>
        <cfvo type="formula" val="1"/>
        <cfvo type="formula" val="3"/>
        <cfvo type="formula" val="5"/>
        <color rgb="FFFF0000"/>
        <color rgb="FFFFFF00"/>
        <color rgb="FF57BB8A"/>
      </colorScale>
    </cfRule>
  </conditionalFormatting>
  <conditionalFormatting sqref="A2:A31">
    <cfRule type="expression" dxfId="5" priority="2">
      <formula>$C2=TRUE</formula>
    </cfRule>
  </conditionalFormatting>
  <dataValidations>
    <dataValidation type="custom" allowBlank="1" showDropDown="1" sqref="B2:B31">
      <formula1>AND(ISNUMBER(B2),(NOT(OR(NOT(ISERROR(DATEVALUE(B2))), AND(ISNUMBER(B2), LEFT(CELL("format", B2))="D")))))</formula1>
    </dataValidation>
  </dataValidations>
  <drawing r:id="rId2"/>
  <legacyDrawing r:id="rId3"/>
  <tableParts count="1">
    <tablePart r:id="rId5"/>
  </tableParts>
</worksheet>
</file>