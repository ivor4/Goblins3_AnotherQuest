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N" sheetId="1" r:id="rId5"/>
    <sheet state="visible" name="VARMAP" sheetId="2" r:id="rId6"/>
    <sheet state="visible" name="SERVICES" sheetId="3" r:id="rId7"/>
    <sheet state="visible" name="ITEMS" sheetId="4" r:id="rId8"/>
    <sheet state="visible" name="ACTION_CONDS" sheetId="5" r:id="rId9"/>
    <sheet state="visible" name="SPRITES" sheetId="6" r:id="rId10"/>
    <sheet state="visible" name="SOUNDS" sheetId="7" r:id="rId11"/>
    <sheet state="visible" name="DIALOGS" sheetId="8" r:id="rId12"/>
    <sheet state="visible" name="DECISIONS" sheetId="9" r:id="rId13"/>
    <sheet state="visible" name="NAMES" sheetId="10" r:id="rId14"/>
    <sheet state="visible" name="PHRASES" sheetId="11" r:id="rId15"/>
    <sheet state="visible" name="ROOMS" sheetId="12" r:id="rId16"/>
    <sheet state="visible" name="TYPES" sheetId="13" r:id="rId17"/>
    <sheet state="visible" name="EVENTS" sheetId="14" r:id="rId18"/>
    <sheet state="visible" name="PREFABS" sheetId="15" r:id="rId19"/>
    <sheet state="visible" name="ANIMATIONS" sheetId="16" r:id="rId20"/>
    <sheet state="visible" name="_TODO" sheetId="17" r:id="rId21"/>
  </sheets>
  <definedNames>
    <definedName name="Interval_autoInsertMemento">FN!$A$10:$E$11</definedName>
    <definedName name="Interval_Dialogs">DIALOGS!$A$1:$D$67</definedName>
    <definedName name="Interval_autoInsertRoom">FN!$A$4:$E$5</definedName>
    <definedName name="Interval_Memento_Parent">EVENTS!$A$82:$G$90</definedName>
    <definedName name="Interval_Animations">ANIMATIONS!$A$1:$B$12</definedName>
    <definedName name="Interval_Events">EVENTS!$A$1:$B$80</definedName>
    <definedName name="Interval_Rooms">ROOMS!$A$1:$K$33</definedName>
    <definedName name="Interval_Name">NAMES!$A$1:$D$94</definedName>
    <definedName name="Interval_autoInsertItem">FN!$A$1:$J$2</definedName>
    <definedName name="Interval_Unchain_Conditions">ACTION_CONDS!$A$164:$I$233</definedName>
    <definedName name="Interval_Actions">ACTION_CONDS!$A$235:$Y$730</definedName>
    <definedName name="Interval_Phrases">PHRASES!$A$1:$I$456</definedName>
    <definedName name="Interval_sprites">SPRITES!$A$1:$C$156</definedName>
    <definedName name="Interval_Items">ITEMS!$A$1:$M$114</definedName>
    <definedName name="Interval_Dialog_Options">DIALOGS!$A$69:$H$170</definedName>
    <definedName name="Interval_Memento">EVENTS!$A$92:$E$110</definedName>
    <definedName name="Interval_autoInsertDialog">FN!$A$7:$L$8</definedName>
    <definedName name="Interval_Sounds">SOUNDS!$A$1:$D$426</definedName>
    <definedName name="Interval_Action_Conditions">ACTION_CONDS!$A$1:$I$162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Calculated</t>
      </text>
    </comment>
    <comment authorId="0" ref="E9">
      <text>
        <t xml:space="preserve">Calculated</t>
      </text>
    </comment>
    <comment authorId="0" ref="E8">
      <text>
        <t xml:space="preserve">Calculated</t>
      </text>
    </comment>
    <comment authorId="0" ref="E7">
      <text>
        <t xml:space="preserve">Calculated</t>
      </text>
    </comment>
    <comment authorId="0" ref="E6">
      <text>
        <t xml:space="preserve">Calculated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9">
      <text>
        <t xml:space="preserve">Actions triggered after all phrases</t>
      </text>
    </comment>
    <comment authorId="0" ref="F69">
      <text>
        <t xml:space="preserve">New dialog shown after all phrases have been said</t>
      </text>
    </comment>
  </commentList>
</comments>
</file>

<file path=xl/sharedStrings.xml><?xml version="1.0" encoding="utf-8"?>
<sst xmlns="http://schemas.openxmlformats.org/spreadsheetml/2006/main" count="20400" uniqueCount="4475">
  <si>
    <t>NewItem</t>
  </si>
  <si>
    <t>NewName</t>
  </si>
  <si>
    <t>NewSprite</t>
  </si>
  <si>
    <t>Pickable</t>
  </si>
  <si>
    <t>Spawn</t>
  </si>
  <si>
    <t>Picker_Character</t>
  </si>
  <si>
    <t>ObservationPhrase</t>
  </si>
  <si>
    <t>TakePhrase</t>
  </si>
  <si>
    <t>Room</t>
  </si>
  <si>
    <t>Output</t>
  </si>
  <si>
    <t>ITEM_RUST_POWDER</t>
  </si>
  <si>
    <t>NAME_RUST_POWDER</t>
  </si>
  <si>
    <t>SPRITE_RUST_POWDER</t>
  </si>
  <si>
    <t>CHARACTER_MAIN</t>
  </si>
  <si>
    <t>Virutas de óxido de hierro. Huele muy fuerta a ... HIERRO</t>
  </si>
  <si>
    <t>UNDER_BED</t>
  </si>
  <si>
    <t>NewRoom</t>
  </si>
  <si>
    <t>Background</t>
  </si>
  <si>
    <t>BackgroundNight</t>
  </si>
  <si>
    <t>Music</t>
  </si>
  <si>
    <t>CITY1_EXTRAPERLO1</t>
  </si>
  <si>
    <t>BACKGROUND_CITY1_EXTRAPERLO</t>
  </si>
  <si>
    <t>MUSIC_EXTRAPERLO</t>
  </si>
  <si>
    <t>NewDialog</t>
  </si>
  <si>
    <t>IntroPhrase</t>
  </si>
  <si>
    <t>Talkers</t>
  </si>
  <si>
    <t>AddAction</t>
  </si>
  <si>
    <t>AddSounds</t>
  </si>
  <si>
    <t>ItemDest</t>
  </si>
  <si>
    <t>Option1</t>
  </si>
  <si>
    <t>Option2</t>
  </si>
  <si>
    <t>Option3</t>
  </si>
  <si>
    <t>Option4</t>
  </si>
  <si>
    <t>Option5</t>
  </si>
  <si>
    <t>Option6</t>
  </si>
  <si>
    <t>DIALOG_REME_BLOCKING_PATH</t>
  </si>
  <si>
    <t>ITEM_PLAYER_MAIN, ITEM_HIVE1_NPC_REME</t>
  </si>
  <si>
    <t>ITEM_HIVE1_NPC_REME</t>
  </si>
  <si>
    <t>(1)Ni se te ocurra pasar% hasta que no me vaya y se seque% nada, (0)¡No, no, no! Por nada del mundo querría ENSUCIAR el suelo</t>
  </si>
  <si>
    <t>NewMementoParent</t>
  </si>
  <si>
    <t>MementoIconSprite</t>
  </si>
  <si>
    <t>MementoParentPhrase</t>
  </si>
  <si>
    <t>Mementos</t>
  </si>
  <si>
    <t>MementoPhrases</t>
  </si>
  <si>
    <t>MEMENTO_PARENT_POOR_MAN_WC</t>
  </si>
  <si>
    <t>SPRITE_MEMENTO_POOR_MAN_WC</t>
  </si>
  <si>
    <t>A poor man in WC</t>
  </si>
  <si>
    <t>MEMENTO_POOR_MAN_WC_1, MEMENTO_POOR_MAN_WC_2, MEMENTO_POOR_MAN_WC_3</t>
  </si>
  <si>
    <t>A poor man can't leave WC because there is no water, It seems to be a valve in back alley but is closed, When water came back. This man gave me an invitation to a Pub where I could meet someone for a job</t>
  </si>
  <si>
    <t>N</t>
  </si>
  <si>
    <t>ENUM_ID</t>
  </si>
  <si>
    <t>TYPE</t>
  </si>
  <si>
    <t>SAFE</t>
  </si>
  <si>
    <t>ARRAY</t>
  </si>
  <si>
    <t>DEFVALUE</t>
  </si>
  <si>
    <t>SAVE</t>
  </si>
  <si>
    <t>Separator</t>
  </si>
  <si>
    <t>GameMaster</t>
  </si>
  <si>
    <t>InputMaster</t>
  </si>
  <si>
    <t>LevelMaster</t>
  </si>
  <si>
    <t>GraphicsMaster</t>
  </si>
  <si>
    <t>SoundMaster</t>
  </si>
  <si>
    <t>GameMenu</t>
  </si>
  <si>
    <t>DialogMaster</t>
  </si>
  <si>
    <t>PlayerMaster</t>
  </si>
  <si>
    <t>ItemMaster</t>
  </si>
  <si>
    <t>CardMaster</t>
  </si>
  <si>
    <t>GameEventMaster</t>
  </si>
  <si>
    <t>GAME_OPTIONS</t>
  </si>
  <si>
    <t>GameOptionsStruct</t>
  </si>
  <si>
    <t>GameOptionsStruct_Default</t>
  </si>
  <si>
    <t>Y</t>
  </si>
  <si>
    <t/>
  </si>
  <si>
    <t>-</t>
  </si>
  <si>
    <t>R</t>
  </si>
  <si>
    <t>W</t>
  </si>
  <si>
    <t>ELAPSED_TIME_MS</t>
  </si>
  <si>
    <t>ulong</t>
  </si>
  <si>
    <t>0UL</t>
  </si>
  <si>
    <t>ACTUAL_ROOM</t>
  </si>
  <si>
    <t>Room.ROOM_NONE</t>
  </si>
  <si>
    <t>R E</t>
  </si>
  <si>
    <t>EVENTS_OCCURRED</t>
  </si>
  <si>
    <t>MultiBitFieldStruct</t>
  </si>
  <si>
    <t>default</t>
  </si>
  <si>
    <t>UNLOCKED_MEMENTO</t>
  </si>
  <si>
    <t>UNWATCHED_PARENT_MEMENTO</t>
  </si>
  <si>
    <t>PICKABLE_ITEM_OWNER</t>
  </si>
  <si>
    <t>CharacterType</t>
  </si>
  <si>
    <t>CharacterType.CHARACTER_NONE</t>
  </si>
  <si>
    <t>PLAYER_ACTUAL_WAYPOINT</t>
  </si>
  <si>
    <t>WaypointIdTupleStruct</t>
  </si>
  <si>
    <t>WaypointIdTuple_Default</t>
  </si>
  <si>
    <t>DAY_MOMENT</t>
  </si>
  <si>
    <t>MomentType</t>
  </si>
  <si>
    <t>MomentType.MOMENT_MORNING</t>
  </si>
  <si>
    <t>MISC_VALUES</t>
  </si>
  <si>
    <t>ITEM_MENU_HOVER</t>
  </si>
  <si>
    <t>GameItem</t>
  </si>
  <si>
    <t>GameItem.ITEM_NONE</t>
  </si>
  <si>
    <t>GAMESTATUS</t>
  </si>
  <si>
    <t>Game_Status</t>
  </si>
  <si>
    <t>Game_Status.GAME_STATUS_STOPPED</t>
  </si>
  <si>
    <t>PRESSED_KEYS</t>
  </si>
  <si>
    <t>KeyStruct</t>
  </si>
  <si>
    <t>KeyStruct_Default</t>
  </si>
  <si>
    <t>MOUSE_PROPERTIES</t>
  </si>
  <si>
    <t>MousePropertiesStruct</t>
  </si>
  <si>
    <t>MouseProperties_Default</t>
  </si>
  <si>
    <t>PLAYER_SELECTED</t>
  </si>
  <si>
    <t>PICKABLE_ITEM_CHOSEN</t>
  </si>
  <si>
    <t>USER_INPUT_INTERACTION</t>
  </si>
  <si>
    <t>UserInputInteraction</t>
  </si>
  <si>
    <t>UserInputInteraction.INPUT_INTERACTION_TAKE</t>
  </si>
  <si>
    <t>BUSY_STATE</t>
  </si>
  <si>
    <t>BusyState</t>
  </si>
  <si>
    <t>BusyState.GAME_NOT_BUSY</t>
  </si>
  <si>
    <t>CHAPTER_SHOW_NR</t>
  </si>
  <si>
    <t>int</t>
  </si>
  <si>
    <t>MAP_ACTIVE</t>
  </si>
  <si>
    <t>bool</t>
  </si>
  <si>
    <t>false</t>
  </si>
  <si>
    <t>LAST_VARMAP_VAL</t>
  </si>
  <si>
    <t>SERVICE_ID</t>
  </si>
  <si>
    <t>SPECIAL_DELEGATE</t>
  </si>
  <si>
    <t>SERVICE_ROUTE</t>
  </si>
  <si>
    <t>Description</t>
  </si>
  <si>
    <t>START_GAME</t>
  </si>
  <si>
    <t>START_GAME_DELEGATE</t>
  </si>
  <si>
    <t>GameMasterClass.StartGameService</t>
  </si>
  <si>
    <t>Starts game from main menu</t>
  </si>
  <si>
    <t>X</t>
  </si>
  <si>
    <t>SAVE_GAME</t>
  </si>
  <si>
    <t>SAVE_GAME_DELEGATE</t>
  </si>
  <si>
    <t>GameMasterClass.SaveGameService</t>
  </si>
  <si>
    <t>Saves game at any moment</t>
  </si>
  <si>
    <t>LOAD_GAME</t>
  </si>
  <si>
    <t>LOAD_GAME_DELEGATE</t>
  </si>
  <si>
    <t>GameMasterClass.LoadGameService</t>
  </si>
  <si>
    <t>Loads game from any moment</t>
  </si>
  <si>
    <t>LOAD_ROOM</t>
  </si>
  <si>
    <t>LOAD_ROOM_DELEGATE</t>
  </si>
  <si>
    <t>GameMasterClass.LoadRoomService</t>
  </si>
  <si>
    <t>Loads a room (for example when crossing a door)</t>
  </si>
  <si>
    <t>EXIT_GAME</t>
  </si>
  <si>
    <t>EXIT_GAME_DELEGATE</t>
  </si>
  <si>
    <t>GameMasterClass.ExitGameService</t>
  </si>
  <si>
    <t>Exits games to OS</t>
  </si>
  <si>
    <t>MODULE_LOADING_COMPLETED</t>
  </si>
  <si>
    <t>LOADING_COMPLETED_DELEGATE</t>
  </si>
  <si>
    <t>GameMasterClass.LoadingCompletedService</t>
  </si>
  <si>
    <t>This service is called when whole room has been loaded</t>
  </si>
  <si>
    <t>IS_MODULE_LOADED</t>
  </si>
  <si>
    <t>IS_MODULE_LOADED_DELEGATE</t>
  </si>
  <si>
    <t>GameMasterClass.IsModuleLoadedService</t>
  </si>
  <si>
    <t>This service returns a bool which tells if given module has been loaded in Room Loading Process</t>
  </si>
  <si>
    <t>ITEM_REGISTER</t>
  </si>
  <si>
    <t>ITEM_REGISTER_DELEGATE</t>
  </si>
  <si>
    <t>LevelMasterClass.ItemRegisterService</t>
  </si>
  <si>
    <t>Registers an item in system</t>
  </si>
  <si>
    <t>MONO_REGISTER</t>
  </si>
  <si>
    <t>MONO_REGISTER_DELEGATE</t>
  </si>
  <si>
    <t>LevelMasterClass.MonoRegisterService</t>
  </si>
  <si>
    <t>Registers a player in scene</t>
  </si>
  <si>
    <t>DOOR_REGISTER</t>
  </si>
  <si>
    <t>DOOR_REGISTER_DELEGATE</t>
  </si>
  <si>
    <t>LevelMasterClass.DoorRegisterService</t>
  </si>
  <si>
    <t>Registers a door in level</t>
  </si>
  <si>
    <t>OBTAIN_SCENARIO_ITEMS</t>
  </si>
  <si>
    <t>OBTAIN_SCENARIO_ITEMS_DELEGATE</t>
  </si>
  <si>
    <t>LevelMasterClass.ObtainScenarioItemsService</t>
  </si>
  <si>
    <t>Obtains dictionary of placed elements in actual Scene</t>
  </si>
  <si>
    <t>PLAYER_WAYPOINT_UPDATE</t>
  </si>
  <si>
    <t>PLAYER_WAYPOINT_UPDATE_DELEGATE</t>
  </si>
  <si>
    <t>LevelMasterClass.PlayerWaypointUpdateService</t>
  </si>
  <si>
    <t>Updates actual player waypoint when crossing or stopping on it</t>
  </si>
  <si>
    <t>GET_WP_LIST</t>
  </si>
  <si>
    <t>GET_WP_LIST_DELEGATE</t>
  </si>
  <si>
    <t>LevelMasterClass.GetWaypointListService</t>
  </si>
  <si>
    <t>Gets list of waypoints and solutions</t>
  </si>
  <si>
    <t>GET_PLAYER_LIST</t>
  </si>
  <si>
    <t>GET_PLAYER_LIST_DELEGATE</t>
  </si>
  <si>
    <t>LevelMasterClass.GetPlayerListService</t>
  </si>
  <si>
    <t>Gets a list of actual players</t>
  </si>
  <si>
    <t>IS_EVENT_COMBI_OCCURRED</t>
  </si>
  <si>
    <t>IS_EVENT_COMBI_OCCURRED_DELEGATE</t>
  </si>
  <si>
    <t>GameEventMasterClass.IsEventCombiOccurredService</t>
  </si>
  <si>
    <t>Checks if a combination of events is totally complied (event absence can also be requested)</t>
  </si>
  <si>
    <t>COMMIT_EVENT</t>
  </si>
  <si>
    <t>COMMIT_EVENT_DELEGATE</t>
  </si>
  <si>
    <t>GameEventMasterClass.CommitEventService</t>
  </si>
  <si>
    <t>Activates/Deactivates an event</t>
  </si>
  <si>
    <t>GET_MEMENTO_STATUS</t>
  </si>
  <si>
    <t>GET_MEMENTO_STATUS_DELEGATE</t>
  </si>
  <si>
    <t>GameEventMasterClass.GetMementosStatusService</t>
  </si>
  <si>
    <t>Gives a list of all memento status</t>
  </si>
  <si>
    <t>MEMENTO_PARENT_WATCHED</t>
  </si>
  <si>
    <t>MEMENTO_PARENT_WATCHED_DELEGATE</t>
  </si>
  <si>
    <t>GameEventMasterClass.MementoParentWatchedService</t>
  </si>
  <si>
    <t>If a Memento has been analyzed</t>
  </si>
  <si>
    <t>MOVE_ITEM_TO_WAYPOINT</t>
  </si>
  <si>
    <t>MOVE_ITEM_TO_WAYPOINT_DELEGATE</t>
  </si>
  <si>
    <t>ItemMasterClass.MoveItemToWaypointService</t>
  </si>
  <si>
    <t>Moves item to another waypoint</t>
  </si>
  <si>
    <t>ACTION_TO_ITEM</t>
  </si>
  <si>
    <t>ACTION_TO_ITEM_DELEGATE</t>
  </si>
  <si>
    <t>ItemMasterClass.ActionToItemService</t>
  </si>
  <si>
    <t>Applies an unchain event to an item such as spawn or setsprite</t>
  </si>
  <si>
    <t>ITEM_REACHED_WAYPOINT</t>
  </si>
  <si>
    <t>ITEM_REACHED_WAYPOINT_DELEGATE</t>
  </si>
  <si>
    <t>LevelMasterClass.ItemReachedWaypointService</t>
  </si>
  <si>
    <t>Tells LevelMaster that player reached Waypoint to start action in case</t>
  </si>
  <si>
    <t>USE_ITEM</t>
  </si>
  <si>
    <t>USE_ITEM_DELEGATE</t>
  </si>
  <si>
    <t>ItemMasterClass.UseItemService</t>
  </si>
  <si>
    <t>Uses an item with something</t>
  </si>
  <si>
    <t>PEEK_ITEM</t>
  </si>
  <si>
    <t>PEEK_ITEM_DELEGATE</t>
  </si>
  <si>
    <t>ItemMasterClass.PeekItemService</t>
  </si>
  <si>
    <t>Peeks if item can be used or not</t>
  </si>
  <si>
    <t>TRY_UNCHAIN_CONDITION</t>
  </si>
  <si>
    <t>TRY_UNCHAIN_CONDITION_DELEGATE</t>
  </si>
  <si>
    <t>GameEventMasterClass.TryUnchainConditionService</t>
  </si>
  <si>
    <t>Similar to PEEK_ITEM but without associated Item just pointing to named CONDITION</t>
  </si>
  <si>
    <t>MANAGE_EXT_PICKABLE_ITEM</t>
  </si>
  <si>
    <t>MANAGE_EXT_PICKABLE_ITEM_DELEGATE</t>
  </si>
  <si>
    <t>GameMenuClass.ManageExtPickableItemService</t>
  </si>
  <si>
    <t>Uses a pickable item which is not in inventory and makes able interface to use it with another object</t>
  </si>
  <si>
    <t>CANCEL_PICKABLE_ITEM</t>
  </si>
  <si>
    <t>CANCEL_PICKABLE_ITEM_DELEGATE</t>
  </si>
  <si>
    <t>GameMenuClass.CancelPickableItemService</t>
  </si>
  <si>
    <t>Cancels selected item</t>
  </si>
  <si>
    <t>KEY_SUBSCRIPTION</t>
  </si>
  <si>
    <t>KEY_SUBSCRIPTION_DELEGATE</t>
  </si>
  <si>
    <t>InputMasterClass.KeySubscriptionService</t>
  </si>
  <si>
    <t>Subscribe to determined key events to avoid polling</t>
  </si>
  <si>
    <t>LOCK_PLAYER</t>
  </si>
  <si>
    <t>LOCK_PLAYER_DELEGATE</t>
  </si>
  <si>
    <t>PlayerMasterClass.LockPlayerService</t>
  </si>
  <si>
    <t>Locks player so it cannot act until an action over it has been done (or removes lock)</t>
  </si>
  <si>
    <t>CHANGE_GAME_MODE</t>
  </si>
  <si>
    <t>CHANGE_GAME_MODE_DELEGATE</t>
  </si>
  <si>
    <t>GameMasterClass.ChangeGameModeService</t>
  </si>
  <si>
    <t>Asks Game Master to set game mode</t>
  </si>
  <si>
    <t>SHOW_DIALOGUE</t>
  </si>
  <si>
    <t>SHOW_DIALOGUE_DELEGATE</t>
  </si>
  <si>
    <t>DialogMasterClass.ShowDialogueService</t>
  </si>
  <si>
    <t>Second part of start dialogue. Tells Game Menu to prepare menu elements</t>
  </si>
  <si>
    <t>DIALOGUE_SELECT_OPTION</t>
  </si>
  <si>
    <t>DIALOGUE_SELECT_OPTION_DELEGATE</t>
  </si>
  <si>
    <t>DialogMasterClass.DialogueSelectOptionService</t>
  </si>
  <si>
    <t>Option selection in multi option dialogue</t>
  </si>
  <si>
    <t>ZOOM_SUBSCRIPTION</t>
  </si>
  <si>
    <t>ZOOM_SUBSCRIPTION_DELEGATE</t>
  </si>
  <si>
    <t>GraphicsMasterClass.ZoomSubscriptionService</t>
  </si>
  <si>
    <t>Subscribe to zoom changes</t>
  </si>
  <si>
    <t>SHOW_DECISION</t>
  </si>
  <si>
    <t>SHOW_DECISION_DELEGATE</t>
  </si>
  <si>
    <t>GameMenuClass.ShowDecisionService</t>
  </si>
  <si>
    <t>Shows a set of decisions</t>
  </si>
  <si>
    <t>CHANGE_DAY_MOMENT</t>
  </si>
  <si>
    <t>CHANGE_DAY_MOMENT_DELEGATE</t>
  </si>
  <si>
    <t>GameMasterClass.ChangeDayMomentService</t>
  </si>
  <si>
    <t>Requests to change moment of day to a given one</t>
  </si>
  <si>
    <t>LOAD_ADDITIONAL_PREFAB</t>
  </si>
  <si>
    <t>LOAD_ADDITIONAL_PREFAB_DELEGATE</t>
  </si>
  <si>
    <t>GameMasterClass.LoadAdditionalPrefabService</t>
  </si>
  <si>
    <t>Loads/Unloads a set of names and Phrases</t>
  </si>
  <si>
    <t>LOAD_ADDITIONAL_SOUND</t>
  </si>
  <si>
    <t>LOAD_ADDITIONAL_SOUND_DELEGATE</t>
  </si>
  <si>
    <t>GameMasterClass.LoadAdditionalSoundService</t>
  </si>
  <si>
    <t>PLAY_SOUND</t>
  </si>
  <si>
    <t>PLAY_SOUND_DELEGATE</t>
  </si>
  <si>
    <t>SoundMasterClass.PlaySoundService</t>
  </si>
  <si>
    <t>Plays a sound and (optionally) callback is called</t>
  </si>
  <si>
    <t>STOP_SOUND</t>
  </si>
  <si>
    <t>STOP_SOUND_DELEGATE</t>
  </si>
  <si>
    <t>SoundMasterClass.StopSoundService</t>
  </si>
  <si>
    <t>Stops first match of sound with given ID which is being played</t>
  </si>
  <si>
    <t>START_ANIMATION</t>
  </si>
  <si>
    <t>START_ANIMATION_DELEGATE</t>
  </si>
  <si>
    <t>DialogMasterClass.StartAnimationService</t>
  </si>
  <si>
    <t>Starts an animation in background or main mode</t>
  </si>
  <si>
    <t>DIRECTOR_REGISTER</t>
  </si>
  <si>
    <t>DIRECTOR_REGISTER_DELEGATE</t>
  </si>
  <si>
    <t>DialogMasterClass.DirectorRegisterService</t>
  </si>
  <si>
    <t>Registers a a playable director owner to be accessible when starting animations</t>
  </si>
  <si>
    <t>ITEM_PERFORM_ANIMATION</t>
  </si>
  <si>
    <t>ITEM_PERFORM_ANIMATION_DELEGATE</t>
  </si>
  <si>
    <t>ItemMasterClass.PerformAnimationService</t>
  </si>
  <si>
    <t>Makes an item start an animation</t>
  </si>
  <si>
    <t>PERFORM_ACTION</t>
  </si>
  <si>
    <t>PERFORM_ACTION_DELEGATE</t>
  </si>
  <si>
    <t>GameEventMasterClass.PerformActionService</t>
  </si>
  <si>
    <t>Performs a named action</t>
  </si>
  <si>
    <t>IS_DIALOG_ACTIVE</t>
  </si>
  <si>
    <t>IS_DIALOG_ACTIVE_DELEGATE</t>
  </si>
  <si>
    <t>DialogMasterClass.IsDialogActiveService</t>
  </si>
  <si>
    <t>Returns if a dialog (Background or not) is active</t>
  </si>
  <si>
    <t>NOTIFY_ENDED_ACTION</t>
  </si>
  <si>
    <t>NOTIFY_ENDED_ACTION_DELEGATE</t>
  </si>
  <si>
    <t>GameEventMasterClass.NotifyEndedActionService</t>
  </si>
  <si>
    <t>Notifies Event manager a Dialog / Animation action has been performed</t>
  </si>
  <si>
    <t>TAKE_LOADING_SNAPSHOT</t>
  </si>
  <si>
    <t>TAKE_LOADING_SNAPSHOT_DELEGATE</t>
  </si>
  <si>
    <t>GraphicsMasterClass.TakeLoadingSnapshotService</t>
  </si>
  <si>
    <t>Takes snapshot to be used in fading while loading next scene</t>
  </si>
  <si>
    <t>EXECUTE_EXIT_ROOM_CONDS</t>
  </si>
  <si>
    <t>EXECUTE_EXIT_ROOM_CONDS_DELEGATE</t>
  </si>
  <si>
    <t>GameEventMasterClass.ExecuteExitRoomCondsService</t>
  </si>
  <si>
    <t>Executes exit room unchainers before leaving room</t>
  </si>
  <si>
    <t>ACTIVATE_FORCED_ZOOM_MODE</t>
  </si>
  <si>
    <t>ACTIVATE_FORCED_ZOOM_MODE_DELEGATE</t>
  </si>
  <si>
    <t>GraphicsMasterClass.ActivateForcedZoomMode</t>
  </si>
  <si>
    <t>Service for GraphicsMaste to make zoom into a region of interest</t>
  </si>
  <si>
    <t>CHANGE_RECOMMENDED_ZOOM</t>
  </si>
  <si>
    <t>CHANGE_RECOMMENDED_ZOOM_DELEGATE</t>
  </si>
  <si>
    <t>GraphicsMasterClass.ChangeRecommendedZoom</t>
  </si>
  <si>
    <t>Service to tell recommended zoom based on selected character</t>
  </si>
  <si>
    <t>GET_ITEM_SPRITE_BOUNDARIES</t>
  </si>
  <si>
    <t>GET_ITEM_SPRITE_BOUNDARIES_DELEGATE</t>
  </si>
  <si>
    <t>ItemMasterClass.GetItemBoundariesService</t>
  </si>
  <si>
    <t>Gets world boundaries of given item</t>
  </si>
  <si>
    <t>START_CARD_GAME</t>
  </si>
  <si>
    <t>START_CARD_GAME_DELEGATE</t>
  </si>
  <si>
    <t>CardMasterClass.StartCardGameService</t>
  </si>
  <si>
    <t>Tells Card Master to prepare a game with given parameters</t>
  </si>
  <si>
    <t>GIVE_UP_CARD_GAME</t>
  </si>
  <si>
    <t>GIVE_UP_CARD_GAME_DELEGATE</t>
  </si>
  <si>
    <t>CardMasterClass.GiveUpCardGameService</t>
  </si>
  <si>
    <t>Tells Card Master to give up match</t>
  </si>
  <si>
    <t>LOAD_ROOM_AS_ACTION</t>
  </si>
  <si>
    <t>LOAD_ROOM_AS_ACTION_DELEGATE</t>
  </si>
  <si>
    <t>LevelMasterClass.LoadRoomAsActionService</t>
  </si>
  <si>
    <t>Tells LevelMaster to set waypoints and Load a Room. This emulates crossing door. This is used in cinematics or auto driven events</t>
  </si>
  <si>
    <t>LABEL_ELEM_HOVER</t>
  </si>
  <si>
    <t>LABEL_ELEM_HOVER_DELEGATE</t>
  </si>
  <si>
    <t>GraphicsMasterClass.LabelElemHoverService</t>
  </si>
  <si>
    <t>Tells Graphics Module to activate or deactivate label with specific info</t>
  </si>
  <si>
    <t>SHOW_PUSH_NOTIFICATION</t>
  </si>
  <si>
    <t>SHOW_PUSH_NOTIFICATION_DELEGATE</t>
  </si>
  <si>
    <t>GameMenuClass.ShowPushNotificationService</t>
  </si>
  <si>
    <t>Shows a custom notification which will eventually expire</t>
  </si>
  <si>
    <t>EXECUTE_ITEM_EXT_FUNCTION</t>
  </si>
  <si>
    <t>EXECUTE_ITEM_EXT_FUNCTION_DELEGATE</t>
  </si>
  <si>
    <t>ItemMasterClass.ExecuteItemExtFunctionService</t>
  </si>
  <si>
    <t>Executes for a IGameElementExtension a named function</t>
  </si>
  <si>
    <t>LAST_SERVICE</t>
  </si>
  <si>
    <t>Last service</t>
  </si>
  <si>
    <t>ITEM_ID</t>
  </si>
  <si>
    <t>Name</t>
  </si>
  <si>
    <t>FamilyType</t>
  </si>
  <si>
    <t>Sprites</t>
  </si>
  <si>
    <t>DefaultSprite</t>
  </si>
  <si>
    <t>PICKABLE</t>
  </si>
  <si>
    <t>IDEA</t>
  </si>
  <si>
    <t>EXTUSABLE</t>
  </si>
  <si>
    <t>SpritePickable</t>
  </si>
  <si>
    <t>PrefabID</t>
  </si>
  <si>
    <t>IsPrefabDetail</t>
  </si>
  <si>
    <t>ActionConditions</t>
  </si>
  <si>
    <t>ITEM_NONE</t>
  </si>
  <si>
    <t>NAME_NONE</t>
  </si>
  <si>
    <t>ITEM_FAMILY_TYPE_NONE</t>
  </si>
  <si>
    <t>SPRITE_NONE</t>
  </si>
  <si>
    <t>PREFAB_NONE</t>
  </si>
  <si>
    <t>COND_OK</t>
  </si>
  <si>
    <t>ITEM_PLAYER_MAIN</t>
  </si>
  <si>
    <t>NAME_CHAR_MAIN</t>
  </si>
  <si>
    <t>ITEM_FAMILY_TYPE_PLAYER</t>
  </si>
  <si>
    <t>SPRITE_MAINCHAR_STEADY</t>
  </si>
  <si>
    <t>PREFAB_MAINCHAR</t>
  </si>
  <si>
    <t>ITEM_HIVE1_CHEST</t>
  </si>
  <si>
    <t>NAME_ITEM_SECR_DESK</t>
  </si>
  <si>
    <t>ITEM_FAMILY_TYPE_OBJECT</t>
  </si>
  <si>
    <t>SPRITE_ITEM_CHEST_OPENED, SPRITE_ITEM_CHEST_CLOSED</t>
  </si>
  <si>
    <t>SPRITE_ITEM_CHEST_CLOSED</t>
  </si>
  <si>
    <t>COND_OPEN_CHEST, COND_CLOSE_CHEST</t>
  </si>
  <si>
    <t>ITEM_CARDS_PICKABLE</t>
  </si>
  <si>
    <t>NAME_ITEM_CARDS</t>
  </si>
  <si>
    <t>SPRITE_ITEM_CARDS</t>
  </si>
  <si>
    <t>SPRITE_ITEM_CARDS_PICKABLE</t>
  </si>
  <si>
    <t>COND_TAKE_CARDS</t>
  </si>
  <si>
    <t>ITEM_HIVE1_WARDROBE</t>
  </si>
  <si>
    <t>NAME_ITEM_WARDROBE</t>
  </si>
  <si>
    <t>SPRITE_BLANK</t>
  </si>
  <si>
    <t>COND_OPEN_HIVE1_WARDROBE</t>
  </si>
  <si>
    <t>ITEM_HIVE1_WARDROBE_OPENED</t>
  </si>
  <si>
    <t>SPRITE_ITEM_WARDROBE_OPENED</t>
  </si>
  <si>
    <t>COND_CLOSE_HIVE1_WARDROBE</t>
  </si>
  <si>
    <t>ITEM_GENERIC_DOOR1</t>
  </si>
  <si>
    <t>NAME_ITEM_CROSS</t>
  </si>
  <si>
    <t>ITEM_FAMILY_TYPE_DOOR</t>
  </si>
  <si>
    <t>NAME_NPC_REME</t>
  </si>
  <si>
    <t>ITEM_FAMILY_TYPE_NPC</t>
  </si>
  <si>
    <t>SPRITE_REME_STEADY</t>
  </si>
  <si>
    <t>COND_TALK_REME_1, COND_USE_CARDS_REME, COND_USE_SOAP_REME, COND_USE_IDEA_ROACHES_REME</t>
  </si>
  <si>
    <t>ITEM_GENERIC_DOOR2</t>
  </si>
  <si>
    <t>ITEM_GENERIC_DOOR3</t>
  </si>
  <si>
    <t>ITEM_HIVE1_PERFUME</t>
  </si>
  <si>
    <t>NAME_ITEM_PERFUME</t>
  </si>
  <si>
    <t>ITEM_HIVE1_AD_BOARD</t>
  </si>
  <si>
    <t>NAME_ITEM_AD_BOARD</t>
  </si>
  <si>
    <t>COND_OBSERVE_HIVE1_AD_BOARD_1</t>
  </si>
  <si>
    <t>ITEM_HIVE1_EXIT_DOOR</t>
  </si>
  <si>
    <t>COND_EXIT_HIVE1_HALL_1</t>
  </si>
  <si>
    <t>ITEM_HIVE1_BASIN</t>
  </si>
  <si>
    <t>NAME_ITEM_BASIN</t>
  </si>
  <si>
    <t>ITEM_SOAP_PICKABLE</t>
  </si>
  <si>
    <t>NAME_ITEM_SOAP</t>
  </si>
  <si>
    <t>SPRITE_PICKABLE_SOAP</t>
  </si>
  <si>
    <t>COND_TAKE_SOAP</t>
  </si>
  <si>
    <t>ITEM_HIVE1_BED</t>
  </si>
  <si>
    <t>NAME_ITEM_BED</t>
  </si>
  <si>
    <t>COND_AVOID_USE_BED_1, COND_USE_BED_PENDING_DREAM_1, COND_USE_HIVE1_BED</t>
  </si>
  <si>
    <t>ITEM_STREET1_STH_DOOR</t>
  </si>
  <si>
    <t>NAME_SOUTH_NEIGHBORHOOD</t>
  </si>
  <si>
    <t>COND_GO_STREET1_SOUTH_NEIGH</t>
  </si>
  <si>
    <t>ITEM_STREET1_CENTER_DOOR</t>
  </si>
  <si>
    <t>NAME_CITY_CENTER</t>
  </si>
  <si>
    <t>ITEM_STREET2_PERIPH_DOOR</t>
  </si>
  <si>
    <t>NAME_CITY_PERIPH</t>
  </si>
  <si>
    <t>ITEM_PHARMACY_DOOR</t>
  </si>
  <si>
    <t>NAME_PHARMACY</t>
  </si>
  <si>
    <t>ITEM_PHARMACY_REME_ILL_AND_PHARM</t>
  </si>
  <si>
    <t>NAME_PHARMACIST_AND_REME</t>
  </si>
  <si>
    <t>SPRITE_REME_WITH_PARHMACIST_STEADY</t>
  </si>
  <si>
    <t>COND_TALK_PHARMACIST_WITH_REME, COND_OBSERVE_PHARMACIST_WITH_REME, COND_USE_RECIPE_IDEA_PHARMACIST</t>
  </si>
  <si>
    <t>ITEM_PHARMACY_NPC_OWNER</t>
  </si>
  <si>
    <t>NAME_PHARMACIST</t>
  </si>
  <si>
    <t>SPRITE_NPC_PHARMACY_OWNER</t>
  </si>
  <si>
    <t>COND_TRY_TALK_PHARMACIST</t>
  </si>
  <si>
    <t>ITEM_CITY1_UMBRELLA</t>
  </si>
  <si>
    <t>NAME_UMBRELLA</t>
  </si>
  <si>
    <t>SPRITE_CITY1_MANYO_UMBRELLA</t>
  </si>
  <si>
    <t>SPRITE_PICKABLE_UMBRELLA</t>
  </si>
  <si>
    <t>COND_TAKE_UMBRELLA_MORNING, COND_TAKE_UMBRELLA_NIGHT</t>
  </si>
  <si>
    <t>ITEM_ELMANYO_DOOR</t>
  </si>
  <si>
    <t>NAME_ELMANYO</t>
  </si>
  <si>
    <t>ITEM_ELMANYO_OWNER</t>
  </si>
  <si>
    <t>NAME_OWNER</t>
  </si>
  <si>
    <t>SPRITE_MANYO_BOSS_STEADY</t>
  </si>
  <si>
    <t>COND_TALK_MANYO_OWNER, COND_OBSERVE_MANYO_OWNER, COND_USE_WORK_IDEA_MANYO_OWNER</t>
  </si>
  <si>
    <t>ITEM_STUFFED_DEER</t>
  </si>
  <si>
    <t>NAME_STUFFED_DEER</t>
  </si>
  <si>
    <t>COND_TALK_DEER</t>
  </si>
  <si>
    <t>ITEM_ELMANYO_OWNER_NIGHT</t>
  </si>
  <si>
    <t>COND_TALK_MANYO_OWNER</t>
  </si>
  <si>
    <t>ITEM_ELMANYO_CROWD</t>
  </si>
  <si>
    <t>NAME_CROWD</t>
  </si>
  <si>
    <t>ITEM_HIVE1_POOR_MAN_WC</t>
  </si>
  <si>
    <t>NAME_POOR_MAN_WC</t>
  </si>
  <si>
    <t>SPRITE_HIVE1_POOR_MAN_STEADY</t>
  </si>
  <si>
    <t>COND_OBSERVE_ITEM_HIVE1_POOR_MAN_WC, COND_TALK_POOR_MAN_WC</t>
  </si>
  <si>
    <t>ITEM_HIVE1_ROACH_HEAD</t>
  </si>
  <si>
    <t>NAME_ROACH</t>
  </si>
  <si>
    <t>SPRITE_HIVE1_ROACH_HEAD</t>
  </si>
  <si>
    <t>COND_OBSERVE_ITEM_HIVE1_ROACH, COND_TAKE_HIVE1_ROACH_HEAD</t>
  </si>
  <si>
    <t>ITEM_HIVE1_PIPE</t>
  </si>
  <si>
    <t>NAME_PIPE</t>
  </si>
  <si>
    <t>COND_OBSERVE_ITEM_HIVE1_PIPE, COND_OBSERVE_ITEM_HIVE1_PIPE_2</t>
  </si>
  <si>
    <t>ITEM_HIVE1_VALVE_BOX</t>
  </si>
  <si>
    <t>NAME_VALVE_BOX</t>
  </si>
  <si>
    <t>COND_OBSERVE_ITEM_HIVE1_VALVE_BOX, COND_OBSERVE_ITEM_HIVE1_VALVE_BOX_2, COND_TAKE_VALVE_BOX_1, COND_TAKE_VALVE_BOX_MORNING, COND_USE_SHOELACE_VALVE_BOX</t>
  </si>
  <si>
    <t>ITEM_HIVE1_BACKALLEY_PIPE</t>
  </si>
  <si>
    <t>COND_OBSERVE_ITEM_HIVE1_BACKALLEY_PIPE, COND_OBSERVE_ITEM_HIVE1_BACKALLEY_PIPE_2</t>
  </si>
  <si>
    <t>ITEM_HIVE1_SHOELACE</t>
  </si>
  <si>
    <t>NAME_SHOELACE</t>
  </si>
  <si>
    <t>SPRITE_HIVE1_SHOELACE</t>
  </si>
  <si>
    <t>SPRITE_SHOELACE_PICKABLE</t>
  </si>
  <si>
    <t>COND_OBSERVE_ITEM_HIVE1_SHOELACE, COND_TAKE_ITEM_HIVE1_SHOELACE, COND_TAKE_ITEM_HIVE1_SHOELACE_NOT, COND_TAKE_ITEM_HIVE1_SHOELACE_NOT_2</t>
  </si>
  <si>
    <t>ITEM_HIVE1_VALVE</t>
  </si>
  <si>
    <t>NAME_VALVE</t>
  </si>
  <si>
    <t>SPRITE_HIVE1_VALVE_BOX_OPENED</t>
  </si>
  <si>
    <t>COND_OBSERVE_ITEM_HIVE1_VALVE, COND_TAKE_HIVE1_VALVE, COND_TAKE_HIVE1_VALVE_2</t>
  </si>
  <si>
    <t>ITEM_HIVE1_MAN_WC_CURED</t>
  </si>
  <si>
    <t>NAME_ARTURO</t>
  </si>
  <si>
    <t>SPRITE_ARTURO_STEADY</t>
  </si>
  <si>
    <t>COND_OBSERVE_ITEM_HIVE1_MAN_WC_CURED, COND_TALK_ITEM_HIVE1_MAN_WC_CURED</t>
  </si>
  <si>
    <t>ITEM_EXTRAPERLO_INVITATION</t>
  </si>
  <si>
    <t>NAME_INVITATION</t>
  </si>
  <si>
    <t>SPRITE_PICKABLE_EXTRAPERLO</t>
  </si>
  <si>
    <t>PREFAB_DETAIL_EXTRAPERLO</t>
  </si>
  <si>
    <t>ITEM_EXTRAPERLO_INVITATION_DETAIL</t>
  </si>
  <si>
    <t>NAME_ANNOTATION</t>
  </si>
  <si>
    <t>COND_OBSERVE_ITEM_EXTRAPERLO_INVITATION_DETAIL_1, COND_OBSERVE_ITEM_EXTRAPERLO_INVITATION_DETAIL_2</t>
  </si>
  <si>
    <t>ITEM_PHARMACY_INKWELL</t>
  </si>
  <si>
    <t>NAME_INKWELL</t>
  </si>
  <si>
    <t>SPRITE_PHARMACY_INKWELL_NORMAL</t>
  </si>
  <si>
    <t>COND_OBSERVE_ITEM_PHARMACY_INKWELL, COND_TAKE_INKWELL_NOT_1, COND_TAKE_INKWELL_NOT_2, COND_TAKE_INKWELL_NOT_3, COND_USE_UMBRELLA_INKWELL</t>
  </si>
  <si>
    <t>ITEM_PHARMACY_INK</t>
  </si>
  <si>
    <t>NAME_INK</t>
  </si>
  <si>
    <t>SPRITE_PHARMACY_INKWELL_WASTED</t>
  </si>
  <si>
    <t>COND_OBSERVE_ITEM_PHARMACY_INK, COND_USE_INVITATION_INK, COND_USE_INVITATION_INK_2</t>
  </si>
  <si>
    <t>ITEM_NPC_FIK</t>
  </si>
  <si>
    <t>NAME_FIK</t>
  </si>
  <si>
    <t>SPRITE_FIK_STANDING</t>
  </si>
  <si>
    <t>COND_TALK_FIK</t>
  </si>
  <si>
    <t>ITEM_DOOR_EXTRAPERLO</t>
  </si>
  <si>
    <t>COND_TRY_CROSS_EXTRAPERLO_DOOR</t>
  </si>
  <si>
    <t>ITEM_FOREGROUND_EXTRP_WALL</t>
  </si>
  <si>
    <t>SPRITE_FOREGROUND_EXTRAPERLO_WALL</t>
  </si>
  <si>
    <t>ITEM_HIVE1_WATER_FLOWING</t>
  </si>
  <si>
    <t>NAME_WATER_FLOWING</t>
  </si>
  <si>
    <t>SPRITE_WATER_FLOW_BACKALLEY, SPRITE_WATER_FLOW_BACKALLEY_NIGHT</t>
  </si>
  <si>
    <t>SPRITE_WATER_FLOW_BACKALLEY</t>
  </si>
  <si>
    <t>ITEM_DOOR_EXTRAPERLO_REAL</t>
  </si>
  <si>
    <t>SPRITE_EXTRAPERLO_DOOR_OPENED</t>
  </si>
  <si>
    <t>ITEM_NPC_GERMAN</t>
  </si>
  <si>
    <t>NAME_GERMAN</t>
  </si>
  <si>
    <t>SPRITE_GERMAN_WAITING</t>
  </si>
  <si>
    <t>ITEM_NPC_WAITER</t>
  </si>
  <si>
    <t>NAME_WAITER</t>
  </si>
  <si>
    <t>SPRITE_WAITER_STEADY</t>
  </si>
  <si>
    <t>COND_TALK_WAITER_NO_INVITATION, COND_USE_OLD_INVITATION_W_WAITER, COND_USE_NEW_INVITATION_W_WAITER, COND_TALK_WAITER_W_INVITATION</t>
  </si>
  <si>
    <t>ITEM_NPC_UNKNOWN_WOMEN</t>
  </si>
  <si>
    <t>NAME_UNKNOWN_GIRLS</t>
  </si>
  <si>
    <t>SPRITE_UNKNOWN_WOMEN_STEADY</t>
  </si>
  <si>
    <t>COND_TALK_UNKNOWN_WOMEN, COND_TAKE_UNKNOWN_WOMEN</t>
  </si>
  <si>
    <t>ITEM_NPC_ARTURO_EXTRAPERLO</t>
  </si>
  <si>
    <t>COND_OBSERVE_ITEM_NPC_ARTURO_EXTRAPERLO, COND_TALK_ARTURO_DRUNK, COND_TALK_ITEM_NPC_ARTURO_EXTRAPERLO</t>
  </si>
  <si>
    <t>ITEM_NPC_CLOWN</t>
  </si>
  <si>
    <t>NAME_CLOWN</t>
  </si>
  <si>
    <t>SPRITE_CLOWN_STEADY</t>
  </si>
  <si>
    <t>COND_TALK_CLOWN_DRUNK, COND_TALK_ITEM_NPC_CLOWN</t>
  </si>
  <si>
    <t>ITEM_NPC_SILVANA_EXTRAPERLO</t>
  </si>
  <si>
    <t>NAME_SILVANA</t>
  </si>
  <si>
    <t>SPRITE_SILVANA_STEADY_READING</t>
  </si>
  <si>
    <t>COND_TALK_SILVANA_DRUNK, COND_TALK_ITEM_NPC_SILVANA_EXTRAPERLO, COND_TALK_SILVANA_OLIVE</t>
  </si>
  <si>
    <t>ITEM_EXTRAPERLO_INVITATION_FOLDED</t>
  </si>
  <si>
    <t>SPRITE_PICKABLE_EXTRAPERLO_FOLDED</t>
  </si>
  <si>
    <t>ITEM_EXTRAPERLO_INVITATION_CORNER</t>
  </si>
  <si>
    <t>NAME_CORNER</t>
  </si>
  <si>
    <t>COND_OBSERVE_INVITATION_CORNER, COND_TAKE_INVITATION_CORNER</t>
  </si>
  <si>
    <t>ITEM_OBJECT_OLIVE_BOWL</t>
  </si>
  <si>
    <t>NAME_OLIVE_BOWL</t>
  </si>
  <si>
    <t>SPRITE_EXTRAPERLO_OLIVE_BOWL</t>
  </si>
  <si>
    <t>COND_OBSERVE_ITEM_OBJECT_OLIVE_BOWL, COND_TAKE_OLIVE_FROM_BOWL, COND_TAKE_OLIVE_FROM_BOWL_ALREADY</t>
  </si>
  <si>
    <t>ITEM_OBJECT_BEER_FULL</t>
  </si>
  <si>
    <t>NAME_BEER_FULL</t>
  </si>
  <si>
    <t>SPRITE_BEER_FULL</t>
  </si>
  <si>
    <t>COND_OBSERVE_ITEM_OBJECT_BEER_FULL, COND_TAKE_BEER_FIRST_ROUND, COND_TAKE_BEER_SECOND_ROUND, COND_TAKE_BEER_THIRD_ROUND</t>
  </si>
  <si>
    <t>ITEM_PICKABLE_OLIVE</t>
  </si>
  <si>
    <t>NAME_OLIVE</t>
  </si>
  <si>
    <t>SPRITE_PICKABLE_OLIVE</t>
  </si>
  <si>
    <t>COND_OBSERVE_ITEM_PICKABLE_OLIVE</t>
  </si>
  <si>
    <t>ITEM_INNOCENT_PLANT</t>
  </si>
  <si>
    <t>NAME_INNOCENT_PLANT</t>
  </si>
  <si>
    <t>COND_OBSERVE_ITEM_INNOCENT_PLANT, COND_USE_BLADDER_WITH_PLANT</t>
  </si>
  <si>
    <t>ITEM_PICKABLE_BLADDER</t>
  </si>
  <si>
    <t>NAME_FULL_BLADDER</t>
  </si>
  <si>
    <t>SPRITE_PICKABLE_BLADDER</t>
  </si>
  <si>
    <t>COND_OBSERVE_BLADDER</t>
  </si>
  <si>
    <t>ITEM_NPC_SILVANA_EXTRAPERLO_GARD</t>
  </si>
  <si>
    <t>SPRITE_SILVANA_STEADY_STANDING</t>
  </si>
  <si>
    <t>ITEM_NPC_SILVANA_EXTRAPERLO_GARD_SEAT</t>
  </si>
  <si>
    <t>SPRITE_SILVANA_SEATED_GARDEN_STEADY</t>
  </si>
  <si>
    <t>COND_OK, COND_TALK_ITEM_NPC_SILVANA_EXTRAPERLO_GARD_SEAT</t>
  </si>
  <si>
    <t>ITEM_PAMFRY</t>
  </si>
  <si>
    <t>NAME_CLIENT</t>
  </si>
  <si>
    <t>SPRITE_PAMFRY_SHOUTING</t>
  </si>
  <si>
    <t>ITEM_FIK_EXTRAPERLO_GARDEN</t>
  </si>
  <si>
    <t>ITEM_MAINCHAR_DREAM</t>
  </si>
  <si>
    <t>PREFAB_MAINCHAR_DREAM</t>
  </si>
  <si>
    <t>ITEM_DREAM_RADIO</t>
  </si>
  <si>
    <t>NAME_RADIO</t>
  </si>
  <si>
    <t>COND_OBSERVE_ITEM_DREAM_RADIO, COND_TAKE_DREAM_RADIO_ON, COND_TAKE_DREAM_RADIO_OFF</t>
  </si>
  <si>
    <t>ITEM_CLASSROOM_PORTRAIT</t>
  </si>
  <si>
    <t>NAME_PORTRAIT</t>
  </si>
  <si>
    <t>COND_OBSERVE_ITEM_CLASSROOM_PORTRAIT</t>
  </si>
  <si>
    <t>ITEM_DREAM_CLOCK</t>
  </si>
  <si>
    <t>NAME_CLOCK</t>
  </si>
  <si>
    <t>COND_OBSERVE_ITEM_DREAM_CLOCK</t>
  </si>
  <si>
    <t>ITEM_NPC_SULTAN</t>
  </si>
  <si>
    <t>NAME_SULTAN</t>
  </si>
  <si>
    <t>SPRITE_SULTAN_STEADY</t>
  </si>
  <si>
    <t>COND_OBSERVE_ITEM_NPC_SULTAN, COND_TALK_SULTAN_DREAM_1, COND_USE_FIG_SULTAN</t>
  </si>
  <si>
    <t>ITEM_NPC_PILAR_DREAM_1</t>
  </si>
  <si>
    <t>NAME_PILAR</t>
  </si>
  <si>
    <t>SPRITE_PILAR_STEADY</t>
  </si>
  <si>
    <t>COND_OBSERVE_ITEM_NPC_PILAR_DREAM_1, COND_TALK_ITEM_NPC_PILAR_DREAM_1</t>
  </si>
  <si>
    <t>ITEM_NPC_ALTER_EGO_1</t>
  </si>
  <si>
    <t>NAME_ALTER_EGO1</t>
  </si>
  <si>
    <t>SPRITE_ALTER_EGO_STEADY</t>
  </si>
  <si>
    <t>COND_TALK_ITEM_NPC_ALTER_EGO_1, COND_OBSERVE_ITEM_NPC_ALTER_EGO_1</t>
  </si>
  <si>
    <t>ITEM_DOOR_DREAM_1_EXIT</t>
  </si>
  <si>
    <t>COND_DOG_DID_NOT_EAT</t>
  </si>
  <si>
    <t>ITEM_BLANK</t>
  </si>
  <si>
    <t>ITEM_PICKABLE_FIG</t>
  </si>
  <si>
    <t>NAME_FIG</t>
  </si>
  <si>
    <t>SPRITE_PICKABLE_FIG</t>
  </si>
  <si>
    <t>COND_OBSERVE_ITEM_FIG, COND_TAKE_ITEM_FIG</t>
  </si>
  <si>
    <t>ITEM_PINPOINT_MAP</t>
  </si>
  <si>
    <t>NAME_PINPOINT_MAP</t>
  </si>
  <si>
    <t>SPRITE_PINPOINT_MAP</t>
  </si>
  <si>
    <t>PREFAB_PINPOINT_MAP</t>
  </si>
  <si>
    <t>ITEM_MAP_POINT_PERIPH_NEIGH</t>
  </si>
  <si>
    <t>ITEM_FAMILY_TYPE_MAP_POINT</t>
  </si>
  <si>
    <t>ITEM_MAP_POINT_CITY_CENTER</t>
  </si>
  <si>
    <t>ITEM_MAP_POINT_SOUTH_NEIGH</t>
  </si>
  <si>
    <t>ITEM_UNDER_BED</t>
  </si>
  <si>
    <t>NAME_UNDER_BED</t>
  </si>
  <si>
    <t>COND_OBSERVE_UNDER_BED</t>
  </si>
  <si>
    <t>ITEM_PICKABLE_KEY_HIVE_ROOM</t>
  </si>
  <si>
    <t>NAME_HIVE_ROOM_KEY</t>
  </si>
  <si>
    <t>SPRITE_KEY_UNDER_BED</t>
  </si>
  <si>
    <t>SPRITE_PICKABLE_HIVE_ROOM_KEY</t>
  </si>
  <si>
    <t>COND_OBSERVE_ROOM_KEY_NOT_TAKEN, COND_TAKE_HIVE_ROOM_KEY_PICKABLE</t>
  </si>
  <si>
    <t>ITEM_PICKABLE_COIN25</t>
  </si>
  <si>
    <t>NAME_COIN25</t>
  </si>
  <si>
    <t>SPRITE_PICKABLE_COIN25</t>
  </si>
  <si>
    <t>COND_OBSERVE_ITEM_PICKABLE_COIN25, COND_TAKE_ITEM_PICKABLE_COIN25</t>
  </si>
  <si>
    <t>ITEM_DOOR_SERVICE_HIVE</t>
  </si>
  <si>
    <t>NAME_DOOR_SERVICE</t>
  </si>
  <si>
    <t>COND_OBSERVE_DOOR_SERVICE_HIVE, COND_TRY_CROSS_SERVICE_DOOR_LOCKED, COND_USE_HIVE_KEY_SERVICE_DOOR</t>
  </si>
  <si>
    <t>ITEM_DOOR_SERVICE_HIVE_OPENED</t>
  </si>
  <si>
    <t>SPRITE_SERVICE_DOOR_OPENED_DAY, SPRITE_SERVICE_DOOR_OPENED_NIGHT</t>
  </si>
  <si>
    <t>SPRITE_SERVICE_DOOR_OPENED_DAY</t>
  </si>
  <si>
    <t>ITEM_GUMBALL_MACHINE</t>
  </si>
  <si>
    <t>NAME_GUMBALL_MACHINE</t>
  </si>
  <si>
    <t>COND_OBSERVE_ITEM_GUMBALL_MACHINE, COND_USE_25COIN_GUMBALL_MACHINE</t>
  </si>
  <si>
    <t>ITEM_PICKABLE_MIX_JAR</t>
  </si>
  <si>
    <t>NAME_MIX_JAR</t>
  </si>
  <si>
    <t>SPRITE_JUG_EMPTY, SPRITE_PICKABLE_MIX_JAR_IMPERFECT, SPRITE_PICKABLE_MIX_JAR_PERFECT, SPRITE_MIX_JAR_PERFECT_SWIRLING</t>
  </si>
  <si>
    <t>SPRITE_JUG_EMPTY</t>
  </si>
  <si>
    <t>SPRITE_PICKABLE_MIX_JAR</t>
  </si>
  <si>
    <t>COND_OBSERVE_ITEM_MIX_JAR</t>
  </si>
  <si>
    <t>ITEM_PICKABLE_TAR_CAN</t>
  </si>
  <si>
    <t>NAME_TAR_CAN</t>
  </si>
  <si>
    <t>SPRITE_TAR_CAN</t>
  </si>
  <si>
    <t>SPRITE_PICKABLE_TAR_CAN</t>
  </si>
  <si>
    <t>COND_OBSERVE_ITEM_PICKABLE_TAR_CAN, COND_TAKE_TAR_CAN</t>
  </si>
  <si>
    <t>ITEM_PICKABLE_HIVE_KEY_BROKEN</t>
  </si>
  <si>
    <t>NAME_HIVE_KEY_BROKEN</t>
  </si>
  <si>
    <t>SPRITE_PICKABLE_HIVE_ROOM_KEY_BROKEN</t>
  </si>
  <si>
    <t>COND_OBSERVE_ITEM_PICKABLE_HIVE_KEY_BROKEN</t>
  </si>
  <si>
    <t>ITEM_SQUAT_WC</t>
  </si>
  <si>
    <t>NAME_SQUAT_WC</t>
  </si>
  <si>
    <t>COND_OBSERVE_ITEM_SQUAT_WC_AFTER_INCIDENT, COND_OBSERVE_ITEM_SQUAT_WC, COND_USE_IMPERFECT_MIX_JAR_SQUAT_WC, COND_USE_PERFECT_MIX_JAR_SQUAT_WC</t>
  </si>
  <si>
    <t>ITEM_PICKABLE_GUMBALL</t>
  </si>
  <si>
    <t>NAME_GUMBALL</t>
  </si>
  <si>
    <t>SPRITE_PICKABLE_GUMBALL</t>
  </si>
  <si>
    <t>COND_OBSERVE_ITEM_PICKABLE_GUMBALL</t>
  </si>
  <si>
    <t>ITEM_CLATTERING_COIN</t>
  </si>
  <si>
    <t>ITEM_COIN_IN_CRACK</t>
  </si>
  <si>
    <t>SPRITE_COIN_IN_CRACK</t>
  </si>
  <si>
    <t>COND_OBSERVE_COIN_IN_CRACK, COND_TRY_TAKE_COIN_IN_CRACK</t>
  </si>
  <si>
    <t>ITEM_WINDOW_GIANT_ROACH</t>
  </si>
  <si>
    <t>NAME_GIANT_ROACH</t>
  </si>
  <si>
    <t>SPRITE_WINDOW_GIANT_ROACH</t>
  </si>
  <si>
    <t>ITEM_IDEA_FIND_JOB</t>
  </si>
  <si>
    <t>NAME_MEMENTO_FIND_JOB_1</t>
  </si>
  <si>
    <t>ITEM_FAMILY_TYPE_IDEA</t>
  </si>
  <si>
    <t>SPRITE_MEMENTO_JOB</t>
  </si>
  <si>
    <t>ITEM_IDEA_REME</t>
  </si>
  <si>
    <t>NAME_MEMENTO_REME</t>
  </si>
  <si>
    <t>SPRITE_MEMENTO_REME</t>
  </si>
  <si>
    <t>COND_COMBINE_IDEAS_REME_ROACHES</t>
  </si>
  <si>
    <t>ITEM_IDEA_ROACHES</t>
  </si>
  <si>
    <t>NAME_MEMENTO_ROACHES</t>
  </si>
  <si>
    <t>SPRITE_MEMENTO_ROACHES</t>
  </si>
  <si>
    <t>COND_COMBINE_IDEAS_ROACHES_REME</t>
  </si>
  <si>
    <t>ITEM_LAB_MAGAZINE</t>
  </si>
  <si>
    <t>NAME_LAB_MAGAZINE</t>
  </si>
  <si>
    <t>COND_OBSERVE_LAB_MAGAZINE</t>
  </si>
  <si>
    <t>ITEM_LAB_WORKDESK</t>
  </si>
  <si>
    <t>NAME_LAB_WORKDESK</t>
  </si>
  <si>
    <t>COND_USE_ROACHES_IDEA_W_EXPERIMENT_TABLE, COND_OBSERVE_EXPERIMENT_TABLE, COND_TAKE_EXPERIMENT_TABLE_NOT, COND_TAKE_EXPERIMENT_TABLE_NOT2, COND_TAKE_EXPERIMENT_TABLE, COND_USE_EMPTY_MIX_JAR_LAB_DESK</t>
  </si>
  <si>
    <t>ITEM_PICKABLE_LAB_FLOORWASHER</t>
  </si>
  <si>
    <t>NAME_FLOORWASHER</t>
  </si>
  <si>
    <t>SPRITE_HIVE1_LAB_FLOORWASHER</t>
  </si>
  <si>
    <t>COND_OBSERVE_ITEM_PICKABLE_LAB_FLOORWASHER, COND_TAKE_FLOORWASHER</t>
  </si>
  <si>
    <t>ITEM_PICKABLE_LAB_DETERGENT</t>
  </si>
  <si>
    <t>NAME_DETERGENT</t>
  </si>
  <si>
    <t>SPRITE_HIVE1_LAB_DETERGENT</t>
  </si>
  <si>
    <t>COND_OBSERVE_ITEM_PICKABLE_LAB_DETERGENT, COND_TAKE_DETERGENT</t>
  </si>
  <si>
    <t>ITEM_PICKABLE_LAB_INSECTICIDE</t>
  </si>
  <si>
    <t>NAME_INSECTICIDE</t>
  </si>
  <si>
    <t>SPRITE_HIVE1_LAB_INSECTICIDE</t>
  </si>
  <si>
    <t>COND_OBSERVE_ITEM_PICKABLE_LAB_INSECTICIDE, COND_TAKE_INSECTICIDE</t>
  </si>
  <si>
    <t>ITEM_PICKABLE_LAB_VARNISH</t>
  </si>
  <si>
    <t>NAME_VARNISH</t>
  </si>
  <si>
    <t>SPRITE_HIVE1_LAB_VARNISH</t>
  </si>
  <si>
    <t>COND_OBSERVE_ITEM_PICKABLE_LAB_VARNISH, COND_TAKE_VARNISH</t>
  </si>
  <si>
    <t>ITEM_RUSTY_SPRING</t>
  </si>
  <si>
    <t>NAME_RUSTY_SPRING</t>
  </si>
  <si>
    <t>COND_OBSERVE_ITEM_RUSTY_SPRING, COND_USE_BROKEN_KEY_RUSTY_SPRING, COND_USE_BROKEN_KEY_RUSTY_SPRING_NOT, COND_USE_BROKEN_KEY_RUSTY_SPRING_NOT_2</t>
  </si>
  <si>
    <t>ITEM_PICKABLE_RUST_POWDER</t>
  </si>
  <si>
    <t>SPRITE_PICKABLE_RUST_POWDER</t>
  </si>
  <si>
    <t>COND_OBSERVE_ITEM_RUST_POWDER, COND_TAKE_ITEM_RUST_POWDER</t>
  </si>
  <si>
    <t>ITEM_KEY_SCRATCHER</t>
  </si>
  <si>
    <t>ITEM_RUST_UNITS_GENERATOR</t>
  </si>
  <si>
    <t>ITEM_LAB_JUG</t>
  </si>
  <si>
    <t>SPRITE_JUG_EMPTY, SPRITE_JUG_LIQUID_MASK</t>
  </si>
  <si>
    <t>COND_OBSERVE_ITEM_MIX_JAR, COND_USE_FLOORWASHER_JUG, COND_USE_DETERGENT_JUG, COND_USE_INSECTICIDE_JUG, COND_USE_VARNISH_JUG, COND_USE_RUST_JUG, COND_OK</t>
  </si>
  <si>
    <t>ITEM_PICKABLE_IMPERFECT_MIX_JAR</t>
  </si>
  <si>
    <t>NAME_IMPERFECT_MIX_JAR</t>
  </si>
  <si>
    <t>SPRITE_PICKABLE_MIX_JAR_IMPERFECT</t>
  </si>
  <si>
    <t>COND_OBSERVE_IMPERFECT_MIX_JAR, COND_TAKE_IMPERFECT_MIX_JAR</t>
  </si>
  <si>
    <t>ITEM_PICKABLE_PERFECT_MIX_JAR</t>
  </si>
  <si>
    <t>NAME_PERFECT_MIX_JAR</t>
  </si>
  <si>
    <t>SPRITE_PICKABLE_MIX_JAR_PERFECT</t>
  </si>
  <si>
    <t>COND_OBSERVE_PERFECT_MIX_JAR, COND_TAKE_PERFECT_MIX_JAR</t>
  </si>
  <si>
    <t>ITEM_DECO_STREET1_FACHADE</t>
  </si>
  <si>
    <t>SPRITE_CITY1_STREET1_MOV_FACHADE</t>
  </si>
  <si>
    <t>ITEM_DECO_STREET1_BLIND</t>
  </si>
  <si>
    <t>SPRITE_CITY1_STREET1_MOV_BLIND</t>
  </si>
  <si>
    <t>ITEM_MAP_POINT_SLUM_FACTORY</t>
  </si>
  <si>
    <t>NAME_SLUM_FACTORY</t>
  </si>
  <si>
    <t>ITEM_NPC_MATRIARCH</t>
  </si>
  <si>
    <t>NAME_MATRIARCH</t>
  </si>
  <si>
    <t>SPRITE_MATRIARCH_STEADY</t>
  </si>
  <si>
    <t>COND_TALK_MATRIARCH, COND_USE_RECIPE_IDEA_MATRIARCH, COND_OBSERVE_MATRIARCH</t>
  </si>
  <si>
    <t>ITEM_IDEA_RECIPE</t>
  </si>
  <si>
    <t>NAME_MEMENTO_RECIPE_MISSION</t>
  </si>
  <si>
    <t>SPRITE_MEMENTO_RECIPE</t>
  </si>
  <si>
    <t>ITEM_NPC_SLUM_KIDS</t>
  </si>
  <si>
    <t>NAME_SLUM_KIDS</t>
  </si>
  <si>
    <t>SPRITE_SLUM_KIDS_STEADY</t>
  </si>
  <si>
    <t>ITEM_LAST</t>
  </si>
  <si>
    <t>NAME_NPC_LAST</t>
  </si>
  <si>
    <t>SPRITE_LAST</t>
  </si>
  <si>
    <t>ACTION_COND_ID</t>
  </si>
  <si>
    <t>NeededEvents</t>
  </si>
  <si>
    <t>NeededMomentDay</t>
  </si>
  <si>
    <t>srcChar</t>
  </si>
  <si>
    <t>srcItem</t>
  </si>
  <si>
    <t>Action_OK</t>
  </si>
  <si>
    <t>ActionWaypointTag</t>
  </si>
  <si>
    <t>TriggeredActions</t>
  </si>
  <si>
    <t>EVENT_NONE</t>
  </si>
  <si>
    <t>MOMENT_ANY</t>
  </si>
  <si>
    <t>CHARACTER_NONE</t>
  </si>
  <si>
    <t>INTERACTION_NONE</t>
  </si>
  <si>
    <t>ACTION_NONE</t>
  </si>
  <si>
    <t>COND_OPEN_CHEST</t>
  </si>
  <si>
    <t>(NOT)EVENT_HIVE1_CHEST_OPENED</t>
  </si>
  <si>
    <t>INTERACTION_TAKE</t>
  </si>
  <si>
    <t>ACTION_EVENT_OPEN_CHEST, ACTION_ANIMATE_MAINCHAR_PICKING_SIDE, ACTION_PLAY_SOUND_CHEST_OPEN_CLOSE</t>
  </si>
  <si>
    <t>COND_CLOSE_CHEST</t>
  </si>
  <si>
    <t>EVENT_HIVE1_CHEST_OPENED</t>
  </si>
  <si>
    <t>ACTION_EVENT_CANCEL_OPEN_CHEST, ACTION_ANIMATE_MAINCHAR_PICKING_SIDE, ACTION_PLAY_SOUND_CHEST_OPEN_CLOSE</t>
  </si>
  <si>
    <t>(NOT)EVENT_CARDS_PICKABLE_TAKEN</t>
  </si>
  <si>
    <t>ACTION_OBTAIN_HIVE1_CARDS, ACTION_EVENT_CARDS_PICKABLE_TAKEN</t>
  </si>
  <si>
    <t>(NOT)EVENT_HIVE1_WARDROBE_OPENED</t>
  </si>
  <si>
    <t>ACTION_EVENT_OPEN_WARDROBE, ACTION_ANIMATE_MAINCHAR_PICKING_BACKWARDS, ACTION_PLAY_SOUND_WARDROBE_OPEN_CLOSE</t>
  </si>
  <si>
    <t>EVENT_HIVE1_WARDROBE_OPENED</t>
  </si>
  <si>
    <t>ACTION_EVENT_CANCEL_OPEN_WARDROBE, ACTION_ANIMATE_MAINCHAR_PICKING_BACKWARDS, ACTION_PLAY_SOUND_WARDROBE_OPEN_CLOSE</t>
  </si>
  <si>
    <t>COND_TALK_REME_1</t>
  </si>
  <si>
    <t>INTERACTION_TALK</t>
  </si>
  <si>
    <t>ACTION_DIALOGUE_REME_1</t>
  </si>
  <si>
    <t>INTERACTION_OBSERVE</t>
  </si>
  <si>
    <t>ACTION_DIALOGUE_HIVE1_AD_BOARD_1, ACTION_EVENT_HIVE1_AD_OBSERVED, ACTION_MEMENTO_JOB_FIND_1_2</t>
  </si>
  <si>
    <t>(NOT)EVENT_HIVE1_AD_BOARD_OBSERVED_1</t>
  </si>
  <si>
    <t>INTERACTION_CROSS_DOOR</t>
  </si>
  <si>
    <t>ACTION_DIALOGUE_EXIT_HIVE1_HALL_1</t>
  </si>
  <si>
    <t>(NOT)EVENT_SOAP_PICKABLE_TAKEN</t>
  </si>
  <si>
    <t>ACTION_OBTAIN_SOAP, ACTION_EVENT_SOAP_PICKABLE_TAKEN, ACTION_ANIMATE_MAINCHAR_PICKING_BACKWARDS</t>
  </si>
  <si>
    <t>COND_USE_CARDS_REME</t>
  </si>
  <si>
    <t>INTERACTION_USE</t>
  </si>
  <si>
    <t>ACTION_DIALOGUE_USE_CARDS_REME</t>
  </si>
  <si>
    <t>COND_USE_HIVE1_BED</t>
  </si>
  <si>
    <t>ACTION_DECISION_SLEEP</t>
  </si>
  <si>
    <t>(NOT)EVENT_ITEM_EXTRAPERLO_INVITATION_PICKABLE_TAKEN</t>
  </si>
  <si>
    <t>ACTION_DIALOGUE_NOT_GO_SOUTH_NEIGH</t>
  </si>
  <si>
    <t>COND_TALK_PHARMACIST_WITH_REME</t>
  </si>
  <si>
    <t>ACTION_ANIMATE_SET_STEADY_PHARMACIST_AND_REME_LISTEN, ACTION_ANIMATE_MAINCHAR_SET_STEADY_BACKWARDS, ACTION_ANIMATE_MAINCHAR_STEADY_BACKWARDS, ACTION_ANIMATE_PHARMACIST_AND_REME_STEADY_TO_LISTEN, ACTION_DIALOGUE_TALK_PHARMACIST_WITH_REME</t>
  </si>
  <si>
    <t>COND_USE_RECIPE_IDEA_PHARMACIST</t>
  </si>
  <si>
    <t>EVENT_MANYO_LOOK_FOR_RECIPE_MISSION</t>
  </si>
  <si>
    <t>ACTION_EVENT_USED_RECIPE_IDEA_PHARMACIST, ACTION_DIALOGUE_TALK_PHARMACIST_WITH_REME_RECIPE_OPT</t>
  </si>
  <si>
    <t>(NOT)EVENT_PHARMACY_EMPTY</t>
  </si>
  <si>
    <t>ACTION_DIALOGUE_TRY_TALK_PHARMACIST</t>
  </si>
  <si>
    <t>COND_OBSERVE_PHARMACIST_WITH_REME</t>
  </si>
  <si>
    <t>ACTION_DIALOGUE_REME_YELLING_ASSASIN, ACTION_DIALOGUE_OBSERVE_REME_AND_PHARMACIST</t>
  </si>
  <si>
    <t>ACTION_DIALOGUE_TALK_DEER</t>
  </si>
  <si>
    <t>ACTION_ANIMATE_MANYO_LISTENING_STEADY, ACTION_ANIMATE_MANYO_LEAN_TO_LISTEN, ACTION_DIALOGUE_TALK_MANYO_OWNER</t>
  </si>
  <si>
    <t>COND_USE_WORK_IDEA_MANYO_OWNER</t>
  </si>
  <si>
    <t>MOMENT_MORNING</t>
  </si>
  <si>
    <t>ACTION_ANIMATE_MANYO_LISTENING_STEADY, ACTION_ANIMATE_MANYO_LEAN_TO_LISTEN, ACTION_EVENT_USED_WORK_IDEA_MANYO, ACTION_DIALOGUE_OPTION_MANYO_WORK</t>
  </si>
  <si>
    <t>COND_TAKE_UMBRELLA_MORNING</t>
  </si>
  <si>
    <t>(NOT)EVENT_UMBRELLA_PICKABLE_TAKEN</t>
  </si>
  <si>
    <t>ACTION_DIALOGUE_TAKE_UMBRELLA_MORNING</t>
  </si>
  <si>
    <t>COND_TAKE_UMBRELLA_NIGHT</t>
  </si>
  <si>
    <t>MOMENT_NIGHT</t>
  </si>
  <si>
    <t>ACTION_DIALOGUE_TAKE_UMBRELLA_NIGHT, ACTION_OBTAIN_UMBRELLA, ACTION_EVENT_UMBRELLA_PICKABLE_TAKEN</t>
  </si>
  <si>
    <t>COND_OBSERVE_ITEM_HIVE1_POOR_MAN_WC</t>
  </si>
  <si>
    <t>ACTION_DIALOGUE_OBSERVE_POOR_MAN_WC</t>
  </si>
  <si>
    <t>COND_TALK_POOR_MAN_WC</t>
  </si>
  <si>
    <t>ACTION_DIALOGUE_TALK_POOR_MAN_WC</t>
  </si>
  <si>
    <t>COND_OBSERVE_ITEM_HIVE1_ROACH</t>
  </si>
  <si>
    <t>ACTION_DIALOGUE_OBSERVE_HIVE1_ROACH</t>
  </si>
  <si>
    <t>COND_OBSERVE_ITEM_HIVE1_PIPE</t>
  </si>
  <si>
    <t>(NOT)EVENT_POOR_MAN_WC_NEED_WATER</t>
  </si>
  <si>
    <t>ACTION_DIALOGUE_OBSERVE_HIVE1_PIPE</t>
  </si>
  <si>
    <t>COND_OBSERVE_ITEM_HIVE1_PIPE_2</t>
  </si>
  <si>
    <t>EVENT_POOR_MAN_WC_NEED_WATER</t>
  </si>
  <si>
    <t>ACTION_DIALOGUE_OBSERVE_HIVE1_PIPE_2, ACTION_EVENT_PIPE_OBSERVATION_1</t>
  </si>
  <si>
    <t>COND_TAKE_HIVE1_ROACH_HEAD</t>
  </si>
  <si>
    <t>ACTION_DIALOGUE_TAKE_HIVE1_ROACH_HEAD, ACTION_EVENT_COCKROACH_SCARED</t>
  </si>
  <si>
    <t>COND_OBSERVE_ITEM_HIVE1_VALVE_BOX</t>
  </si>
  <si>
    <t>(NOT)EVENT_PIPE_OBSERVATION_2</t>
  </si>
  <si>
    <t>ACTION_DIALOGUE_OBSERVE_VALVE_BOX</t>
  </si>
  <si>
    <t>COND_OBSERVE_ITEM_HIVE1_BACKALLEY_PIPE</t>
  </si>
  <si>
    <t>(NOT)EVENT_PIPE_OBSERVATION_1</t>
  </si>
  <si>
    <t>ACTION_DIALOGUE_OBSERVE_BACKALLEY_PIPE</t>
  </si>
  <si>
    <t>COND_OBSERVE_ITEM_HIVE1_BACKALLEY_PIPE_2</t>
  </si>
  <si>
    <t>EVENT_PIPE_OBSERVATION_1</t>
  </si>
  <si>
    <t>ACTION_DIALOGUE_OBSERVE_BACKALLEY_PIPE_2, ACTION_EVENT_PIPE_OBSERVATION_2</t>
  </si>
  <si>
    <t>COND_OBSERVE_ITEM_HIVE1_VALVE_BOX_2</t>
  </si>
  <si>
    <t>EVENT_PIPE_OBSERVATION_2</t>
  </si>
  <si>
    <t>ACTION_DIALOGUE_OBSERVE_VALVE_BOX_2</t>
  </si>
  <si>
    <t>COND_TAKE_VALVE_BOX_1</t>
  </si>
  <si>
    <t>ACTION_DIALOGUE_TAKE_VALVE_BOX_1, ACTION_EVENT_VALVE_BOX_NEED_OPEN</t>
  </si>
  <si>
    <t>COND_TAKE_VALVE_BOX_MORNING</t>
  </si>
  <si>
    <t>ACTION_DIALOGUE_TAKE_VALVE_BOX_MORNING</t>
  </si>
  <si>
    <t>COND_OBSERVE_ITEM_HIVE1_SHOELACE</t>
  </si>
  <si>
    <t>ACTION_DIALOGUE_OBSERVE_SHOEALCE</t>
  </si>
  <si>
    <t>COND_TAKE_ITEM_HIVE1_SHOELACE_NOT</t>
  </si>
  <si>
    <t>(NOT)EVENT_VALVE_BOX_NEED_OPEN</t>
  </si>
  <si>
    <t>ACTION_DIALOGUE_TAKE_SHOEALCE_NOT</t>
  </si>
  <si>
    <t>COND_TAKE_ITEM_HIVE1_SHOELACE_NOT_2</t>
  </si>
  <si>
    <t>EVENT_VALVE_BOX_NEED_OPEN</t>
  </si>
  <si>
    <t>ACTION_DIALOGUE_TAKE_SHOEALCE_NOT_2</t>
  </si>
  <si>
    <t>COND_TAKE_ITEM_HIVE1_SHOELACE</t>
  </si>
  <si>
    <t>ACTION_DIALOGUE_TAKE_SHOEALCE, ACTION_OBTAIN_HIVE1_SHOELACE, ACTION_EVENT_SHOELACE_PICKABLE_TAKEN</t>
  </si>
  <si>
    <t>COND_OBSERVE_ITEM_HIVE1_VALVE</t>
  </si>
  <si>
    <t>ACTION_DIALOGUE_OBSERVE_VALVE</t>
  </si>
  <si>
    <t>COND_USE_SHOELACE_VALVE_BOX</t>
  </si>
  <si>
    <t>(NOT)EVENT_VALVE_BOX_OPENED</t>
  </si>
  <si>
    <t>ACTION_DIALOGUE_USE_SHOELACE_VALVE_BOX, ACTION_EVENT_VALVE_BOX_OPENED</t>
  </si>
  <si>
    <t>COND_TAKE_HIVE1_VALVE</t>
  </si>
  <si>
    <t>(NOT)EVENT_HIVE1_VALVE_ACTIVATED</t>
  </si>
  <si>
    <t>ACTION_DIALOGUE_TAKE_HIVE1_VALVE, ACTION_EVENT_VALVE_ACTIVATED</t>
  </si>
  <si>
    <t>COND_TAKE_HIVE1_VALVE_2</t>
  </si>
  <si>
    <t>EVENT_HIVE1_VALVE_ACTIVATED</t>
  </si>
  <si>
    <t>ACTION_DIALOGUE_TAKE_HIVE1_VALVE_2</t>
  </si>
  <si>
    <t>COND_OBSERVE_ITEM_HIVE1_MAN_WC_CURED</t>
  </si>
  <si>
    <t>ACTION_DIALOGUE_OBSERVE_MAN_WC_CURED</t>
  </si>
  <si>
    <t>COND_TALK_ITEM_HIVE1_MAN_WC_CURED</t>
  </si>
  <si>
    <t>ACTION_DIALOGUE_TALK_MAN_WC_CURED</t>
  </si>
  <si>
    <t>COND_OBSERVE_ITEM_EXTRAPERLO_INVITATION_DETAIL_1</t>
  </si>
  <si>
    <t>(NOT)EVENT_INVITATION_REVEALED</t>
  </si>
  <si>
    <t>ACTION_DIALOGUE_OBSERVE_INVITATION_DETAIL_1, ACTION_EVENT_OBSERVED_INVITATION_RELIEF</t>
  </si>
  <si>
    <t>COND_OBSERVE_ITEM_EXTRAPERLO_INVITATION_DETAIL_2</t>
  </si>
  <si>
    <t>EVENT_INVITATION_REVEALED</t>
  </si>
  <si>
    <t>ACTION_DIALOGUE_OBSERVE_INVITATION_DETAIL_2, ACTION_EVENT_INVITATION_UNDERSTOOD_PHRASE</t>
  </si>
  <si>
    <t>COND_OBSERVE_ITEM_PHARMACY_INKWELL</t>
  </si>
  <si>
    <t>ACTION_DIALOGUE_OBSERVE_PHARMACY_INKWELL</t>
  </si>
  <si>
    <t>COND_OBSERVE_ITEM_PHARMACY_INK</t>
  </si>
  <si>
    <t>ACTION_DIALOGUE_OBSERVE_PHARMACY_INK</t>
  </si>
  <si>
    <t>COND_TAKE_INKWELL_NOT_1</t>
  </si>
  <si>
    <t>(NOT)EVENT_OBSERVED_INVITATION_RELIEF</t>
  </si>
  <si>
    <t>ACTION_DIALOGUE_TAKE_INKWELL_NOT_1</t>
  </si>
  <si>
    <t>COND_TAKE_INKWELL_NOT_2</t>
  </si>
  <si>
    <t>EVENT_OBSERVED_INVITATION_RELIEF</t>
  </si>
  <si>
    <t>ACTION_DIALOGUE_TAKE_INKWELL_NOT_2, ACTION_EVENT_INKWELL_NOT_TOUCH_WARN</t>
  </si>
  <si>
    <t>COND_TAKE_INKWELL_NOT_3</t>
  </si>
  <si>
    <t>ACTION_DIALOGUE_TAKE_INKWELL_NOT_3, ACTION_EVENT_INKWELL_NOT_TOUCH_WARN</t>
  </si>
  <si>
    <t>COND_USE_UMBRELLA_INKWELL</t>
  </si>
  <si>
    <t>EVENT_INKWELL_NOT_TOUCH_WARN</t>
  </si>
  <si>
    <t>ACTION_DIALOGUE_USE_UMBRELLA_INKWELL</t>
  </si>
  <si>
    <t>COND_USE_INVITATION_INK</t>
  </si>
  <si>
    <t>ACTION_DIALOGUE_USE_INVITATION_INK, ACTION_EVENT_INVITATION_REVEALED</t>
  </si>
  <si>
    <t>COND_USE_INVITATION_INK_2</t>
  </si>
  <si>
    <t>ACTION_DIALOGUE_USE_INVITATION_INK_2</t>
  </si>
  <si>
    <t>(NOT)EVENT_EXTRAPERLO_SAID_PHRASE</t>
  </si>
  <si>
    <t>ACTION_TALK_FIK</t>
  </si>
  <si>
    <t>ACTION_TALK_FIK_NOT_CROSS</t>
  </si>
  <si>
    <t>COND_TALK_WAITER_NO_INVITATION</t>
  </si>
  <si>
    <t>(NOT)EVENT_EXTRAPERLO_SHOWN_NEW_INVITATION</t>
  </si>
  <si>
    <t>ACTION_TALK_WAITER_NO_INVITATION</t>
  </si>
  <si>
    <t>COND_USE_OLD_INVITATION_W_WAITER</t>
  </si>
  <si>
    <t>ACTION_TALK_WAITER_OLD_INVITATION</t>
  </si>
  <si>
    <t>COND_TALK_UNKNOWN_WOMEN</t>
  </si>
  <si>
    <t>ACTION_TALK_UNKNOWN_WOMEN</t>
  </si>
  <si>
    <t>COND_TAKE_UNKNOWN_WOMEN</t>
  </si>
  <si>
    <t>ACTION_TAKE_UNKNOWN_WOMEN</t>
  </si>
  <si>
    <t>COND_OBSERVE_ITEM_NPC_ARTURO_EXTRAPERLO</t>
  </si>
  <si>
    <t>ACTION_DIALOGUE_OBSERVE_ITEM_NPC_ARTURO_EXTRAPERLO</t>
  </si>
  <si>
    <t>COND_TALK_ITEM_NPC_ARTURO_EXTRAPERLO</t>
  </si>
  <si>
    <t>ACTION_TALK_DIALOG_ARTURO_EXTRAPERLO</t>
  </si>
  <si>
    <t>COND_TALK_ITEM_NPC_CLOWN</t>
  </si>
  <si>
    <t>ACTION_TALK_DIALOG_CLOWN_EXTRAPERLO</t>
  </si>
  <si>
    <t>COND_TALK_ITEM_NPC_SILVANA_EXTRAPERLO</t>
  </si>
  <si>
    <t>(NOT)EVENT_DRUNK_STATE, (NOT)EVENT_OLIVE_OFFERED</t>
  </si>
  <si>
    <t>ACTION_ANIMATE_SILVANA_CLOSING_BOOK_1, ACTION_ANIMATE_SILVANA_CLOSING_BOOK_2, ACTION_TALK_DIALOG_SILVANA_EXTRAPERLO</t>
  </si>
  <si>
    <t>COND_OBSERVE_INVITATION_CORNER</t>
  </si>
  <si>
    <t>ACTION_DIALOG_OBSERVE_INVITATION_CORNER</t>
  </si>
  <si>
    <t>COND_TAKE_INVITATION_CORNER</t>
  </si>
  <si>
    <t>EVENT_EXTRAPERLO_SHOWN_OLD_INVITATION, (NOT)EVENT_EXTRAPERLO_INV_FOLDED_CORNERS</t>
  </si>
  <si>
    <t>ACTION_LOSE_INVALID_EXTRAPERLO_INVITATION, ACTION_EARN_EXTRAPERLO_INVITATION_FOLDED, ACTION_EVENT_FOLDED_INVITATION, ACTION_DIALOG_MANIPULATE_INVITATION_CORNER</t>
  </si>
  <si>
    <t>COND_USE_NEW_INVITATION_W_WAITER</t>
  </si>
  <si>
    <t>ACTION_DIALOGUE_WAITER_USE_NEW_INVITATION, ACTION_EVENT_SHOWN_NEW_INVITATION, ACTION_LOSE_NEW_EXTRAPERLO_INVITATION</t>
  </si>
  <si>
    <t>COND_TALK_WAITER_W_INVITATION</t>
  </si>
  <si>
    <t>EVENT_EXTRAPERLO_SHOWN_NEW_INVITATION</t>
  </si>
  <si>
    <t>ACTION_TALK_DIALOG_WAITER_W_INVITATION</t>
  </si>
  <si>
    <t>COND_OBSERVE_ITEM_OBJECT_OLIVE_BOWL</t>
  </si>
  <si>
    <t>ACTION_DIALOGUE_OBSERVE_ITEM_OBJECT_OLIVE_BOWL</t>
  </si>
  <si>
    <t>COND_TAKE_OLIVE_FROM_BOWL</t>
  </si>
  <si>
    <t>(NOT)EVENT_TOOK_OLIVE_FROM_BOWL</t>
  </si>
  <si>
    <t>ACTION_ANIMATE_MAINCHAR_TAKE_OLIVE, ACTION_EVENT_TOOK_OLIVE_FROM_BOWL, ACTION_OBTAIN_ITEM_PICKABLE_OLIVE</t>
  </si>
  <si>
    <t>COND_TAKE_OLIVE_FROM_BOWL_ALREADY</t>
  </si>
  <si>
    <t>ACTION_DIALOGUE_DONT_WANT_MORE</t>
  </si>
  <si>
    <t>COND_OBSERVE_ITEM_OBJECT_BEER_FULL</t>
  </si>
  <si>
    <t>ACTION_DIALOGUE_OBSERVE_ITEM_OBJECT_BEER_FULL</t>
  </si>
  <si>
    <t>COND_TAKE_BEER_FIRST_ROUND</t>
  </si>
  <si>
    <t>EVENT_BEER_JAR_READY, (NOT)EVENT_BEER_FIRST_ROUND</t>
  </si>
  <si>
    <t>ACTION_DESPAWN_ITEM_OBJECT_BEER_FULL, ACTION_EVENT_REMOVE_BEER_PLACED, ACTION_ANIMATE_MAINCHAR_DRINK_BEER, ACTION_EVENT_DRINK_FIRST_BEER_ROUND, ACTION_EVENT_DRUNK_STATE</t>
  </si>
  <si>
    <t>COND_TAKE_BEER_SECOND_ROUND</t>
  </si>
  <si>
    <t>EVENT_BEER_JAR_READY, (NOT)EVENT_BEER_SECOND_ROUND</t>
  </si>
  <si>
    <t>ACTION_DIALOGUE_SIMPLE_SECOND_BEER_COMMENT, ACTION_DESPAWN_ITEM_OBJECT_BEER_FULL, ACTION_EVENT_REMOVE_BEER_PLACED, ACTION_ANIMATE_MAINCHAR_DRINK_BEER, ACTION_EVENT_DRINK_SECOND_BEER_ROUND</t>
  </si>
  <si>
    <t>COND_TAKE_BEER_THIRD_ROUND</t>
  </si>
  <si>
    <t>EVENT_BEER_JAR_READY, (NOT)EVENT_BEER_THIRD_ROUND</t>
  </si>
  <si>
    <t>ACTION_DESPAWN_ITEM_OBJECT_BEER_FULL, ACTION_EVENT_REMOVE_BEER_PLACED, ACTION_ANIMATE_MAINCHAR_DRINK_BEER, ACTION_EVENT_DRINK_THIRD_BEER_ROUND, ACTION_DIALOGUE_SIMPLE_AFTER_THIRD_BEER_COMMENT</t>
  </si>
  <si>
    <t>COND_TALK_CLOWN_DRUNK</t>
  </si>
  <si>
    <t>EVENT_DRUNK_STATE, EVENT_BEER_THIRD_ROUND</t>
  </si>
  <si>
    <t>ACTION_DIALOGUE_CLOWN_DRUNK</t>
  </si>
  <si>
    <t>COND_TALK_ARTURO_DRUNK</t>
  </si>
  <si>
    <t>ACTION_DIALOGUE_ARTURO_DRUNK</t>
  </si>
  <si>
    <t>ACTION_DIALOGUE_OBSERVE_ITEM_PICKABLE_OLIVE</t>
  </si>
  <si>
    <t>COND_TALK_SILVANA_DRUNK</t>
  </si>
  <si>
    <t>EVENT_DRUNK_STATE, (NOT)EVENT_OLIVE_OFFERED</t>
  </si>
  <si>
    <t>ACTION_ANIMATE_SILVANA_CLOSING_BOOK_1, ACTION_ANIMATE_SILVANA_CLOSING_BOOK_2, ACTION_TALK_DIALOG_SILVANA_DRUNK</t>
  </si>
  <si>
    <t>COND_TALK_SILVANA_OLIVE</t>
  </si>
  <si>
    <t>ACTION_ANIMATE_SILVANA_CLOSING_BOOK_1, ACTION_ANIMATE_SILVANA_CLOSING_BOOK_2, ACTION_TALK_DIALOG_SILVANA_OLIVE</t>
  </si>
  <si>
    <t>COND_OBSERVE_ITEM_INNOCENT_PLANT</t>
  </si>
  <si>
    <t>ACTION_DIALOGUE_OBSERVE_ITEM_INNOCENT_PLANT</t>
  </si>
  <si>
    <t>ACTION_DIALOGUE_OBSERVE_BLADDER</t>
  </si>
  <si>
    <t>COND_USE_BLADDER_WITH_PLANT</t>
  </si>
  <si>
    <t>ACTION_LOSE_FULL_BLADDER, ACTION_ZOOM_PEE_ZONE, ACTION_EVENT_USED_ORINE_FLOWER, ACTION_DIALOGUE_ABOUT_PEE_PLANT</t>
  </si>
  <si>
    <t>COND_TALK_ITEM_NPC_SILVANA_EXTRAPERLO_GARD_SEAT</t>
  </si>
  <si>
    <t>ACTION_TALK_DIALOG_SILVANA_GARDEN_2</t>
  </si>
  <si>
    <t>COND_USE_BED_PENDING_DREAM_1</t>
  </si>
  <si>
    <t>EVENT_PENDING_DREAM_1</t>
  </si>
  <si>
    <t>ACTION_SET_GAME_ANIMATION_MODE, ACTION_ANIMATE_MAINCHAR_SIT_BED, ACTION_ZOOM_LAMP_BED, ACTION_SCENE_CHAPTER_SHOW_1</t>
  </si>
  <si>
    <t>COND_OBSERVE_ITEM_DREAM_RADIO</t>
  </si>
  <si>
    <t>CHARACTER_MAIN_DREAM</t>
  </si>
  <si>
    <t>ACTION_DIALOGUE_OBSERVE_ITEM_DREAM_RADIO</t>
  </si>
  <si>
    <t>COND_TAKE_DREAM_RADIO_ON</t>
  </si>
  <si>
    <t>(NOT)EVENT_EPHIMERAL_ON</t>
  </si>
  <si>
    <t>ACTION_EVENT_EPHIMERAL_ON, ACTION_SOUND_RADIO_DREAM_1</t>
  </si>
  <si>
    <t>COND_TAKE_DREAM_RADIO_OFF</t>
  </si>
  <si>
    <t>EVENT_EPHIMERAL_ON</t>
  </si>
  <si>
    <t>ACTION_EVENT_EPHIMERAL_OFF, ACTION_SOUND_STOP_RADIO_DREAM_1</t>
  </si>
  <si>
    <t>ACTION_DIALOGUE_OBSERVE_ITEM_CLASSROOM_PORTRAIT</t>
  </si>
  <si>
    <t>ACTION_DIALOGUE_OBSERVE_ITEM_DREAM_CLOCK</t>
  </si>
  <si>
    <t>COND_OBSERVE_ITEM_NPC_SULTAN</t>
  </si>
  <si>
    <t>ACTION_DIALOGUE_OBSERVE_ITEM_NPC_SULTAN</t>
  </si>
  <si>
    <t>COND_OBSERVE_ITEM_NPC_PILAR_DREAM_1</t>
  </si>
  <si>
    <t>ACTION_DIALOGUE_OBSERVE_ITEM_NPC_PILAR_DREAM_1</t>
  </si>
  <si>
    <t>COND_TALK_SULTAN_DREAM_1</t>
  </si>
  <si>
    <t>(NOT)EVENT_SULTAN_ATE_FOOD</t>
  </si>
  <si>
    <t>ACTION_DIALOGUE_SULTAN_1</t>
  </si>
  <si>
    <t>COND_TALK_ITEM_NPC_PILAR_DREAM_1</t>
  </si>
  <si>
    <t>ACTION_TALK_DIALOG_PILAR_DREAM_1</t>
  </si>
  <si>
    <t>ACTION_DIALOG_SULTAN_DID_NOT_EAT</t>
  </si>
  <si>
    <t>COND_TALK_ITEM_NPC_ALTER_EGO_1</t>
  </si>
  <si>
    <t>ACTION_TALK_DIALOG_ALTER_EGO_DREAM_1</t>
  </si>
  <si>
    <t>COND_OBSERVE_ITEM_NPC_ALTER_EGO_1</t>
  </si>
  <si>
    <t>ACTION_DIALOG_OBSERVE_ALTER_EGO_DREAM_1</t>
  </si>
  <si>
    <t>COND_OBSERVE_ITEM_FIG</t>
  </si>
  <si>
    <t>ACTION_DIALOGUE_OBSERVE_ITEM_FIG</t>
  </si>
  <si>
    <t>COND_TAKE_ITEM_FIG</t>
  </si>
  <si>
    <t>ACTION_OBTAIN_ITEM_FIG, ACTION_EVENT_FIG_PICKABLE_OBTAINED</t>
  </si>
  <si>
    <t>COND_USE_FIG_SULTAN</t>
  </si>
  <si>
    <t>ACTION_PLAY_SOUND_DOG_BARKING, ACTION_ANIMATE_SULTAN_BARKING, ACTION_EVENT_SULTAN_ATE_FOOD, ACTION_LOSE_FIG, ACTION_ANIMATE_MAINCHAR_DUCK_OFFERING, ACTION_ANIMATE_SULTAN_EATING, ACTION_DIALOGUE_MAINCHAR_FAREWELL_DREAM_1, ACTION_EVENT_PENDING_RECAP_DREAM_1</t>
  </si>
  <si>
    <t>COND_USE_SOAP_REME</t>
  </si>
  <si>
    <t>ACTION_DIALOGUE_REME_SOAP</t>
  </si>
  <si>
    <t>ACTION_SCENE_UNDER_BED</t>
  </si>
  <si>
    <t>COND_OBSERVE_ROOM_KEY_NOT_TAKEN</t>
  </si>
  <si>
    <t>ACTION_DIALOGUE_OBSERVE_ROOM_KEY_NOT_TAKEN</t>
  </si>
  <si>
    <t>COND_OBSERVE_ITEM_PICKABLE_COIN25</t>
  </si>
  <si>
    <t>ACTION_DIALOGUE_OBSERVE_ITEM_PICKABLE_COIN25</t>
  </si>
  <si>
    <t>COND_TAKE_ITEM_PICKABLE_COIN25</t>
  </si>
  <si>
    <t>(NOT)EVENT_COIN25_PICKABLE_TAKEN</t>
  </si>
  <si>
    <t>ACTION_DIALOGUE_TAKE_ITEM_PICKABLE_COIN25, ACTION_OBTAIN_ITEM_PICKABLE_COIN25, ACTION_EVENT_COIN25_PICKABLE_TAKEN, ACTION_DESTROY_ITEM_PICKABLE_COIN25</t>
  </si>
  <si>
    <t>COND_TAKE_HIVE_ROOM_KEY_PICKABLE</t>
  </si>
  <si>
    <t>(NOT)EVENT_HIVE_ROOM_KEY_PICKABLE_TAKEN</t>
  </si>
  <si>
    <t>ACTION_OBTAIN_ITEM_PICKABLE_HIVE_ROOM_KEY, ACTION_EVENT_HIVE_ROOM_KEY_TAKEN, ACTION_DESTROY_ITEM_PICKABLE_HIVE_ROOM_KEY</t>
  </si>
  <si>
    <t>COND_OBSERVE_DOOR_SERVICE_HIVE</t>
  </si>
  <si>
    <t>ACTION_DIALOGUE_OBSERVE_DOOR_SERVICE_HIVE</t>
  </si>
  <si>
    <t>COND_TRY_CROSS_SERVICE_DOOR_LOCKED</t>
  </si>
  <si>
    <t>(NOT)EVENT_USED_KEY_ON_SERVICE_DOOR</t>
  </si>
  <si>
    <t>ACTION_DIALOGUE_TRY_CROSS_DOOR_SERVICE_HIVE</t>
  </si>
  <si>
    <t>COND_USE_HIVE_KEY_SERVICE_DOOR</t>
  </si>
  <si>
    <t>ACTION_SET_GAME_ANIMATION_MODE, ACTION_MOVE_MAINCHAR_TO_UNLOCK_HIVE_POS, ACTION_ANIMATE_MAINCHAR_UNLOCKING_DOOR, ACTION_PLAY_SOUND_KEY_UNLOCKS_DOOR, ACTION_WAIT_2S, ACTION_DESTROY_SERVICE_DOOR_LOCKED, ACTION_EVENT_USED_KEY_ON_SERVICE_DOOR, ACTION_LOSE_ITEM_HIVE_KEY, ACTION_OBTAIN_ITEM_PICKABLE_HIVE_KEY_BROKEN, ACTION_REMOVE_GAME_ANIMATION_MODE, ACTION_DIALOG_AFTER_BREAK_KEY</t>
  </si>
  <si>
    <t>COND_OBSERVE_ITEM_GUMBALL_MACHINE</t>
  </si>
  <si>
    <t>ACTION_DIALOGUE_OBSERVE_ITEM_GUMBALL_MACHINE</t>
  </si>
  <si>
    <t>ACTION_DIALOGUE_OBSERVE_ITEM_MIX_JAR</t>
  </si>
  <si>
    <t>COND_OBSERVE_ITEM_PICKABLE_TAR_CAN</t>
  </si>
  <si>
    <t>ACTION_DIALOGUE_OBSERVE_ITEM_PICKABLE_TAR_CAN</t>
  </si>
  <si>
    <t>ACTION_DIALOGUE_OBSERVE_ITEM_PICKABLE_HIVE_KEY_BROKEN</t>
  </si>
  <si>
    <t>COND_OBSERVE_ITEM_SQUAT_WC</t>
  </si>
  <si>
    <t>ACTION_DIALOGUE_OBSERVE_ITEM_SQUAT_WC, ACTION_MEMENTO_ROACHES_1</t>
  </si>
  <si>
    <t>COND_OBSERVE_ITEM_SQUAT_WC_AFTER_INCIDENT</t>
  </si>
  <si>
    <t>EVENT_REME_MOVED</t>
  </si>
  <si>
    <t>ACTION_DIALOGUE_DIALOG_OBSERVE_ITEM_SQUAT_WC_AFTER_INCIDENT</t>
  </si>
  <si>
    <t>COND_USE_25COIN_GUMBALL_MACHINE</t>
  </si>
  <si>
    <t>ACTION_SET_GAME_ANIMATION_MODE, ACTION_ANIMATE_MAINCHAR_MANIP_BACK, ACTION_PLAY_SOUND_USE_COIN, ACTION_WAIT_0p5S, ACTION_PLAY_SOUND_USE_GUMBALL_MACHINE, ACTION_WAIT_6S, ACTION_OBTAIN_ITEM_PICKABLE_GUMBALL, ACTION_LOSE_ITEM_COIN25, ACTION_EVENT_ITEM_GUMBALL_TAKEN, ACTION_MOVE_MAINCHAR_TO_TALK_POINT, ACTION_REMOVE_GAME_ANIMATION_MODE, ACTION_DIALOGUE_OBTAINED_GUMBALL</t>
  </si>
  <si>
    <t>ACTION_DIALOGUE_OBSERVE_ITEM_PICKABLE_GUMBALL</t>
  </si>
  <si>
    <t>COND_OBSERVE_COIN_IN_CRACK</t>
  </si>
  <si>
    <t>ACTION_DIALOGUE_OBSERVE_COIN_IN_CRACK</t>
  </si>
  <si>
    <t>COND_TRY_TAKE_COIN_IN_CRACK</t>
  </si>
  <si>
    <t>ACTION_DIALOGUE_TRY_TAKE_COIN_IN_CRACK</t>
  </si>
  <si>
    <t>COND_TAKE_TAR_CAN</t>
  </si>
  <si>
    <t>ACTION_ANIMATE_MAINCHAR_GRAB_CORNERFRONT, ACTION_EVENT_ITEM_PICKABLE_TAR_CAN_PICKABLE_TAKEN, ACTION_DESTROY_TAR_CAN, ACTION_OBTAIN_ITEM_TAR_CAN, ACTION_DIALOGUE_OBTAIN_TAR_CAN</t>
  </si>
  <si>
    <t>COND_USE_IDEA_ROACHES_REME</t>
  </si>
  <si>
    <t>ACTION_EVENT_USED_IDEA_ROACHES_REME, ACTION_DIALOGUE_REME_IN_OPT_ROACHES</t>
  </si>
  <si>
    <t>EVENT_REME_SAID_SCARED_ROACHES</t>
  </si>
  <si>
    <t>INTERACTION_COMBINE</t>
  </si>
  <si>
    <t>ACTION_DIALOGUE_COMBINE_IDEA_REME_ROACHES, ACTION_MEMENTO_ROACHES_2, ACTION_EVENT_THOUGHT_ROACHES_MEMENTO_REME</t>
  </si>
  <si>
    <t>ACTION_DIALOGUE_OBSERVE_LAB_MAGAZINE, ACTION_EVENT_READ_LAB_MAGAZINE, ACTION_MEMENTO_HIVE_LAB_2</t>
  </si>
  <si>
    <t>COND_USE_ROACHES_IDEA_W_EXPERIMENT_TABLE</t>
  </si>
  <si>
    <t>EVENT_THOUGHT_ROACHES_MEMENTO_REME</t>
  </si>
  <si>
    <t>ACTION_EVENT_USED_IDEA_ROACHES_EXPERIMENT_TABLE, ACTION_SCENE_HIVE_LAB, ACTION_MEMENTO_HIVE_LAB_1, ACTION_DIALOGUE_MAINCHAR_LETS_EXPERIMENT, ACTION_ANIMATE_MAINCHAR_ABOUT_ENJOY</t>
  </si>
  <si>
    <t>COND_OBSERVE_EXPERIMENT_TABLE</t>
  </si>
  <si>
    <t>ACTION_DIALOGUE_OBSERVE_EXPERIMENT_TABLE</t>
  </si>
  <si>
    <t>COND_TAKE_EXPERIMENT_TABLE_NOT</t>
  </si>
  <si>
    <t>(NOT)EVENT_USED_IDEA_ROACHES_EXPERIMENT_TABLE</t>
  </si>
  <si>
    <t>ACTION_DIALOGUE_TAKE_EXPERIMENT_TABLE</t>
  </si>
  <si>
    <t>COND_TAKE_EXPERIMENT_TABLE_NOT2</t>
  </si>
  <si>
    <t>EVENT_MIX_JAR_IN_INVENTORY</t>
  </si>
  <si>
    <t>ACTION_DIALOGUE_MAINCHAR_MUST_RETURN_JUG</t>
  </si>
  <si>
    <t>COND_TAKE_EXPERIMENT_TABLE</t>
  </si>
  <si>
    <t>EVENT_USED_IDEA_ROACHES_EXPERIMENT_TABLE, (NOT)EVENT_MIX_JAR_IN_INVENTORY</t>
  </si>
  <si>
    <t>ACTION_ANIMATE_MAINCHAR_ABOUT_ENJOY, ACTION_SCENE_HIVE_LAB</t>
  </si>
  <si>
    <t>COND_OBSERVE_ITEM_PICKABLE_LAB_FLOORWASHER</t>
  </si>
  <si>
    <t>ACTION_DIALOGUE_OBSERVE_ITEM_PICKABLE_LAB_FLOORWASHER</t>
  </si>
  <si>
    <t>COND_OBSERVE_ITEM_PICKABLE_LAB_DETERGENT</t>
  </si>
  <si>
    <t>ACTION_DIALOGUE_OBSERVE_ITEM_PICKABLE_LAB_DETERGENT</t>
  </si>
  <si>
    <t>COND_OBSERVE_ITEM_PICKABLE_LAB_INSECTICIDE</t>
  </si>
  <si>
    <t>ACTION_DIALOGUE_OBSERVE_ITEM_PICKABLE_LAB_INSECTICIDE</t>
  </si>
  <si>
    <t>COND_OBSERVE_ITEM_PICKABLE_LAB_VARNISH</t>
  </si>
  <si>
    <t>ACTION_DIALOGUE_OBSERVE_ITEM_PICKABLE_LAB_VARNISH</t>
  </si>
  <si>
    <t>COND_OBSERVE_ITEM_RUSTY_SPRING</t>
  </si>
  <si>
    <t>ACTION_DIALOGUE_OBSERVE_ITEM_RUSTY_SPRING</t>
  </si>
  <si>
    <t>COND_USE_BROKEN_KEY_RUSTY_SPRING</t>
  </si>
  <si>
    <t>EVENT_READ_LAB_MAGAZINE, (NOT)EVENT_SCRATCHED_RUSTY_SPRING</t>
  </si>
  <si>
    <t>ACTION_SET_GAME_ANIMATION_MODE, ACTION_SPAWN_KEY_SCRATCHER, ACTION_ANIMATE_KEY_SCRATCHER, ACTION_ANIMATE_KEY_SCRATCHER_2, ACTION_PLAY_SOUND_METAL_SCRATCHING, ACTION_SPAWN_RUST_UNITS_GENERATOR, ACTION_WAIT_4S, ACTION_DESPAWN_KEY_SCRATCHER, ACTION_WAIT_2S, ACTION_EVENT_SCRATCHED_RUSTY_SPRING, ACTION_REMOVE_GAME_ANIMATION_MODE</t>
  </si>
  <si>
    <t>COND_USE_BROKEN_KEY_RUSTY_SPRING_NOT</t>
  </si>
  <si>
    <t>(NOT)EVENT_READ_LAB_MAGAZINE</t>
  </si>
  <si>
    <t>ACTION_DIALOGUE_NONSENSE_NOT_THOUGHT</t>
  </si>
  <si>
    <t>COND_USE_BROKEN_KEY_RUSTY_SPRING_NOT_2</t>
  </si>
  <si>
    <t>EVENT_SCRATCHED_RUSTY_SPRING</t>
  </si>
  <si>
    <t>COND_OBSERVE_ITEM_RUST_POWDER</t>
  </si>
  <si>
    <t>ACTION_DIALOGUE_OBSERVE_ITEM_RUST_POWDER</t>
  </si>
  <si>
    <t>COND_TAKE_ITEM_RUST_POWDER</t>
  </si>
  <si>
    <t>ACTION_DESPAWN_RUST_POWDER, ACTION_OBTAIN_RUST_POWDER, ACTION_EVENT_OBTAINED_RUST_POWDER, ACTION_DESPAWN_RUST_UNITS_GENERATOR</t>
  </si>
  <si>
    <t>COND_TAKE_FLOORWASHER</t>
  </si>
  <si>
    <t>ACTION_PICK_EXTPICKABLE_FLOORWASHER</t>
  </si>
  <si>
    <t>COND_TAKE_DETERGENT</t>
  </si>
  <si>
    <t>ACTION_PICK_EXTPICKABLE_DETERGENT</t>
  </si>
  <si>
    <t>COND_TAKE_INSECTICIDE</t>
  </si>
  <si>
    <t>ACTION_PICK_EXTPICKABLE_INSECTICIDE</t>
  </si>
  <si>
    <t>COND_TAKE_VARNISH</t>
  </si>
  <si>
    <t>ACTION_PICK_EXTPICKABLE_VARNISH</t>
  </si>
  <si>
    <t>COND_USE_FLOORWASHER_JUG</t>
  </si>
  <si>
    <t>ACTION_USE_FLOORWASHER_JUG</t>
  </si>
  <si>
    <t>COND_USE_DETERGENT_JUG</t>
  </si>
  <si>
    <t>ACTION_USE_DETERGENT_JUG</t>
  </si>
  <si>
    <t>COND_USE_INSECTICIDE_JUG</t>
  </si>
  <si>
    <t>ACTION_USE_INSECTICIDE_JUG</t>
  </si>
  <si>
    <t>COND_USE_VARNISH_JUG</t>
  </si>
  <si>
    <t>ACTION_USE_VARNISH_JUG</t>
  </si>
  <si>
    <t>COND_USE_RUST_JUG</t>
  </si>
  <si>
    <t>ACTION_USE_RUST_JUG</t>
  </si>
  <si>
    <t>COND_OBSERVE_IMPERFECT_MIX_JAR</t>
  </si>
  <si>
    <t>ACTION_DIALOGUE_OBSERVE_IMPERFECT_MIX_JAR</t>
  </si>
  <si>
    <t>COND_OBSERVE_PERFECT_MIX_JAR</t>
  </si>
  <si>
    <t>ACTION_DIALOGUE_OBSERVE_PERFECT_MIX_JAR</t>
  </si>
  <si>
    <t>COND_TAKE_IMPERFECT_MIX_JAR</t>
  </si>
  <si>
    <t>(NOT)EVENT_MIX_JAR_IN_INVENTORY, EVENT_LAB_STARTED_MIX, (NOT)EVENT_LAB_PERFECT_MIX</t>
  </si>
  <si>
    <t>ACTION_ANIMATE_MAINCHAR_GRAB_CORNERFRONT, ACTION_OBTAIN_ITEM_IMPERFECT_MIX_JAR, ACTION_DESPAWN_IMPERFECT_MIX_JAR, ACTION_EVENT_MIX_JAR_IN_INVENTORY, ACTION_CUSTOM_RESET_LAB_MISC_VALUES</t>
  </si>
  <si>
    <t>COND_TAKE_PERFECT_MIX_JAR</t>
  </si>
  <si>
    <t>(NOT)EVENT_MIX_JAR_IN_INVENTORY, EVENT_LAB_PERFECT_MIX</t>
  </si>
  <si>
    <t>ACTION_ANIMATE_MAINCHAR_GRAB_CORNERFRONT, ACTION_OBTAIN_ITEM_PERFECT_MIX_JAR, ACTION_DESPAWN_PERFECT_MIX_JAR, ACTION_EVENT_MIX_JAR_IN_INVENTORY, ACTION_STOP_SOUND_MIX_JAR_BUBBLES, ACTION_CUSTOM_RESET_LAB_MISC_VALUES</t>
  </si>
  <si>
    <t>COND_USE_IMPERFECT_MIX_JAR_SQUAT_WC</t>
  </si>
  <si>
    <t>ACTION_LOSE_IMPERFECT_MIX_JAR, ACTION_CLEAR_EVENT_LAB_STARTED_MIX, ACTION_EARN_EMPTY_MIX_JAR, ACTION_ANIMATION_POUR_GREEN_MIX</t>
  </si>
  <si>
    <t>COND_USE_EMPTY_MIX_JAR_LAB_DESK</t>
  </si>
  <si>
    <t>EVENT_MIX_JAR_IN_INVENTORY, (NOT)EVENT_ROACHES_MOB_STARTED</t>
  </si>
  <si>
    <t>ACTION_DIALOGUE_MAINCHAR_TRY_AGAIN_LAB, ACTION_ANIMATE_MAINCHAR_GRAB_CORNERFRONT, ACTION_LOSE_EMPTY_MIX_JAR, ACTION_CLEAR_EVENT_MIX_JAR_IN_INVENTORY, ACTION_SPAWN_MIX_JAR</t>
  </si>
  <si>
    <t>COND_USE_PERFECT_MIX_JAR_SQUAT_WC</t>
  </si>
  <si>
    <t>EVENT_MIX_JAR_IN_INVENTORY, (NOT)EVENT_ROACHES_MOB_STARTED, EVENT_LAB_PERFECT_MIX</t>
  </si>
  <si>
    <t>ACTION_LOSE_PERFECT_MIX_JAR, ACTION_EARN_EMPTY_MIX_JAR, ACTION_CLEAR_EVENT_MIX_JAR_IN_INVENTORY, ACTION_CLEAR_EVENT_LAB_STARTED_MIX, ACTION_ANIMATION_POUR_RED_MIX, ACTION_EVENT_ROACHES_MOB_STARTED, ACTION_DIALOGUE_MAINCHAR_LETS_FLEE_FROM_SRV_ROOM, ACTION_SET_GAME_ANIMATION_MODE, ACTION_WAIT_0p5S, ACTION_MOVE_MAINCHAR_EXIT_SRV_ROOM, ACTION_CHANGE_SCENE_HIVE_CORRIDOR</t>
  </si>
  <si>
    <t>COND_AVOID_USE_BED_1</t>
  </si>
  <si>
    <t>(NOT)EVENT_MANYO_LOOK_FOR_RECIPE_MISSION</t>
  </si>
  <si>
    <t>ACTION_DIALOGUE_MAINCHAR_NOT_NEED_SLEEP</t>
  </si>
  <si>
    <t>COND_OBSERVE_MANYO_OWNER</t>
  </si>
  <si>
    <t>ACTION_DIALOGUE_OBSERVE_MANYO_OWNER</t>
  </si>
  <si>
    <t>COND_TALK_MATRIARCH</t>
  </si>
  <si>
    <t>ACTION_ANIMATE_MATRIARCH_SET_STEADY_LISTEN, ACTION_ANIMATE_MATRIARCH_STEADY_TO_LISTEN, ACTION_DIALOGUE_MATRIARCH</t>
  </si>
  <si>
    <t>COND_USE_RECIPE_IDEA_MATRIARCH</t>
  </si>
  <si>
    <t>ACTION_ANIMATE_MATRIARCH_SET_STEADY_LISTEN, ACTION_ANIMATE_MATRIARCH_STEADY_TO_LISTEN, ACTION_EVENT_USED_RECIPE_IDEA_MATRIARCH, ACTION_DIALOGUE_MATRIARCH_RECIPE_OPT</t>
  </si>
  <si>
    <t>COND_OBSERVE_MATRIARCH</t>
  </si>
  <si>
    <t>ACTION_DIALOGUE_OBSERVE_MATRIARCH</t>
  </si>
  <si>
    <t>COND_LAST</t>
  </si>
  <si>
    <t>UNCHAIN_ID</t>
  </si>
  <si>
    <t>OnlyByRequest</t>
  </si>
  <si>
    <t>Repeat (reloaded several times in same Scene)</t>
  </si>
  <si>
    <t>IsOneShot (not linked to scene items)</t>
  </si>
  <si>
    <t>IgnoreIfEvent</t>
  </si>
  <si>
    <t>UNCHAIN_NONE</t>
  </si>
  <si>
    <t>UNCHAIN_ROOM1_INITIAL_MEMENTO_1</t>
  </si>
  <si>
    <t>EVENT_FIRST</t>
  </si>
  <si>
    <t>ACTION_EVENT_INITIAL_MEMENTO, ACTION_MEMENTO_INITIAL_MEMENTO</t>
  </si>
  <si>
    <t>UNCHAIN_HIVE1_OPEN_CHEST_2</t>
  </si>
  <si>
    <t>ACTION_SET_SPRITE_CHEST_OPENED, ACTION_SPAWN_HIVE1_PERFUME</t>
  </si>
  <si>
    <t>UNCHAIN_HIVE1_CLOSE_CHEST_2</t>
  </si>
  <si>
    <t>ACTION_SET_SPRITE_CHEST_CLOSED, ACTION_DESPAWN_HIVE1_PERFUME</t>
  </si>
  <si>
    <t>UNCHAIN_CARDS_PICKABLE_TAKE_1</t>
  </si>
  <si>
    <t>EVENT_CARDS_PICKABLE_TAKEN</t>
  </si>
  <si>
    <t>ACTION_DESTROY_HIVE1_CARDS</t>
  </si>
  <si>
    <t>UNCHAIN_HIVE1_OPEN_WARDROBE_1</t>
  </si>
  <si>
    <t>ACTION_SPAWN_HIVE1_WARDROBE_OPENED, ACTION_DESPAWN_HIVE1_WARDROBE</t>
  </si>
  <si>
    <t>UNCHAIN_HIVE1_OPEN_WARDROBE_2</t>
  </si>
  <si>
    <t>EVENT_SOAP_PICKABLE_TAKEN</t>
  </si>
  <si>
    <t>ACTION_SPAWN_SOAP</t>
  </si>
  <si>
    <t>UNCHAIN_HIVE1_CLOSE_WARDROBE_1</t>
  </si>
  <si>
    <t>ACTION_SPAWN_HIVE1_WARDROBE, ACTION_DESPAWN_HIVE1_WARDROBE_OPENED</t>
  </si>
  <si>
    <t>UNCHAIN_HIVE1_CLOSE_WARDROBE_2</t>
  </si>
  <si>
    <t>ACTION_DESPAWN_SOAP</t>
  </si>
  <si>
    <t>UNCHAIN_SOAP_PICKABLE_TAKE_1</t>
  </si>
  <si>
    <t>ACTION_DESTROY_SOAP</t>
  </si>
  <si>
    <t>UNCHAIN_REME_DAY</t>
  </si>
  <si>
    <t>(NOT)EVENT_REME_MOVED</t>
  </si>
  <si>
    <t>ACTION_SPAWN_REME_DAY</t>
  </si>
  <si>
    <t>UNCHAIN_PHARMACY_DOOR_AVAIL</t>
  </si>
  <si>
    <t>ACTION_SPAWN_PHARMACY_DOOR</t>
  </si>
  <si>
    <t>UNCHAIN_MANYO_OWNER</t>
  </si>
  <si>
    <t>ACTION_SPAWN_MANYO_OWNER_DAY</t>
  </si>
  <si>
    <t>UNCHAIN_MANYO_OWNER_NIGHT</t>
  </si>
  <si>
    <t>ACTION_SPAWN_MANYO_OWNER_NIGHT</t>
  </si>
  <si>
    <t>UNCHAIN_UMBRELLA_TAKE_1</t>
  </si>
  <si>
    <t>EVENT_UMBRELLA_PICKABLE_TAKEN</t>
  </si>
  <si>
    <t>ACTION_DESTROY_UMBRELLA</t>
  </si>
  <si>
    <t>UNCHAIN_ITEM_HIVE1_POOR_MAN_WC_SPAWN</t>
  </si>
  <si>
    <t>EVENT_MANYO_LOOK_FOR_RECIPE_MISSION, (NOT)EVENT_HIVE1_VALVE_ACTIVATED</t>
  </si>
  <si>
    <t>ACTION_SPAWN_HIVE1_POOR_MAN_WC</t>
  </si>
  <si>
    <t>UNCHAIN_ITEM_HIVE1_ROACH_HEAD_SPAWN</t>
  </si>
  <si>
    <t>(NOT)EVENT_COCKROACH_CHEATED</t>
  </si>
  <si>
    <t>ACTION_SPAWN_HIVE1_ROACH_HEAD</t>
  </si>
  <si>
    <t>UNCHAIN_ITEM_HIVE1_ROACH_HEAD_DESPAWN</t>
  </si>
  <si>
    <t>EVENT_COCKROACH_SCARED</t>
  </si>
  <si>
    <t>ACTION_DESPAWN_HIVE1_ROACH_HEAD</t>
  </si>
  <si>
    <t>UNCHAIN_REBUILD_COCHROACH_SCARED</t>
  </si>
  <si>
    <t>EVENT_COCKROACH_SCARED, (NOT)EVENT_COCKROACH_CHEATED</t>
  </si>
  <si>
    <t>ACTION_EVENT_REBUILD_ROACH_SCARED</t>
  </si>
  <si>
    <t>UNCHAIN_ITEM_HIVE1_SHOELACE_TAKE_1</t>
  </si>
  <si>
    <t>EVENT_ITEM_HIVE1_SHOELACE_PICKABLE_TAKEN</t>
  </si>
  <si>
    <t>ACTION_DESTROY_HIVE1_SHOELACE</t>
  </si>
  <si>
    <t>UNCHAIN_ITEM_HIVE1_VALVE_BOX_DESPAWN</t>
  </si>
  <si>
    <t>EVENT_VALVE_BOX_OPENED</t>
  </si>
  <si>
    <t>ACTION_DESTROY_HIVE1_VALVE_BOX, ACTION_SPAWN_HIVE1_VALVE</t>
  </si>
  <si>
    <t>UNCHAIN_ITEM_HIVE1_MAN_WC_CURED_SPAWN</t>
  </si>
  <si>
    <t>EVENT_HIVE1_VALVE_ACTIVATED, (NOT)EVENT_TALKED_ARTURO_HALL_INN_COMPLETED</t>
  </si>
  <si>
    <t>ACTION_SPAWN_HIVE1_MAN_WC_CURED</t>
  </si>
  <si>
    <t>UNCHAIN_INK_SPAWN</t>
  </si>
  <si>
    <t>EVENT_INKWELL_WASTED</t>
  </si>
  <si>
    <t>ACTION_DESPAWN_INKWELL, ACTION_SPAWN_INK</t>
  </si>
  <si>
    <t>UNCHAIN_FIK_SPAWN</t>
  </si>
  <si>
    <t>ACTION_SPAWN_FIK_1, ACTION_SPWAN_GERMAN_1</t>
  </si>
  <si>
    <t>UNCHAIN_MANYO_BCKG_DIALOGUE</t>
  </si>
  <si>
    <t>ACTION_DIALOGUE_MANYO_BCKG</t>
  </si>
  <si>
    <t>UNCHAIN_POOR_MAN_WC_BCKG_DIALOGUE</t>
  </si>
  <si>
    <t>ACTION_DIALOGUE_TALK_POOR_MAN_WC_BCKG</t>
  </si>
  <si>
    <t>UNCHAIN_EXTRAPERLO_DOOR</t>
  </si>
  <si>
    <t>ACTION_SPAWN_EXTRAPERLO_DOOR</t>
  </si>
  <si>
    <t>UNCHAIN_SHOW_EXTRAPERLO_DOOR_OPENED</t>
  </si>
  <si>
    <t>EVENT_EXTRAPERLO_SAID_PHRASE</t>
  </si>
  <si>
    <t>ACTION_SPAWN_EXTRAPERLO_WALL, ACTION_DESPAWN_EXTRAPERLO_DOOR, ACTION_SPAWN_EXTRAPERLO_DOOR_REAL</t>
  </si>
  <si>
    <t>UNCHAIN_SET_SPRITE_WATER_FLOWING_DAY</t>
  </si>
  <si>
    <t>ACTION_ANIMATE_WATER_FLOWING_DAY</t>
  </si>
  <si>
    <t>UNCHAIN_SET_SPRITE_WATER_FLOWING_NIGHT</t>
  </si>
  <si>
    <t>ACTION_ANIMATE_WATER_FLOWING_NIGHT</t>
  </si>
  <si>
    <t>UNCHAINER_ITEM_OBJECT_OLIVE_BOWL_SPAWN</t>
  </si>
  <si>
    <t>EVENT_WAITER_EXTRAPERLO_GAVE_OLIVES</t>
  </si>
  <si>
    <t>ACTION_SPAWN_ITEM_OBJECT_OLIVE_BOWL</t>
  </si>
  <si>
    <t>UNCHAINER_ITEM_OBJECT_BEER_FULL_SPAWN</t>
  </si>
  <si>
    <t>EVENT_BEER_JAR_READY</t>
  </si>
  <si>
    <t>ACTION_SPAWN_ITEM_OBJECT_BEER_FULL</t>
  </si>
  <si>
    <t>UNCHAINER_DIALOG_MAINCHAR_NEED_ORINE</t>
  </si>
  <si>
    <t>EVENT_NEED_ORINE_SAID</t>
  </si>
  <si>
    <t>(NOT)EVENT_NEED_ORINE_SAID</t>
  </si>
  <si>
    <t>ACTION_EVENT_NEED_ORINE_SAID, ACTION_OBTAIN_FULL_BLADDER, ACTION_DIALOGUE_SIMPLE_MAINCHAR_NEED_ORINE</t>
  </si>
  <si>
    <t>UNCHAIN_SILVANA_GARDEN_SPAWN</t>
  </si>
  <si>
    <t>EVENT_USED_ORINE_FLOWER</t>
  </si>
  <si>
    <t>ACTION_SPAWN_SILVANA_GARDEN</t>
  </si>
  <si>
    <t>UNCHAINER_DIALOG_SILVANA_MAINCHAR_GARDEN_LONG</t>
  </si>
  <si>
    <t>UNCHAIN_RECAP_EXTRAPERLO_GARDEN_IN_ROOM</t>
  </si>
  <si>
    <t>(NOT)EVENT_PENDING_RECAP_EXTRAPERLO_GARDEN</t>
  </si>
  <si>
    <t>EVENT_PENDING_RECAP_EXTRAPERLO_GARDEN</t>
  </si>
  <si>
    <t>ACTION_DIALOGUE_MAINCHAR_RECAP_EXTRAPERLO, ACTION_EVENT_REMOVE_PENDING_RECAP_EXTRAPERLO_GARDEN</t>
  </si>
  <si>
    <t>UNCHAIN_ENTRY_DIALOG_DREAM_1</t>
  </si>
  <si>
    <t>ACTION_EVENT_REMOVE_PENDING_DREAM_1, ACTION_DIALOGUE_MAINCHAR_ENTRY_DREAM_1, ACTION_EVENT_PENDING_DESCRIBE_DREAM_FRAMEWORK</t>
  </si>
  <si>
    <t>UNCHAIN_PLAY_SOUND_CHAPTER_IN</t>
  </si>
  <si>
    <t>ACTION_PLAY_SOUND_CHAPTER_IN</t>
  </si>
  <si>
    <t>UNCHAIN_CLEAR_EPHIMERAL_ON</t>
  </si>
  <si>
    <t>ACTION_EVENT_EPHIMERAL_OFF</t>
  </si>
  <si>
    <t>UNCHAIN_ENTRY_DIALOG_DREAM_1_FRAMEWORK</t>
  </si>
  <si>
    <t>EVENT_PENDING_DESCRIBE_DREAM_FRAMEWORK</t>
  </si>
  <si>
    <t>ACTION_EVENT_REMOVE_DESCRIBE_DREAM_FRAMEWORK, ACTION_DIALOGUE_MAINCHAR_ENTRY_DREAM_1_FRAMEWORK</t>
  </si>
  <si>
    <t>UNCHAIN_ENTRY_DIALOG_DREAM_1_BED_PILAR</t>
  </si>
  <si>
    <t>ACTION_TALK_DIALOG_PILAR_BED_DREAM_1</t>
  </si>
  <si>
    <t>UNCHAIN_SOUND_FEMALE_CRY</t>
  </si>
  <si>
    <t>ACTION_SOUND_DREAM_FEMALE_CRY</t>
  </si>
  <si>
    <t>UNCHAIN_ALTER_EGO_DREAM_1_SPAWN</t>
  </si>
  <si>
    <t>(NOT)EVENT_ALTER_EGO_DREAM_1_TALKED</t>
  </si>
  <si>
    <t>ACTION_SPAWN_ALTER_EGO</t>
  </si>
  <si>
    <t>UNCHAINER_ITEM_FIG_TAKE_1</t>
  </si>
  <si>
    <t>EVENT_ITEM_FIG_PICKABLE_TAKEN</t>
  </si>
  <si>
    <t>ACTION_DESTROY_ITEM_FIG</t>
  </si>
  <si>
    <t>UNCHAIN_RECAP_DREAM_1</t>
  </si>
  <si>
    <t>(NOT)EVENT_PENDING_RECAP_DREAM_1</t>
  </si>
  <si>
    <t>EVENT_PENDING_RECAP_DREAM_1</t>
  </si>
  <si>
    <t>ACTION_DIALOGUE_MAINCHAR_RECAP_DREAM_1, ACTION_EVENT_CLEAR_PENDING_RECAP_DREAM_1</t>
  </si>
  <si>
    <t>UNCHAIN_SOUND_WATER_FLOWING</t>
  </si>
  <si>
    <t>ACTION_PLAY_SOUND_WATER_FLOW</t>
  </si>
  <si>
    <t>UNCHAIN_REME_BLOCKS_PATH</t>
  </si>
  <si>
    <t>ACTION_ANIMATE_REME_BLOCK_PATH, ACTION_MOVE_MAINCHAR_TO_FALLBACK_REME, ACTION_DIALOGUE_REME_BLOCKING_PATH, ACTION_MEMENTO_REME_1</t>
  </si>
  <si>
    <t>UNCHAINER_ITEM_PICKABLE_COIN25_SPAWN</t>
  </si>
  <si>
    <t>ACTION_SPAWN_ITEM_PICKABLE_COIN25</t>
  </si>
  <si>
    <t>UNCHAIN_ITEM_HIVE_ROOM_KEY_SPAWN</t>
  </si>
  <si>
    <t>ACTION_SPAWN_ITEM_PICKABLE_HIVE_ROOM_KEY</t>
  </si>
  <si>
    <t>UNCHAIN_SPAWN_SERVICE_LOCKED_DOOR</t>
  </si>
  <si>
    <t>ACTION_SPAWN_SERVICE_DOOR_LOCKED</t>
  </si>
  <si>
    <t>UNCHAIN_SPAWN_SERVICE_OPENED_DOOR</t>
  </si>
  <si>
    <t>EVENT_USED_KEY_ON_SERVICE_DOOR</t>
  </si>
  <si>
    <t>ACTION_SPAWN_SERVICE_DOOR_OPENED</t>
  </si>
  <si>
    <t>UNCHAINER_ITEM_MIX_JAR_TAKE_1</t>
  </si>
  <si>
    <t>EVENT_ITEM_MIX_JAR_PICKABLE_TAKEN</t>
  </si>
  <si>
    <t>ACTION_DESTROY_ITEM_MIX_JAR</t>
  </si>
  <si>
    <t>UNCHAINER_ITEM_PICKABLE_TAR_CAN_TAKE_1</t>
  </si>
  <si>
    <t>EVENT_ITEM_PICKABLE_TAR_CAN_PICKABLE_TAKEN</t>
  </si>
  <si>
    <t>ACTION_DESTROY_ITEM_PICKABLE_TAR_CAN</t>
  </si>
  <si>
    <t>UNCHAINER_UNCLICKABLE_CLATTERING_COIN</t>
  </si>
  <si>
    <t>(NOT)EVENT_ITEM_GUMBALL_TAKEN</t>
  </si>
  <si>
    <t>ACTION_UNCLICKABLE_CLATTERING_COIN</t>
  </si>
  <si>
    <t>UNCHAIN_DESTROY_CLATTERING_COIN</t>
  </si>
  <si>
    <t>EVENT_COIN_IN_CRACK</t>
  </si>
  <si>
    <t>ACTION_DESTROY_CLATTERING_COIN</t>
  </si>
  <si>
    <t>UNCHAIN_SPAWN_COIN_IN_CRACK</t>
  </si>
  <si>
    <t>ACTION_SPAWN_COIN_IN_CRACK</t>
  </si>
  <si>
    <t>UNCHAIN_DESTROY_TAR_CAN</t>
  </si>
  <si>
    <t>ACTION_DESTROY_TAR_CAN</t>
  </si>
  <si>
    <t>UNCHIAN_UNCLICKABLE_GIANT_ROACH</t>
  </si>
  <si>
    <t>ACTION_UNCLICKABLE_GIANT_ROACH</t>
  </si>
  <si>
    <t>UNCHAIN_UNSPAWN_KEY_SCRATCHER</t>
  </si>
  <si>
    <t>ACTION_DESPAWN_KEY_SCRATCHER, ACTION_DESPAWN_RUST_UNITS_GENERATOR</t>
  </si>
  <si>
    <t>UNCHAIN_RUST_POWDER_SPAWN</t>
  </si>
  <si>
    <t>EVENT_SCRATCHED_RUSTY_SPRING, (NOT)EVENT_OBTAINED_RUST_POWDER</t>
  </si>
  <si>
    <t>ACTION_SPAWN_RUST_POWDER</t>
  </si>
  <si>
    <t>UNCHAIN_FALLBACK_SET_SPRITE_RUST_POWDER</t>
  </si>
  <si>
    <t>ACTION_FALLBACK_SET_SPRITE_RUST_POWDER</t>
  </si>
  <si>
    <t>UNCHAIN_RECOVER_JUG_LIQUID_VALUE</t>
  </si>
  <si>
    <t>ACTION_CUSTOM_RECOVER_JUG_LIQUID_VALUE</t>
  </si>
  <si>
    <t>UNCHAIN_SERVICE_ROOM_JAR_INIT_STATE</t>
  </si>
  <si>
    <t>ACTION_CUSTOM_SERVICE_ROOM_JAR_INIT_STATE</t>
  </si>
  <si>
    <t>UNCHAIN_ROACHES_MOB_TRIGGER</t>
  </si>
  <si>
    <t>EVENT_ROACHES_MOB_STARTED, (NOT)EVENT_REME_MOVED</t>
  </si>
  <si>
    <t>ACTION_SET_GAME_ANIMATION_MODE, ACTION_MOVE_MAINCHAR_OBSERVE_SWARM, ACTION_ANIMATE_REME_HEAR, ACTION_WAIT_2S, ACTION_ANIMATION_ROACH_MOB, ACTION_DESPAWN_REME_1, ACTION_DIALOGUE_MAINCHAR_AFTERMATH_ROACH_SWARM, ACTION_ZOOM_ALL_END_GARDEN_SCENE, ACTION_EVENT_REME_MOVED</t>
  </si>
  <si>
    <t>UNCHAIN_STREET1_FACHADE_ONLY_NIGHT</t>
  </si>
  <si>
    <t>ACTION_HIDE_STREET1_FACHADE, ACTION_HIDE_STREET1_BLIND</t>
  </si>
  <si>
    <t>UNCHAIN_STREET1_FACHADE_ONLY_DAY</t>
  </si>
  <si>
    <t>ACTION_SHOW_STREET1_FACHADE, ACTION_SHOW_STREET1_BLIND</t>
  </si>
  <si>
    <t>UNCHAIN_STREET2_PEOPLE_ONLY_DAY</t>
  </si>
  <si>
    <t>ACTION_SHOW_STREET1_FACHADE</t>
  </si>
  <si>
    <t>UNCHAIN_PLAY_SOUND_PHARMACY_VISIT_ENTER</t>
  </si>
  <si>
    <t>ACTION_PLAY_SOUND_PHARMACY_VISIT_ENTER</t>
  </si>
  <si>
    <t>UNCHAIN_LAST</t>
  </si>
  <si>
    <t>ACTION_ID</t>
  </si>
  <si>
    <t>WaitForEnd</t>
  </si>
  <si>
    <t>Type</t>
  </si>
  <si>
    <t>TargetItem</t>
  </si>
  <si>
    <t>TargetSprite</t>
  </si>
  <si>
    <t>TargetCharacter</t>
  </si>
  <si>
    <t>TargetMemento</t>
  </si>
  <si>
    <t>TargetEvents</t>
  </si>
  <si>
    <t>TargetDecision</t>
  </si>
  <si>
    <t>TargetMomentOfDay</t>
  </si>
  <si>
    <t>TargetDialogue</t>
  </si>
  <si>
    <t>TargetDialogueOption</t>
  </si>
  <si>
    <t>TargetPhrase</t>
  </si>
  <si>
    <t>TriggerAnimation</t>
  </si>
  <si>
    <t>TargetAnimation</t>
  </si>
  <si>
    <t>TargetSound</t>
  </si>
  <si>
    <t>TargetScene</t>
  </si>
  <si>
    <t>TargetWaypointTag</t>
  </si>
  <si>
    <t>OptionBoolNullable1</t>
  </si>
  <si>
    <t>OptionBoolNullable2</t>
  </si>
  <si>
    <t>OptionInt</t>
  </si>
  <si>
    <t>Delay (ms)</t>
  </si>
  <si>
    <t>CustomFunction</t>
  </si>
  <si>
    <t>TargetCardGame</t>
  </si>
  <si>
    <t>ACTION_TYPE_NONE</t>
  </si>
  <si>
    <t>MEMENTO_NONE</t>
  </si>
  <si>
    <t>DECISION_NONE</t>
  </si>
  <si>
    <t>DIALOG_NONE</t>
  </si>
  <si>
    <t>DIALOG_OPTION_NONE</t>
  </si>
  <si>
    <t>PHRASE_NONE</t>
  </si>
  <si>
    <t>ANIMATION_TRIGGER_ZERO</t>
  </si>
  <si>
    <t>ANIMATION_NONE</t>
  </si>
  <si>
    <t>SOUND_NONE</t>
  </si>
  <si>
    <t>ROOM_NONE</t>
  </si>
  <si>
    <t>NONE</t>
  </si>
  <si>
    <t>CUSTOM_FUNCTION_NONE</t>
  </si>
  <si>
    <t>CARD_GAME_NONE</t>
  </si>
  <si>
    <t>ACTION_DAY_MOMENT_DAY</t>
  </si>
  <si>
    <t>ACTION_TYPE_CHANGE_MOMENT_DAY</t>
  </si>
  <si>
    <t>ACTION_DAY_MOMENT_NIGHT</t>
  </si>
  <si>
    <t>ACTION_EVENT_INITIAL_MEMENTO</t>
  </si>
  <si>
    <t>ACTION_TYPE_EVENT</t>
  </si>
  <si>
    <t>ACTION_MEMENTO_INITIAL_MEMENTO</t>
  </si>
  <si>
    <t>ACTION_TYPE_MEMENTO</t>
  </si>
  <si>
    <t>MEMENTO_JOB_FIND_1_1</t>
  </si>
  <si>
    <t>ACTION_SET_SPRITE_CHEST_OPENED</t>
  </si>
  <si>
    <t>ACTION_TYPE_SET_SPRITE</t>
  </si>
  <si>
    <t>SPRITE_ITEM_CHEST_OPENED</t>
  </si>
  <si>
    <t>ACTION_SPAWN_HIVE1_CARDS</t>
  </si>
  <si>
    <t>ACTION_TYPE_SPAWN</t>
  </si>
  <si>
    <t>ACTION_SPAWN_HIVE1_PERFUME</t>
  </si>
  <si>
    <t>ACTION_SET_SPRITE_CHEST_CLOSED</t>
  </si>
  <si>
    <t>ACTION_DESPAWN_HIVE1_CARDS</t>
  </si>
  <si>
    <t>ACTION_TYPE_DESPAWN</t>
  </si>
  <si>
    <t>ACTION_DESPAWN_HIVE1_PERFUME</t>
  </si>
  <si>
    <t>ACTION_TYPE_DESTROY</t>
  </si>
  <si>
    <t>ACTION_OBTAIN_HIVE1_CARDS</t>
  </si>
  <si>
    <t>ACTION_TYPE_EARN_ITEM</t>
  </si>
  <si>
    <t>ACTION_SPAWN_HIVE1_WARDROBE_OPENED</t>
  </si>
  <si>
    <t>ACTION_DESPAWN_HIVE1_WARDROBE</t>
  </si>
  <si>
    <t>ACTION_SPAWN_HIVE1_WARDROBE</t>
  </si>
  <si>
    <t>ACTION_DESPAWN_HIVE1_WARDROBE_OPENED</t>
  </si>
  <si>
    <t>ACTION_MEMENTO_JOB_FIND_1_2</t>
  </si>
  <si>
    <t>MEMENTO_JOB_FIND_1_2</t>
  </si>
  <si>
    <t>ACTION_OBTAIN_SOAP</t>
  </si>
  <si>
    <t>ACTION_TYPE_DECISION</t>
  </si>
  <si>
    <t>DECISION_SLEEP_1</t>
  </si>
  <si>
    <t>ACTION_MEMENTO_JOB_FIND_1_3</t>
  </si>
  <si>
    <t>MEMENTO_JOB_FIND_1_3</t>
  </si>
  <si>
    <t>ACTION_MEMENTO_RECEIPT_MISSION</t>
  </si>
  <si>
    <t>MEMENTO_RECIPE_MISSION_1</t>
  </si>
  <si>
    <t>ACTION_OBTAIN_UMBRELLA</t>
  </si>
  <si>
    <t>ACTION_MEMENTO_POOR_MAN_WC_1</t>
  </si>
  <si>
    <t>MEMENTO_POOR_MAN_WC_1</t>
  </si>
  <si>
    <t>(NOT)EVENT_COCKROACH_SCARED</t>
  </si>
  <si>
    <t>ACTION_OBTAIN_HIVE1_SHOELACE</t>
  </si>
  <si>
    <t>ACTION_DESTROY_HIVE1_VALVE_BOX</t>
  </si>
  <si>
    <t>ACTION_SPAWN_HIVE1_VALVE</t>
  </si>
  <si>
    <t>ACTION_OBTAIN_EXTRAPERLO_INVITATION</t>
  </si>
  <si>
    <t>ACTION_DESPAWN_INKWELL</t>
  </si>
  <si>
    <t>ACTION_SPAWN_INK</t>
  </si>
  <si>
    <t>ACTION_TYPE_START_DIALOGUE</t>
  </si>
  <si>
    <t>DIALOG_REME_INTRO</t>
  </si>
  <si>
    <t>ACTION_DIALOGUE_HIVE1_AD_BOARD_1</t>
  </si>
  <si>
    <t>DIALOG_SIMPLE</t>
  </si>
  <si>
    <t>PHRASE_OBSERVE_HIVE1_AD_BOARD_1</t>
  </si>
  <si>
    <t>ACTION_DIALOGUE_USE_PERFUME</t>
  </si>
  <si>
    <t>PHRASE_USE_HIVE1_PERFUME</t>
  </si>
  <si>
    <t>ACTION_DIALOGUE_USE_PERFUME_NOT_1</t>
  </si>
  <si>
    <t>PHRASE_USE_HIVE1_PERFUME_NOT_1</t>
  </si>
  <si>
    <t>ACTION_DIALOGUE_USE_PERFUME_NOT_2</t>
  </si>
  <si>
    <t>PHRASE_USE_HIVE1_PERFUME_NOT_2</t>
  </si>
  <si>
    <t>DIALOG_REME_CARDS</t>
  </si>
  <si>
    <t>PHRASE_DIALOG_EXIT_HIVE1_HALL_1</t>
  </si>
  <si>
    <t>PHRASE_WONT_GO_SOUTH_NEIGH</t>
  </si>
  <si>
    <t>ACTION_DIALOGUE_TALK_PHARMACIST_WITH_REME</t>
  </si>
  <si>
    <t>DIALOG_PHARMACIST_WITH_REME_INTRO</t>
  </si>
  <si>
    <t>ACTION_DIALOGUE_TALK_PHARMACIST_WITH_REME_RECIPE_OPT</t>
  </si>
  <si>
    <t>ACTION_TYPE_START_DIALOGUE_IN_OPT</t>
  </si>
  <si>
    <t>DIALOG_PHARMACIST_WITH_REME</t>
  </si>
  <si>
    <t>DIALOG_OPTION_PHARMACIST_WITH_REME_RECIPE</t>
  </si>
  <si>
    <t>DIALOG_TRY_TALK_PHARMACIST_1</t>
  </si>
  <si>
    <t>ACTION_ANIMATE_PHARMACIST_AND_REME_STEADY_TO_LISTEN</t>
  </si>
  <si>
    <t>ACTION_TYPE_TRIGGER_ITEM_ANIMATION</t>
  </si>
  <si>
    <t>ANIMATION_TRIGGER_FOUR</t>
  </si>
  <si>
    <t>ACTION_ANIMATE_SET_STEADY_PHARMACIST_AND_REME_LISTEN</t>
  </si>
  <si>
    <t>ANIMATION_TRIGGER_STEADY_TWO</t>
  </si>
  <si>
    <t>storeOnly</t>
  </si>
  <si>
    <t>ACTION_ANIMATE_PHARMACIST_AND_REME_LISTEN_TO_STEADY</t>
  </si>
  <si>
    <t>ANIMATION_TRIGGER_FIVE</t>
  </si>
  <si>
    <t>ACTION_ANIMATE_SET_STEADY_PHARMACIST_AND_REME_STEADY</t>
  </si>
  <si>
    <t>ANIMATION_TRIGGER_STEADY_ONE</t>
  </si>
  <si>
    <t>PHRASE_HELLO_DEER</t>
  </si>
  <si>
    <t>ACTION_DIALOGUE_TALK_MANYO_OWNER</t>
  </si>
  <si>
    <t>DIALOG_MANYO_OWNER_INTRO</t>
  </si>
  <si>
    <t>DIALOG_MANYO_UMBRELLA</t>
  </si>
  <si>
    <t>ACTION_DIALOGUE_TAKE_UMBRELLA_NIGHT</t>
  </si>
  <si>
    <t>PHRASE_DIALOG_UMBRELLA_TAKEN</t>
  </si>
  <si>
    <t>ACTION_TYPE_START_DIALOGUE_BCKG</t>
  </si>
  <si>
    <t>DIALOG_MANYO_BCKG_CROWD</t>
  </si>
  <si>
    <t>PHRASE_OBSERVE_ITEM_HIVE1_POOR_MAN_WC</t>
  </si>
  <si>
    <t>DIALOG_HIVE1_BCKG_POOR_MAN_WC</t>
  </si>
  <si>
    <t>DIALOG_HIVE1_POOR_MAN_WC_INTRO</t>
  </si>
  <si>
    <t>PHRASE_OBSERVE_ITEM_HIVE1_ROACH</t>
  </si>
  <si>
    <t>PHRASE_OBSERVE_ITEM_HIVE1_BACKALLEY_PIPE</t>
  </si>
  <si>
    <t>ACTION_DIALOGUE_OBSERVE_HIVE1_PIPE_2</t>
  </si>
  <si>
    <t>PHRASE_OBSERVE_ITEM_HIVE1_PIPE</t>
  </si>
  <si>
    <t>ACTION_DIALOGUE_TAKE_HIVE1_ROACH_HEAD</t>
  </si>
  <si>
    <t>PHRASE_TAKE_ITEM_HIVE1_ROACH_HEAD</t>
  </si>
  <si>
    <t>PHRASE_OBSERVE_ITEM_HIVE1_VALVE_BOX</t>
  </si>
  <si>
    <t>ACTION_DIALOGUE_OBSERVE_BACKALLEY_PIPE_2</t>
  </si>
  <si>
    <t>PHRASE_OBSERVE_ITEM_HIVE1_BACKALLEY_PIPE_2</t>
  </si>
  <si>
    <t>PHRASE_OBSERVE_ITEM_HIVE1_VALVE_BOX_2</t>
  </si>
  <si>
    <t>ACTION_DIALOGUE_TAKE_VALVE_BOX_1</t>
  </si>
  <si>
    <t>PHRASE_TAKE_VALVE_BOX_CLOSED</t>
  </si>
  <si>
    <t>PHRASE_TAKE_VALVE_BOX_CLOSED_MORNING</t>
  </si>
  <si>
    <t>PHRASE_OBSERVE_ITEM_HIVE1_SHOELACE</t>
  </si>
  <si>
    <t>PHRASE_NO_REASON_TO_DO</t>
  </si>
  <si>
    <t>ACTION_DIALOGUE_TAKE_SHOEALCE</t>
  </si>
  <si>
    <t>PHRASE_TAKE_ITEM_HIVE1_SHOELACE</t>
  </si>
  <si>
    <t>PHRASE_OBSERVE_ITEM_HIVE1_VALVE</t>
  </si>
  <si>
    <t>ACTION_DIALOGUE_USE_SHOELACE_VALVE_BOX</t>
  </si>
  <si>
    <t>PHRASE_USE_SHOELACE_VALVE_BOX</t>
  </si>
  <si>
    <t>ACTION_DIALOGUE_TAKE_HIVE1_VALVE</t>
  </si>
  <si>
    <t>PHRASE_USE_HIVE1_VALVE</t>
  </si>
  <si>
    <t>PHRASE_USE_HIVE1_VALVE_NOT</t>
  </si>
  <si>
    <t>PHRASE_OBSERVE_ITEM_HIVE1_MAN_WC_CURED</t>
  </si>
  <si>
    <t>DIALOG_ARTURO_HALL_INN_INTRO</t>
  </si>
  <si>
    <t>ACTION_DIALOGUE_OBSERVE_INVITATION_DETAIL_1</t>
  </si>
  <si>
    <t>PHRASE_OBSERVE_ITEM_EXTRAPERLO_INVITATION_DETAIL_BLURR</t>
  </si>
  <si>
    <t>ACTION_DIALOGUE_OBSERVE_INVITATION_DETAIL_2</t>
  </si>
  <si>
    <t>PHRASE_OBSERVE_ITEM_EXTRAPERLO_INVITATION_DETAIL</t>
  </si>
  <si>
    <t>PHRASE_OBSERVE_ITEM_PHARMACY_INKWELL</t>
  </si>
  <si>
    <t>PHRASE_OBSERVE_ITEM_PHARMACY_INK</t>
  </si>
  <si>
    <t>ACTION_DIALOGUE_TAKE_INKWELL_NOT_2</t>
  </si>
  <si>
    <t>DIALOG_PHARMACIST_NOT_TAKE_INKWELL</t>
  </si>
  <si>
    <t>ACTION_DIALOGUE_TAKE_INKWELL_NOT_3</t>
  </si>
  <si>
    <t>DIALOG_USE_UMBRELLA_WITH_INKWELL</t>
  </si>
  <si>
    <t>ACTION_DIALOGUE_USE_INVITATION_INK</t>
  </si>
  <si>
    <t>PHRASE_USE_INVITATION_WITH_INK</t>
  </si>
  <si>
    <t>PHRASE_USE_INVITATION_WITH_INK_ALREADY</t>
  </si>
  <si>
    <t>ACTION_EVENT_OPEN_CHEST</t>
  </si>
  <si>
    <t>ACTION_EVENT_CANCEL_OPEN_CHEST</t>
  </si>
  <si>
    <t>ACTION_EVENT_CARDS_PICKABLE_TAKEN</t>
  </si>
  <si>
    <t>ACTION_EVENT_OPEN_WARDROBE</t>
  </si>
  <si>
    <t>ACTION_EVENT_CANCEL_OPEN_WARDROBE</t>
  </si>
  <si>
    <t>ACTION_EVENT_HIVE1_AD_OBSERVED</t>
  </si>
  <si>
    <t>EVENT_HIVE1_AD_BOARD_OBSERVED_1</t>
  </si>
  <si>
    <t>ACTION_EVENT_SOAP_PICKABLE_TAKEN</t>
  </si>
  <si>
    <t>ACTION_EVENT_UMBRELLA_PICKABLE_TAKEN</t>
  </si>
  <si>
    <t>ACTION_EVENT_PIPE_OBSERVATION_1</t>
  </si>
  <si>
    <t>ACTION_EVENT_PIPE_OBSERVATION_2</t>
  </si>
  <si>
    <t>ACTION_EVENT_COCKROACH_SCARED</t>
  </si>
  <si>
    <t>ACTION_EVENT_VALVE_BOX_NEED_OPEN</t>
  </si>
  <si>
    <t>ACTION_EVENT_SHOELACE_PICKABLE_TAKEN</t>
  </si>
  <si>
    <t>ACTION_EVENT_VALVE_BOX_OPENED</t>
  </si>
  <si>
    <t>ACTION_EVENT_VALVE_ACTIVATED</t>
  </si>
  <si>
    <t>ACTION_EVENT_OBSERVED_INVITATION_RELIEF</t>
  </si>
  <si>
    <t>ACTION_EVENT_INVITATION_UNDERSTOOD_PHRASE</t>
  </si>
  <si>
    <t>EVENT_INVITATION_UNDERSTOOD_PHRASE</t>
  </si>
  <si>
    <t>ACTION_EVENT_INKWELL_NOT_TOUCH_WARN</t>
  </si>
  <si>
    <t>ACTION_EVENT_INVITATION_REVEALED</t>
  </si>
  <si>
    <t>ACTION_EVENT_MANYO_LOOK_FOR_RECIPE_MISSION</t>
  </si>
  <si>
    <t>ACTION_EVENT_POOR_MAN_WC_NEEDS_WATER</t>
  </si>
  <si>
    <t>ACTION_EVENT_TALKED_ARTURO_HALL_PUB</t>
  </si>
  <si>
    <t>EVENT_TALKED_ARTURO_HALL_PUB</t>
  </si>
  <si>
    <t>ACTION_EVENT_TALKED_ARTURO_HALL_COMPLETED</t>
  </si>
  <si>
    <t>EVENT_TALKED_ARTURO_HALL_INN_COMPLETED</t>
  </si>
  <si>
    <t>ACTION_EVENT_INVITATION_PICKABLE_TAKEN</t>
  </si>
  <si>
    <t>EVENT_ITEM_EXTRAPERLO_INVITATION_PICKABLE_TAKEN</t>
  </si>
  <si>
    <t>ACTION_EVENT_INKWELL_WASTED</t>
  </si>
  <si>
    <t>ACTION_DIALOG_USELESS_OBSERVE</t>
  </si>
  <si>
    <t>PHRASE_NONSENSE_OBSERVE</t>
  </si>
  <si>
    <t>ACTION_DIALOG_USELESS_TALK</t>
  </si>
  <si>
    <t>PHRASE_NONSENSE_TALK</t>
  </si>
  <si>
    <t>ACTION_DIALOG_USELESS_ACTION</t>
  </si>
  <si>
    <t>PHRASE_NONSENSE</t>
  </si>
  <si>
    <t>ACTION_ANIMATE_REME_TEST</t>
  </si>
  <si>
    <t>ACTION_SPAWN_FIK_1</t>
  </si>
  <si>
    <t>DIALOG_FIK_1_INTRO</t>
  </si>
  <si>
    <t>ACTION_EVENT_EXTRAPERLO_SAID_PHRASE</t>
  </si>
  <si>
    <t>DIALOG_FIK_NOT_CROSS_DOOR</t>
  </si>
  <si>
    <t>ACTION_SPAWN_EXTRAPERLO_WALL</t>
  </si>
  <si>
    <t>ACTION_DESPAWN_EXTRAPERLO_DOOR</t>
  </si>
  <si>
    <t>ACTION_SPAWN_EXTRAPERLO_DOOR_REAL</t>
  </si>
  <si>
    <t>ACTION_TALK_GERMAN</t>
  </si>
  <si>
    <t>ACTION_SPWAN_GERMAN_1</t>
  </si>
  <si>
    <t>ACTION_EVENT_SHOWN_OLD_INVITATION</t>
  </si>
  <si>
    <t>EVENT_EXTRAPERLO_SHOWN_OLD_INVITATION</t>
  </si>
  <si>
    <t>ACTION_EVENT_FOLD_CORNERS</t>
  </si>
  <si>
    <t>EVENT_EXTRAPERLO_INV_FOLDED_CORNERS</t>
  </si>
  <si>
    <t>ACTION_EVENT_SHOWN_NEW_INVITATION</t>
  </si>
  <si>
    <t>DIALOG_WAITER_1_INTRO</t>
  </si>
  <si>
    <t>DIALOG_WAITER_USE_OLD_INVITATION</t>
  </si>
  <si>
    <t>DIALOG_UNKNOWN_GIRLS_1</t>
  </si>
  <si>
    <t>PHRASE_TAKE_UNKNOWN_WOMEN</t>
  </si>
  <si>
    <t>PHRASE_OBSERVE_ITEM_NPC_ARTURO_EXTRAPERLO</t>
  </si>
  <si>
    <t>DIALOG_ARTURO_EXTRAPERLO_INTRO</t>
  </si>
  <si>
    <t>ACTION_START_TEST_CARD_GAME</t>
  </si>
  <si>
    <t>ACTION_TYPE_START_CARD_GAME</t>
  </si>
  <si>
    <t>CARD_GAME_TEST</t>
  </si>
  <si>
    <t>ACTION_EVENT_WIN_CARDS_ARTURO</t>
  </si>
  <si>
    <t>EVENT_EXTRAPERLO_WON_CARDS_ARTURO</t>
  </si>
  <si>
    <t>DIALOG_CLOWN_EXTRAPERLO_INTRO</t>
  </si>
  <si>
    <t>ACTION_ANIMATE_SILVANA_CLOSING_BOOK_1</t>
  </si>
  <si>
    <t>ACTION_ANIMATE_SILVANA_CLOSING_BOOK_2</t>
  </si>
  <si>
    <t>ANIMATION_TRIGGER_TWO</t>
  </si>
  <si>
    <t>ACTION_TALK_DIALOG_SILVANA_EXTRAPERLO</t>
  </si>
  <si>
    <t>DIALOG_SILVANA_EXTRAPERLO_INTRO</t>
  </si>
  <si>
    <t>ACTION_ANIMATE_SILVANA_OPENING_BOOK_1</t>
  </si>
  <si>
    <t>ACTION_ANIMATE_SILVANA_OPENING_BOOK_2</t>
  </si>
  <si>
    <t>ANIMATION_TRIGGER_THREE</t>
  </si>
  <si>
    <t>ACTION_EVENT_SILVANA_REFUSED_MAINCHAR</t>
  </si>
  <si>
    <t>EVENT_EXTRAPERLO_SILVANA_REFUSED_MAINCHAR</t>
  </si>
  <si>
    <t>ACTION_LOSE_INVALID_EXTRAPERLO_INVITATION</t>
  </si>
  <si>
    <t>ACTION_TYPE_LOSE_ITEM</t>
  </si>
  <si>
    <t>ACTION_EARN_EXTRAPERLO_INVITATION_FOLDED</t>
  </si>
  <si>
    <t>ACTION_EVENT_FOLDED_INVITATION</t>
  </si>
  <si>
    <t>PHRASE_OBSERVE_INVITATION_CORNER</t>
  </si>
  <si>
    <t>ACTION_DIALOG_MANIPULATE_INVITATION_CORNER</t>
  </si>
  <si>
    <t>PHRASE_MANIPULATE_INVITATION_CORNER</t>
  </si>
  <si>
    <t>ACTION_LOSE_NEW_EXTRAPERLO_INVITATION</t>
  </si>
  <si>
    <t>ACTION_DIALOGUE_WAITER_USE_NEW_INVITATION</t>
  </si>
  <si>
    <t>DIALOG_WAITER_USE_NEW_INVITATION</t>
  </si>
  <si>
    <t>DIALOG_WAITER_W_INVITATION_INTRO</t>
  </si>
  <si>
    <t>ACTION_ANIMATE_WAITER_SERVE_OLIVES</t>
  </si>
  <si>
    <t>ACTION_PLAY_SOUND_DISH</t>
  </si>
  <si>
    <t>ACTION_TYPE_PLAY_SOUND</t>
  </si>
  <si>
    <t>SOUND_DISH_PLACED</t>
  </si>
  <si>
    <t>ACTION_EVENT_OLIVES_PLACED</t>
  </si>
  <si>
    <t>PHRASE_OBSERVE_ITEM_OBJECT_OLIVE_BOWL</t>
  </si>
  <si>
    <t>ACTION_ANIMATE_MAINCHAR_TAKE_OLIVE</t>
  </si>
  <si>
    <t>ANIMATION_TRIGGER_ONE</t>
  </si>
  <si>
    <t>ACTION_ANIMATE_MAINCHAR_EAT_CHEW</t>
  </si>
  <si>
    <t>ACTION_ANIMATE_WAITER_SERVE_JAR</t>
  </si>
  <si>
    <t>ACTION_EVENT_BEER_PLACED</t>
  </si>
  <si>
    <t>ACTION_EVENT_REMOVE_BEER_PLACED</t>
  </si>
  <si>
    <t>(NOT)EVENT_BEER_JAR_READY</t>
  </si>
  <si>
    <t>PHRASE_OBSERVE_ITEM_OBJECT_BEER_FULL</t>
  </si>
  <si>
    <t>ACTION_DESPAWN_ITEM_OBJECT_BEER_FULL</t>
  </si>
  <si>
    <t>ACTION_ANIMATE_MAINCHAR_DRINK_BEER</t>
  </si>
  <si>
    <t>ACTION_EVENT_DRUNK_STATE</t>
  </si>
  <si>
    <t>EVENT_DRUNK_STATE</t>
  </si>
  <si>
    <t>ACTION_EVENT_DRINK_FIRST_BEER_ROUND</t>
  </si>
  <si>
    <t>EVENT_BEER_FIRST_ROUND</t>
  </si>
  <si>
    <t>ACTION_EVENT_DRINK_SECOND_BEER_ROUND</t>
  </si>
  <si>
    <t>EVENT_BEER_SECOND_ROUND</t>
  </si>
  <si>
    <t>ACTION_DIALOGUE_SIMPLE_SECOND_BEER_COMMENT</t>
  </si>
  <si>
    <t>PHRASE_COMMENT_SECOND_BEER</t>
  </si>
  <si>
    <t>ACTION_EVENT_DRINK_THIRD_BEER_ROUND</t>
  </si>
  <si>
    <t>EVENT_BEER_THIRD_ROUND</t>
  </si>
  <si>
    <t>ACTION_DIALOGUE_SIMPLE_AFTER_THIRD_BEER_COMMENT</t>
  </si>
  <si>
    <t>PHRASE_COMMENT_AFTER_THIRD_BEER</t>
  </si>
  <si>
    <t>DIALOG_CLOWN_DRUNK</t>
  </si>
  <si>
    <t>DIALOG_ARTURO_DRUNK_INTRO</t>
  </si>
  <si>
    <t>ACTION_START_DRUNK_TEST_CARD_GAME</t>
  </si>
  <si>
    <t>CARD_GAME_TEST_DRUNK</t>
  </si>
  <si>
    <t>PHRASE_OBSERVE_ITEM_PICKABLE_OLIVE</t>
  </si>
  <si>
    <t>ACTION_OBTAIN_ITEM_PICKABLE_OLIVE</t>
  </si>
  <si>
    <t>ACTION_EVENT_TOOK_OLIVE_FROM_BOWL</t>
  </si>
  <si>
    <t>EVENT_TOOK_OLIVE_FROM_BOWL</t>
  </si>
  <si>
    <t>PHRASE_MAINCHAR_DONT_WANT_MORE</t>
  </si>
  <si>
    <t>ACTION_TALK_DIALOG_SILVANA_DRUNK</t>
  </si>
  <si>
    <t>DIALOG_SILVANA_DRUNK</t>
  </si>
  <si>
    <t>ACTION_TALK_DIALOG_SILVANA_OLIVE</t>
  </si>
  <si>
    <t>DIALOG_SILVANA_OLIVE</t>
  </si>
  <si>
    <t>ACTION_EVENT_OLIVE_OFFERED</t>
  </si>
  <si>
    <t>EVENT_OLIVE_OFFERED</t>
  </si>
  <si>
    <t>ACTION_SCENE_EXTRAPERLO_TERRACE</t>
  </si>
  <si>
    <t>ACTION_TYPE_SCENE_CHANGE</t>
  </si>
  <si>
    <t>CITY1_EXTRAPERLO3</t>
  </si>
  <si>
    <t>initial</t>
  </si>
  <si>
    <t>ACTION_EVENT_DRUNK_STATE_REMOVE</t>
  </si>
  <si>
    <t>(NOT)EVENT_DRUNK_STATE</t>
  </si>
  <si>
    <t>ACTION_MOVE_WAYPOINT_WAITER_TERRACE</t>
  </si>
  <si>
    <t>ACTION_TYPE_MOVE_TO_WAYPOINT</t>
  </si>
  <si>
    <t>WaiterOut</t>
  </si>
  <si>
    <t>ACTION_DIALOGUE_SIMPLE_MAINCHAR_NEED_ORINE</t>
  </si>
  <si>
    <t>PHRASE_MAINCHAR_NEED_ORINE</t>
  </si>
  <si>
    <t>ACTION_EVENT_NEED_ORINE_SAID</t>
  </si>
  <si>
    <t>PHRASE_OBSERVE_ITEM_INNOCENT_PLANT</t>
  </si>
  <si>
    <t>PHRASE_OBSERVE_BLADDER</t>
  </si>
  <si>
    <t>ACTION_OBTAIN_FULL_BLADDER</t>
  </si>
  <si>
    <t>ACTION_DIALOGUE_ABOUT_PEE_PLANT</t>
  </si>
  <si>
    <t>DIALOG_MAINCHAR_PEE</t>
  </si>
  <si>
    <t>ACTION_EVENT_USED_ORINE_FLOWER</t>
  </si>
  <si>
    <t>ACTION_MOVE_AFTER_PEE</t>
  </si>
  <si>
    <t>AfterPee</t>
  </si>
  <si>
    <t>ACTION_ANIMATE_SILVANA_SHOCKED_ANGRY</t>
  </si>
  <si>
    <t>ACTION_DIALOGUE_SILVANA_OBSERVE_PEE</t>
  </si>
  <si>
    <t>DIALOG_SILVANA_OBSERVE_PEE</t>
  </si>
  <si>
    <t>ACTION_ZOOM_PEE_ZONE</t>
  </si>
  <si>
    <t>ACTION_TYPE_SET_ZOOM_REGION</t>
  </si>
  <si>
    <t>ZOOM_RIGHT</t>
  </si>
  <si>
    <t>ACTION_ZOOM_SILVANA_SHOCKED_ZONE</t>
  </si>
  <si>
    <t>ZOOM_LEFT</t>
  </si>
  <si>
    <t>ACTION_LOSE_FULL_BLADDER</t>
  </si>
  <si>
    <t>ACTION_ZOOM_GARDEN_OUT</t>
  </si>
  <si>
    <t>ZOOM_ALL</t>
  </si>
  <si>
    <t>ACTION_MOVE_SILVANA_GARDEN_TALK_APROACH</t>
  </si>
  <si>
    <t>SilvanaTalks</t>
  </si>
  <si>
    <t>ACTION_TALK_DIALOG_SILVANA_GARDEN_1</t>
  </si>
  <si>
    <t>DIALOG_SILVANA_GARDEN_1</t>
  </si>
  <si>
    <t>ACTION_SCENE_EXTRAPERLO_TERRACE_2</t>
  </si>
  <si>
    <t>CITY1_EXTRAPERLO3_2</t>
  </si>
  <si>
    <t>DIALOG_SILVANA_GARDEN_2_INTRO</t>
  </si>
  <si>
    <t>ACTION_TALK_DIALOG_PAMFRY_1</t>
  </si>
  <si>
    <t>DIALOG_PAMFRY_1</t>
  </si>
  <si>
    <t>ACTION_MOVE_PAMFRY_APPEAR</t>
  </si>
  <si>
    <t>PamfryRun1</t>
  </si>
  <si>
    <t>ACTION_MOVE_PAMFRY_FLIP</t>
  </si>
  <si>
    <t>PamfryRunFlip</t>
  </si>
  <si>
    <t>ACTION_ANIMATE_PAMFRY_RUNNING</t>
  </si>
  <si>
    <t>ACTION_MOVE_PAMFRY_RUN</t>
  </si>
  <si>
    <t>PamfryRun2</t>
  </si>
  <si>
    <t>ACTION_ANIMATE_PAMFRY_CLIMBING</t>
  </si>
  <si>
    <t>ACTION_ANIMATE_PAMFRY_DIE_1</t>
  </si>
  <si>
    <t>ACTION_ANIMATE_PAMFRY_DIE_2</t>
  </si>
  <si>
    <t>ACTION_PLAY_SOUND_GUNSHOT</t>
  </si>
  <si>
    <t>SOUND_GUNSHOT</t>
  </si>
  <si>
    <t>ACTION_ZOOM_PAMFRY_DEATH</t>
  </si>
  <si>
    <t>ZOOM_PAMFRY_END</t>
  </si>
  <si>
    <t>ACTION_SET_GAME_ANIMATION_MODE</t>
  </si>
  <si>
    <t>ACTION_TYPE_SET_TO_ANIMATION_MODE</t>
  </si>
  <si>
    <t>ACTION_REMOVE_GAME_ANIMATION_MODE</t>
  </si>
  <si>
    <t>ACTION_TYPE_REMOVE_ANIMATION_MODE</t>
  </si>
  <si>
    <t>ACTION_MOVE_FIK_TO_SHOT</t>
  </si>
  <si>
    <t>ACTION_ZOOM_FIK_SHOOTING</t>
  </si>
  <si>
    <t>ZOOM_FIK_SHOOTING</t>
  </si>
  <si>
    <t>ACTION_DIALOGUE_FIK_SHOOTING</t>
  </si>
  <si>
    <t>DIALOG_FIK_SHOOTING</t>
  </si>
  <si>
    <t>ACTION_DIALOGUE_GERMAN_SHOUTING_GARDEN</t>
  </si>
  <si>
    <t>DIALOG_GERMAN_SHOUTING_GARDEN</t>
  </si>
  <si>
    <t>ACTION_DIALOGUE_SILVANA_ASKING_BILL</t>
  </si>
  <si>
    <t>DIALOG_SILVANA_ASKING_BILL</t>
  </si>
  <si>
    <t>ACTION_ZOOM_ALL_END_GARDEN_SCENE</t>
  </si>
  <si>
    <t>ACTION_SCENE_BACK_TO_HIVE1_ROOM</t>
  </si>
  <si>
    <t>HIVE1_ROOM_1</t>
  </si>
  <si>
    <t>recap_extraperlo</t>
  </si>
  <si>
    <t>ACTION_EVENT_PENDING_RECAP_EXTRAPERLO_GARDEN</t>
  </si>
  <si>
    <t>ACTION_DIALOGUE_MAINCHAR_RECAP_EXTRAPERLO</t>
  </si>
  <si>
    <t>DIALOG_MAINCHAR_RECAP_EXTRAPERLO</t>
  </si>
  <si>
    <t>ACTION_EVENT_REMOVE_PENDING_RECAP_EXTRAPERLO_GARDEN</t>
  </si>
  <si>
    <t>ACTION_EVENT_PENDING_DREAM_1</t>
  </si>
  <si>
    <t>ACTION_ANIMATE_MAINCHAR_SIT_BED</t>
  </si>
  <si>
    <t>ANIMATION_TRIGGER_CYCLE_THREE</t>
  </si>
  <si>
    <t>ACTION_ZOOM_LAMP_BED</t>
  </si>
  <si>
    <t>ZOOM_LAMP</t>
  </si>
  <si>
    <t>ACTION_SCENE_CHAPTER_SHOW_1</t>
  </si>
  <si>
    <t>CHAPTER_SHOW</t>
  </si>
  <si>
    <t>PHRASE_OBSERVE_ITEM_DREAM_RADIO</t>
  </si>
  <si>
    <t>ACTION_DIALOGUE_MAINCHAR_ENTRY_DREAM_1</t>
  </si>
  <si>
    <t>PHRASE_MAINCHAR_ENTRY_DIALOG_DREAM_1</t>
  </si>
  <si>
    <t>ACTION_EVENT_REMOVE_PENDING_DREAM_1</t>
  </si>
  <si>
    <t>(NOT)EVENT_PENDING_DREAM_1</t>
  </si>
  <si>
    <t>ACTION_SOUND_RADIO_DREAM_1</t>
  </si>
  <si>
    <t>SOUND_RADIO_PRE_WAR_1</t>
  </si>
  <si>
    <t>ACTION_SOUND_STOP_RADIO_DREAM_1</t>
  </si>
  <si>
    <t>ACTION_TYPE_STOP_SOUND</t>
  </si>
  <si>
    <t>ACTION_EVENT_EPHIMERAL_ON</t>
  </si>
  <si>
    <t>SOUND_CHAPTER_IN</t>
  </si>
  <si>
    <t>PHRASE_OBSERVE_ITEM_CLASSROOM_PORTRAIT</t>
  </si>
  <si>
    <t>PHRASE_OBSERVE_ITEM_DREAM_CLOCK</t>
  </si>
  <si>
    <t>ACTION_EVENT_PENDING_DESCRIBE_DREAM_FRAMEWORK</t>
  </si>
  <si>
    <t>ACTION_EVENT_REMOVE_DESCRIBE_DREAM_FRAMEWORK</t>
  </si>
  <si>
    <t>(NOT)EVENT_PENDING_DESCRIBE_DREAM_FRAMEWORK</t>
  </si>
  <si>
    <t>ACTION_DIALOGUE_MAINCHAR_ENTRY_DREAM_1_FRAMEWORK</t>
  </si>
  <si>
    <t>PHRASE_MAINCHAR_ENTRY_DREAM_1_FRAMEWORK</t>
  </si>
  <si>
    <t>PHRASE_OBSERVE_ITEM_NPC_SULTAN</t>
  </si>
  <si>
    <t>PHRASE_OBSERVE_ITEM_NPC_PILAR_DREAM_1</t>
  </si>
  <si>
    <t>DIALOG_SULTAN_1</t>
  </si>
  <si>
    <t>DIALOG_PILAR_DREAM_1</t>
  </si>
  <si>
    <t>ACTION_MAINCHAR_DREAM_INVISIBLE</t>
  </si>
  <si>
    <t>ACTION_TYPE_INVISIBLE</t>
  </si>
  <si>
    <t>ACTION_MAINCHAR_DREAM_VISIBLE</t>
  </si>
  <si>
    <t>ACTION_TYPE_VISIBLE</t>
  </si>
  <si>
    <t>ACTION_ANIMATE_PILAR_STEADY</t>
  </si>
  <si>
    <t>ACTION_ANIMATE_PILAR_KISSING</t>
  </si>
  <si>
    <t>FALSE</t>
  </si>
  <si>
    <t>ACTION_SCENE_DREAM1_BEDROOM_NIGHT</t>
  </si>
  <si>
    <t>DREAM_1_BEDROOM_NIGHT</t>
  </si>
  <si>
    <t>DIALOG_PILAR_BED_DREAM_1</t>
  </si>
  <si>
    <t>ACTION_ZOOM_WINDOW</t>
  </si>
  <si>
    <t>ZOOM_WINDOW</t>
  </si>
  <si>
    <t>ACTION_SCENE_DREAM1_CORRIDOR_NIGHT</t>
  </si>
  <si>
    <t>DREAM_1_CORRIDOR_NIGHT</t>
  </si>
  <si>
    <t>SOUND_DREAM_FEMALE_CRY</t>
  </si>
  <si>
    <t>PHRASE_SULTAN_DID_NOT_EAT</t>
  </si>
  <si>
    <t>DIALOG_ALTER_EGO_DREAM_1</t>
  </si>
  <si>
    <t>ACTION_ANIMATE_ALTER_EGO_DISAPPEAR</t>
  </si>
  <si>
    <t>ACTION_DESPAWN_ALTER_EGO</t>
  </si>
  <si>
    <t>ACTION_EVENT_ALTER_EGO_DREAM_1_TALKED</t>
  </si>
  <si>
    <t>EVENT_ALTER_EGO_DREAM_1_TALKED</t>
  </si>
  <si>
    <t>PHRASE_OBSERVE_ALTER_EGO_DREAM_1</t>
  </si>
  <si>
    <t>PHRASE_OBSERVE_ITEM_FIG</t>
  </si>
  <si>
    <t>ACTION_OBTAIN_ITEM_FIG</t>
  </si>
  <si>
    <t>ACTION_EVENT_FIG_PICKABLE_OBTAINED</t>
  </si>
  <si>
    <t>ACTION_PLAY_SOUND_DOG_BARKING</t>
  </si>
  <si>
    <t>SOUND_DOG_BARKING</t>
  </si>
  <si>
    <t>ACTION_ANIMATE_SULTAN_BARKING</t>
  </si>
  <si>
    <t>ACTION_EVENT_SULTAN_ATE_FOOD</t>
  </si>
  <si>
    <t>EVENT_SULTAN_ATE_FOOD</t>
  </si>
  <si>
    <t>ACTION_LOSE_FIG</t>
  </si>
  <si>
    <t>ACTION_ANIMATE_SULTAN_EATING</t>
  </si>
  <si>
    <t>ACTION_ANIMATE_MAINCHAR_DUCK_OFFERING</t>
  </si>
  <si>
    <t>ANIMATION_TRIGGER_EIGHT</t>
  </si>
  <si>
    <t>ACTION_DIALOGUE_MAINCHAR_FAREWELL_DREAM_1</t>
  </si>
  <si>
    <t>PHRASE_MAINCHAR_FAREWELL_DREAM_1</t>
  </si>
  <si>
    <t>ACTION_EVENT_PENDING_RECAP_DREAM_1</t>
  </si>
  <si>
    <t>ACTION_EVENT_CLEAR_PENDING_RECAP_DREAM_1</t>
  </si>
  <si>
    <t>ACTION_DIALOGUE_MAINCHAR_RECAP_DREAM_1</t>
  </si>
  <si>
    <t>PHRASE_MAINCHAR_RECAP_DREAM_1</t>
  </si>
  <si>
    <t>SOUND_AMBIENCE_WATER_FLOW</t>
  </si>
  <si>
    <t>TRUE</t>
  </si>
  <si>
    <t>ACTION_ANIMATE_REME_BLOCK_PATH</t>
  </si>
  <si>
    <t>ACTION_MOVE_MAINCHAR_TO_FALLBACK_REME</t>
  </si>
  <si>
    <t>fallback</t>
  </si>
  <si>
    <t>ACTION_DIALOGUE_REME_BLOCKING_PATH</t>
  </si>
  <si>
    <t>DIALOG_REME_SOAP</t>
  </si>
  <si>
    <t>PHRASE_OBSERVE_ROOM_KEY_UNTAKEN</t>
  </si>
  <si>
    <t>PHRASE_OBSERVE_ITEM_PICKABLE_COIN25</t>
  </si>
  <si>
    <t>ACTION_DIALOGUE_TAKE_ITEM_PICKABLE_COIN25</t>
  </si>
  <si>
    <t>PHRASE_TAKE_ITEM_PICKABLE_COIN25</t>
  </si>
  <si>
    <t>ACTION_DESTROY_ITEM_PICKABLE_COIN25</t>
  </si>
  <si>
    <t>ACTION_OBTAIN_ITEM_PICKABLE_COIN25</t>
  </si>
  <si>
    <t>ACTION_EVENT_COIN25_PICKABLE_TAKEN</t>
  </si>
  <si>
    <t>EVENT_COIN25_PICKABLE_TAKEN</t>
  </si>
  <si>
    <t>ACTION_DESTROY_ITEM_PICKABLE_HIVE_ROOM_KEY</t>
  </si>
  <si>
    <t>ACTION_OBTAIN_ITEM_PICKABLE_HIVE_ROOM_KEY</t>
  </si>
  <si>
    <t>ACTION_EVENT_HIVE_ROOM_KEY_TAKEN</t>
  </si>
  <si>
    <t>EVENT_HIVE_ROOM_KEY_PICKABLE_TAKEN</t>
  </si>
  <si>
    <t>ACTION_PLAY_SOUND_ANY_ITEM_TAKE</t>
  </si>
  <si>
    <t>SOUND_ANY_ITEM_TAKE</t>
  </si>
  <si>
    <t>PHRASE_OBSERVE_DOOR_SERVICE_HIVE</t>
  </si>
  <si>
    <t>PHRASE_TRY_CROSS_SERVICE_DOOR</t>
  </si>
  <si>
    <t>ACTION_ANIMATE_MAINCHAR_UNLOCKING_DOOR</t>
  </si>
  <si>
    <t>ANIMATION_TRIGGER_CYCLE_FIVE</t>
  </si>
  <si>
    <t>ACTION_MOVE_MAINCHAR_TO_UNLOCK_HIVE_POS</t>
  </si>
  <si>
    <t>unlockPos</t>
  </si>
  <si>
    <t>ACTION_WAIT_2S</t>
  </si>
  <si>
    <t>ACTION_TYPE_WAIT_MS</t>
  </si>
  <si>
    <t>ACTION_PLAY_SOUND_KEY_UNLOCKS_DOOR</t>
  </si>
  <si>
    <t>SOUND_KEY_UNLOCKS_DOOR</t>
  </si>
  <si>
    <t>ACTION_DIALOG_AFTER_BREAK_KEY</t>
  </si>
  <si>
    <t>PHRASE_MAINCHAR_AFTER_BREAKING_KEY</t>
  </si>
  <si>
    <t>ACTION_EVENT_USED_KEY_ON_SERVICE_DOOR</t>
  </si>
  <si>
    <t>ACTION_DESTROY_SERVICE_DOOR_LOCKED</t>
  </si>
  <si>
    <t>PHRASE_OBSERVE_ITEM_GUMBALL_MACHINE</t>
  </si>
  <si>
    <t>PHRASE_OBSERVE_ITEM_MIX_JAR</t>
  </si>
  <si>
    <t>ACTION_OBTAIN_ITEM_MIX_JAR</t>
  </si>
  <si>
    <t>PHRASE_OBSERVE_ITEM_PICKABLE_TAR_CAN</t>
  </si>
  <si>
    <t>ACTION_OBTAIN_ITEM_PICKABLE_TAR_CAN</t>
  </si>
  <si>
    <t>PHRASE_OBSERVE_ITEM_PICKABLE_HIVE_KEY_BROKEN</t>
  </si>
  <si>
    <t>ACTION_OBTAIN_ITEM_PICKABLE_HIVE_KEY_BROKEN</t>
  </si>
  <si>
    <t>ACTION_LOSE_ITEM_HIVE_KEY</t>
  </si>
  <si>
    <t>ACTION_DIALOGUE_OBSERVE_ITEM_SQUAT_WC</t>
  </si>
  <si>
    <t>DIALOG_OBSERVE_SQUAT_WC</t>
  </si>
  <si>
    <t>ACTION_ANIMATE_MAINCHAR_MANIP_BACK</t>
  </si>
  <si>
    <t>ANIMATION_TRIGGER_CYCLE_SIX</t>
  </si>
  <si>
    <t>ACTION_PLAY_SOUND_USE_COIN</t>
  </si>
  <si>
    <t>SOUND_USE_COIN</t>
  </si>
  <si>
    <t>ACTION_PLAY_SOUND_USE_GUMBALL_MACHINE</t>
  </si>
  <si>
    <t>SOUND_USE_GUMBALL_MACHINE</t>
  </si>
  <si>
    <t>ACTION_WAIT_6S</t>
  </si>
  <si>
    <t>ACTION_WAIT_0p5S</t>
  </si>
  <si>
    <t>ACTION_TYPE_UNCLICKABLE</t>
  </si>
  <si>
    <t>PHRASE_OBSERVE_ITEM_PICKABLE_GUMBALL</t>
  </si>
  <si>
    <t>ACTION_OBTAIN_ITEM_PICKABLE_GUMBALL</t>
  </si>
  <si>
    <t>ACTION_LOSE_ITEM_COIN25</t>
  </si>
  <si>
    <t>ACTION_EVENT_ITEM_GUMBALL_TAKEN</t>
  </si>
  <si>
    <t>EVENT_ITEM_GUMBALL_TAKEN</t>
  </si>
  <si>
    <t>ACTION_MOVE_MAINCHAR_TO_TALK_POINT</t>
  </si>
  <si>
    <t>talkPoint</t>
  </si>
  <si>
    <t>ACTION_ANIMATE_CLATTERING_COIN</t>
  </si>
  <si>
    <t>ACTION_DIALOGUE_OBTAINED_GUMBALL</t>
  </si>
  <si>
    <t>DIALOG_OBTAINED_GUMBALL</t>
  </si>
  <si>
    <t>ACTION_EVENT_COIN_IN_CRACK</t>
  </si>
  <si>
    <t>ACTION_DIALOGUE_OBSERVED_CLATTERING_COIN_ROLL</t>
  </si>
  <si>
    <t>PHRASE_OBSERVED_CLATTERING_COIN_ROLL</t>
  </si>
  <si>
    <t>PHRASE_OBSERVE_COIN_IN_CRACK</t>
  </si>
  <si>
    <t>PHRASE_TRY_TAKE_COIN_IN_CRACK</t>
  </si>
  <si>
    <t>ACTION_ZOOM_COIN_ROLL</t>
  </si>
  <si>
    <t>ZOOM_COIN_ROLL</t>
  </si>
  <si>
    <t>ACTION_ANIMATE_MAINCHAR_GRAB_CORNERFRONT</t>
  </si>
  <si>
    <t>ACTION_TYPE_START_ANIMATION</t>
  </si>
  <si>
    <t>ANIMATION_PLAYER_GRAB_FRONT</t>
  </si>
  <si>
    <t>ACTION_ANIMATE_TAR_CAN_GRABBED</t>
  </si>
  <si>
    <t>ACTION_DIALOGUE_OBTAIN_TAR_CAN</t>
  </si>
  <si>
    <t>PHRASE_OBTAIN_TAR_CAN</t>
  </si>
  <si>
    <t>ACTION_EVENT_ITEM_PICKABLE_TAR_CAN_PICKABLE_TAKEN</t>
  </si>
  <si>
    <t>ACTION_OBTAIN_ITEM_TAR_CAN</t>
  </si>
  <si>
    <t>ACTION_PLAY_SOUND_ROACH_GROWL</t>
  </si>
  <si>
    <t>SOUND_GIANT_ROACH_GROWL</t>
  </si>
  <si>
    <t>ACTION_ANIMATE_GIANT_ROACH_CLIMB</t>
  </si>
  <si>
    <t>ACTION_MEMENTO_REME_1</t>
  </si>
  <si>
    <t>MEMENTO_REME_1</t>
  </si>
  <si>
    <t>ACTION_MEMENTO_ROACHES_1</t>
  </si>
  <si>
    <t>MEMENTO_ROACHES_1</t>
  </si>
  <si>
    <t>ACTION_MEMENTO_REME_2</t>
  </si>
  <si>
    <t>MEMENTO_REME_2</t>
  </si>
  <si>
    <t>ACTION_EVENT_USED_IDEA_ROACHES_REME</t>
  </si>
  <si>
    <t>EVENT_USED_IDEA_ROACHES_REME</t>
  </si>
  <si>
    <t>ACTION_DIALOGUE_COMBINE_IDEA_REME_ROACHES</t>
  </si>
  <si>
    <t>PHRASE_COMBINE_IDEA_REME_ROACHES</t>
  </si>
  <si>
    <t>ACTION_EVENT_REME_SAID_SCARED_ROACHES</t>
  </si>
  <si>
    <t>ACTION_MEMENTO_ROACHES_2</t>
  </si>
  <si>
    <t>MEMENTO_ROACHES_2</t>
  </si>
  <si>
    <t>ACTION_EVENT_THOUGHT_ROACHES_MEMENTO_REME</t>
  </si>
  <si>
    <t>ACTION_DIALOGUE_MAINCHAR_NONSENSE_COMBINE</t>
  </si>
  <si>
    <t>PHRASE_MAINCHAR_NONSENSE_COMBINE</t>
  </si>
  <si>
    <t>ACTION_DIALOGUE_MAINCHAR_NONSENSE_USE_IDEA</t>
  </si>
  <si>
    <t>PHRASE_MAINCHAR_NONSENSE_USE_IDEA</t>
  </si>
  <si>
    <t>ACTION_DIALOGUE_REME_IN_OPT_ROACHES</t>
  </si>
  <si>
    <t>DIALOG_REME</t>
  </si>
  <si>
    <t>DIALOG_REME_ROACHES_OPTION</t>
  </si>
  <si>
    <t>ACTION_DIALOGUE_OBSERVE_LAB_MAGAZINE</t>
  </si>
  <si>
    <t>DIALOG_OBSERVE_LAB_MAGAZINE</t>
  </si>
  <si>
    <t>PHRASE_OBSERVE_EXPERIMENT_TABLE</t>
  </si>
  <si>
    <t>ACTION_MEMENTO_HIVE_LAB_2</t>
  </si>
  <si>
    <t>MEMENTO_HIVE_LAB_2</t>
  </si>
  <si>
    <t>PHRASE_TAKE_EXPERIMENT_TABLE</t>
  </si>
  <si>
    <t>ACTION_EVENT_USED_IDEA_ROACHES_EXPERIMENT_TABLE</t>
  </si>
  <si>
    <t>EVENT_USED_IDEA_ROACHES_EXPERIMENT_TABLE</t>
  </si>
  <si>
    <t>ACTION_MEMENTO_HIVE_LAB_1</t>
  </si>
  <si>
    <t>MEMENTO_HIVE_LAB_1</t>
  </si>
  <si>
    <t>ACTION_SCENE_HIVE_LAB</t>
  </si>
  <si>
    <t>HIVE1_LAB</t>
  </si>
  <si>
    <t>ACTION_DIALOGUE_MAINCHAR_LETS_EXPERIMENT</t>
  </si>
  <si>
    <t>PHRASE_MAINCHAR_LETS_EXPERIMENT</t>
  </si>
  <si>
    <t>ACTION_ANIMATE_MAINCHAR_ABOUT_ENJOY</t>
  </si>
  <si>
    <t>ANIMATION_TRIGGER_NINE</t>
  </si>
  <si>
    <t>PHRASE_OBSERVE_ITEM_PICKABLE_LAB_FLOORWASHER</t>
  </si>
  <si>
    <t>PHRASE_OBSERVE_ITEM_PICKABLE_LAB_DETERGENT</t>
  </si>
  <si>
    <t>PHRASE_OBSERVE_ITEM_PICKABLE_LAB_INSECTICIDE</t>
  </si>
  <si>
    <t>PHRASE_OBSERVE_ITEM_PICKABLE_LAB_VARNISH</t>
  </si>
  <si>
    <t>PHRASE_OBSERVE_ITEM_RUSTY_SPRING</t>
  </si>
  <si>
    <t>ACTION_EVENT_READ_LAB_MAGAZINE</t>
  </si>
  <si>
    <t>EVENT_READ_LAB_MAGAZINE</t>
  </si>
  <si>
    <t>ACTION_EVENT_OBTAINED_RUST_POWDER</t>
  </si>
  <si>
    <t>EVENT_OBTAINED_RUST_POWDER</t>
  </si>
  <si>
    <t>PHRASE_OBSERVE_ITEM_RUST_POWDER</t>
  </si>
  <si>
    <t>ACTION_EVENT_SCRATCHED_RUSTY_SPRING</t>
  </si>
  <si>
    <t>PHRASE_NONSENSE_NOT_THOUGHT</t>
  </si>
  <si>
    <t>ACTION_SPAWN_KEY_SCRATCHER</t>
  </si>
  <si>
    <t>ACTION_DESPAWN_KEY_SCRATCHER</t>
  </si>
  <si>
    <t>ACTION_ANIMATE_KEY_SCRATCHER</t>
  </si>
  <si>
    <t>ACTION_ANIMATE_KEY_SCRATCHER_2</t>
  </si>
  <si>
    <t>ACTION_PLAY_SOUND_METAL_SCRATCHING</t>
  </si>
  <si>
    <t>SOUND_METAL_SCRATCHING</t>
  </si>
  <si>
    <t>ACTION_SPAWN_RUST_UNITS_GENERATOR</t>
  </si>
  <si>
    <t>ACTION_DESPAWN_RUST_UNITS_GENERATOR</t>
  </si>
  <si>
    <t>ACTION_WAIT_4S</t>
  </si>
  <si>
    <t>ACTION_OBTAIN_RUST_POWDER</t>
  </si>
  <si>
    <t>ACTION_DESPAWN_RUST_POWDER</t>
  </si>
  <si>
    <t>ACTION_TYPE_PICK_EXT_PICKABLE</t>
  </si>
  <si>
    <t>ACTION_TYPE_EXEC_CUSTOM_FN</t>
  </si>
  <si>
    <t>CUSTOM_FUNCTION_LAB_ADD_FLOORWASHER</t>
  </si>
  <si>
    <t>CUSTOM_FUNCTION_LAB_ADD_DETERGENT</t>
  </si>
  <si>
    <t>CUSTOM_FUNCTION_LAB_ADD_INSECTICIDE</t>
  </si>
  <si>
    <t>CUSTOM_FUNCTION_LAB_ADD_VARNISH</t>
  </si>
  <si>
    <t>CUSTOM_FUNCTION_LAB_ADD_RUST</t>
  </si>
  <si>
    <t>ACTION_ANIMATION_FLOORWASHER_JUG</t>
  </si>
  <si>
    <t>ANIMATION_FLOORWASHER_JUG</t>
  </si>
  <si>
    <t>ACTION_ANIMATION_DETERGENT_JUG</t>
  </si>
  <si>
    <t>ANIMATION_DETERGENT_JUG</t>
  </si>
  <si>
    <t>ACTION_ANIMATION_INSECTICIDE_JUG</t>
  </si>
  <si>
    <t>ANIMATION_INSECTICIDE_JUG</t>
  </si>
  <si>
    <t>ACTION_ANIMATION_VARNISH_JUG</t>
  </si>
  <si>
    <t>ANIMATION_VARNISH_JUG</t>
  </si>
  <si>
    <t>ACTION_ANIMATION_RUST_JUG</t>
  </si>
  <si>
    <t>ANIMATION_RUST_JUG</t>
  </si>
  <si>
    <t>ACTION_CUSTOM_RESET_LAB_MISC_VALUES</t>
  </si>
  <si>
    <t>CUSTOM_FUNCTION_RESET_LAB_MISC_VALUES</t>
  </si>
  <si>
    <t>CUSTOM_FUNCTION_RECOVER_LAB_MISC_VALUES</t>
  </si>
  <si>
    <t>ACTION_CUSTOM_UPDATE_JUG_LIQUID_VALUE</t>
  </si>
  <si>
    <t>CUSTOM_FUNCTION_UPDATE_JUG_LIQUID</t>
  </si>
  <si>
    <t>ACTION_CUSTOM_LAB_POST_CHECK_VALUE</t>
  </si>
  <si>
    <t>CUSTOM_FUNCTION_LAB_POST_CHECK</t>
  </si>
  <si>
    <t>ACTION_DIALOGUE_COMMENT_PERFECT_MIX_LAB</t>
  </si>
  <si>
    <t>PHRASE_COMMENT_PERFECT_MIX_LAB</t>
  </si>
  <si>
    <t>ACTION_EVENT_LAB_PERFECT_MIX</t>
  </si>
  <si>
    <t>EVENT_LAB_PERFECT_MIX</t>
  </si>
  <si>
    <t>ACTION_MEMENTO_HIVE_LAB_3</t>
  </si>
  <si>
    <t>MEMENTO_HIVE_LAB_3</t>
  </si>
  <si>
    <t>ACTION_DIALOGUE_MAINCHAR_NONSENSE_NOTYET</t>
  </si>
  <si>
    <t>PHRASE_MAINCHAR_NONSENSE_NOTYET</t>
  </si>
  <si>
    <t>ACTION_DIALOGUE_TRY_USE_WITH_COMPLETE_JUG_MIX</t>
  </si>
  <si>
    <t>PHRASE_TRY_USE_WITH_COMPLETE_JUG_MIX</t>
  </si>
  <si>
    <t>ACTION_LOSE_RUST_POWDER</t>
  </si>
  <si>
    <t>ACTION_DIALOGUE_MAINCHAR_NONSENSE_TOO_MUCH</t>
  </si>
  <si>
    <t>PHRASE_MAINCHAR_NONSENSE_TOO_MUCH</t>
  </si>
  <si>
    <t>ACTION_DESTROY_LAB_WORKDESK</t>
  </si>
  <si>
    <t>ACTION_EVENT_LAB_STARTED_MIX</t>
  </si>
  <si>
    <t>EVENT_LAB_STARTED_MIX</t>
  </si>
  <si>
    <t>ACTION_EVENT_MIX_JAR_IN_INVENTORY</t>
  </si>
  <si>
    <t>CUSTOM_FUNCTION_SERVICE_JAR_INIT_STATE</t>
  </si>
  <si>
    <t>ACTION_DESPAWN_MIX_JAR</t>
  </si>
  <si>
    <t>ACTION_SPAWN_MIX_JAR</t>
  </si>
  <si>
    <t>ACTION_DESPAWN_IMPERFECT_MIX_JAR</t>
  </si>
  <si>
    <t>ACTION_DESPAWN_PERFECT_MIX_JAR</t>
  </si>
  <si>
    <t>PHRASE_OBSERVE_IMPERFECT_MIX_JAR</t>
  </si>
  <si>
    <t>PHRASE_OBSERVE_PERFECT_MIX_JAR</t>
  </si>
  <si>
    <t>ACTION_PLAY_SOUND_MIX_JAR_BUBBLES_LOOP</t>
  </si>
  <si>
    <t>SOUND_MIX_JAR_BUBBLES</t>
  </si>
  <si>
    <t>ACTION_STOP_SOUND_MIX_JAR_BUBBLES</t>
  </si>
  <si>
    <t>ACTION_OBTAIN_ITEM_IMPERFECT_MIX_JAR</t>
  </si>
  <si>
    <t>ACTION_OBTAIN_ITEM_PERFECT_MIX_JAR</t>
  </si>
  <si>
    <t>ACTION_ANIMATION_POUR_GREEN_MIX</t>
  </si>
  <si>
    <t>ANIMATION_PLAYER_POUR_GREEN_MIX</t>
  </si>
  <si>
    <t>ACTION_ANIMATION_POUR_RED_MIX</t>
  </si>
  <si>
    <t>ANIMATION_PLAYER_POUR_RED_MIX</t>
  </si>
  <si>
    <t>ACTION_CLEAR_EVENT_LAB_STARTED_MIX</t>
  </si>
  <si>
    <t>(NOT)EVENT_LAB_STARTED_MIX</t>
  </si>
  <si>
    <t>ACTION_CLEAR_EVENT_MIX_JAR_IN_INVENTORY</t>
  </si>
  <si>
    <t>(NOT)EVENT_MIX_JAR_IN_INVENTORY</t>
  </si>
  <si>
    <t>ACTION_EARN_EMPTY_MIX_JAR</t>
  </si>
  <si>
    <t>ACTION_LOSE_IMPERFECT_MIX_JAR</t>
  </si>
  <si>
    <t>ACTION_LOSE_PERFECT_MIX_JAR</t>
  </si>
  <si>
    <t>ACTION_LOSE_EMPTY_MIX_JAR</t>
  </si>
  <si>
    <t>ACTION_DIALOGUE_MAINCHAR_TRY_AGAIN_LAB</t>
  </si>
  <si>
    <t>PHRASE_MAINCHAR_TRY_AGAIN_LAB</t>
  </si>
  <si>
    <t>PHRASE_MAINCHAR_MUST_RETURN_JUG</t>
  </si>
  <si>
    <t>ACTION_DIALOGUE_MAINCHAR_LETS_FLEE_FROM_SRV_ROOM</t>
  </si>
  <si>
    <t>PHRASE_MAINCHAR_LETS_FLEE_FROM_SRV_ROOM</t>
  </si>
  <si>
    <t>ACTION_EVENT_ROACHES_MOB_STARTED</t>
  </si>
  <si>
    <t>EVENT_ROACHES_MOB_STARTED</t>
  </si>
  <si>
    <t>ACTION_MOVE_MAINCHAR_EXIT_SRV_ROOM</t>
  </si>
  <si>
    <t>serviceEntry</t>
  </si>
  <si>
    <t>ACTION_CHANGE_SCENE_HIVE_CORRIDOR</t>
  </si>
  <si>
    <t>HIVE1_CORRIDOR_1</t>
  </si>
  <si>
    <t>serviceExit</t>
  </si>
  <si>
    <t>ACTION_MOVE_MAINCHAR_OBSERVE_SWARM</t>
  </si>
  <si>
    <t>observeSwarm</t>
  </si>
  <si>
    <t>ACTION_ANIMATION_ROACH_MOB</t>
  </si>
  <si>
    <t>ANIMATION_ROACH_MOB</t>
  </si>
  <si>
    <t>ACTION_ANIMATE_REME_HEAR</t>
  </si>
  <si>
    <t>ANIMATION_TRIGGER_CYCLE_TWO</t>
  </si>
  <si>
    <t>ACTION_DIALOGUE_MAINCHAR_AFTERMATH_ROACH_SWARM</t>
  </si>
  <si>
    <t>PHRASE_MAINCHAR_AFTERMATH_ROACH_SWARM</t>
  </si>
  <si>
    <t>ACTION_DESPAWN_REME_1</t>
  </si>
  <si>
    <t>ACTION_EVENT_REME_MOVED</t>
  </si>
  <si>
    <t>PHRASE_DIALOG_OBSERVE_ITEM_SQUAT_WC_AFTER_INCIDENT</t>
  </si>
  <si>
    <t>PHRASE_MAINCHAR_NOT_NEED_SLEEP</t>
  </si>
  <si>
    <t>ACTION_ANIMATE_MAINCHAR_PICKING_BACKWARDS</t>
  </si>
  <si>
    <t>ANIMATION_TRIGGER_TEN</t>
  </si>
  <si>
    <t>ACTION_ANIMATE_MAINCHAR_PICKING_SIDE</t>
  </si>
  <si>
    <t>ACTION_PLAY_SOUND_WARDROBE_OPEN_CLOSE</t>
  </si>
  <si>
    <t>SOUND_WARDROBE_OPEN_CLOSE</t>
  </si>
  <si>
    <t>ACTION_PLAY_SOUND_CHEST_OPEN_CLOSE</t>
  </si>
  <si>
    <t>SOUND_CHEST_OPEN_CLOSE</t>
  </si>
  <si>
    <t>ACTION_SHOW_STREET1_BLIND</t>
  </si>
  <si>
    <t>ACTION_HIDE_STREET1_FACHADE</t>
  </si>
  <si>
    <t>ACTION_HIDE_STREET1_BLIND</t>
  </si>
  <si>
    <t>PHRASE_OBSERVE_MANYO_OWNER</t>
  </si>
  <si>
    <t>ACTION_ANIMATE_MANYO_LISTENING_STEADY</t>
  </si>
  <si>
    <t>ACTION_ANIMATE_MANYO_LEAN_TO_LISTEN</t>
  </si>
  <si>
    <t>ACTION_ANIMATE_MANYO_LEAN_STEADY</t>
  </si>
  <si>
    <t>ACTION_ANIMATE_MANYO_LISTEN_TO_LEAN</t>
  </si>
  <si>
    <t>ACTION_EVENT_USED_WORK_IDEA_MANYO</t>
  </si>
  <si>
    <t>EVENT_USED_WORK_IDEA_MANYO</t>
  </si>
  <si>
    <t>ACTION_DIALOGUE_OPTION_MANYO_WORK</t>
  </si>
  <si>
    <t>DIALOG_MANYO_OWNER</t>
  </si>
  <si>
    <t>DIALOG_OPTION_MANYO_WORK_NOTE</t>
  </si>
  <si>
    <t>ACTION_DIALOGUE_OBSERVE_REME_AND_PHARMACIST</t>
  </si>
  <si>
    <t>PHRASE_OBSERVE_REME_AND_PHARMACIST</t>
  </si>
  <si>
    <t>ACTION_DIALOGUE_REME_YELLING_ASSASIN</t>
  </si>
  <si>
    <t>DIALOG_PHARMACIST_WITH_REME_ASSASIN</t>
  </si>
  <si>
    <t>ACTION_ANIMATE_MAINCHAR_SET_STEADY_BACKWARDS</t>
  </si>
  <si>
    <t>ACTION_ANIMATE_MAINCHAR_STEADY_BACKWARDS</t>
  </si>
  <si>
    <t>ACTION_ANIMATE_MAINCHAR_SET_STEADY_NORMAL</t>
  </si>
  <si>
    <t>SOUND_PHARMACY_VISIT_ENTER</t>
  </si>
  <si>
    <t>ACTION_EVENT_PHARMACIST_GAVE_RECIPE_CLUE</t>
  </si>
  <si>
    <t>EVENT_PHARMACIST_GAVE_RECIPE_CLUE</t>
  </si>
  <si>
    <t>ACTION_MEMENTO_RECIPE_MISSION_2</t>
  </si>
  <si>
    <t>MEMENTO_RECIPE_MISSION_2</t>
  </si>
  <si>
    <t>ACTION_ANIMATE_MATRIARCH_SET_STEADY_LISTEN</t>
  </si>
  <si>
    <t>ACTION_ANIMATE_MATRIARCH_STEADY_TO_LISTEN</t>
  </si>
  <si>
    <t>ACTION_ANIMATE_MATRIARCH_SET_STEADY_STEADY</t>
  </si>
  <si>
    <t>ACTION_ANIMATE_MATRIARCH_LISTEN_TO_STEADY</t>
  </si>
  <si>
    <t>ACTION_DIALOGUE_MATRIARCH</t>
  </si>
  <si>
    <t>DIALOG_MATRIARCH_INTRO</t>
  </si>
  <si>
    <t>ACTION_EVENT_USED_RECIPE_IDEA_PHARMACIST</t>
  </si>
  <si>
    <t>EVENT_USED_RECIPE_IDEA_PHARMACIST</t>
  </si>
  <si>
    <t>ACTION_EVENT_USED_RECIPE_IDEA_MATRIARCH</t>
  </si>
  <si>
    <t>EVENT_USED_RECIPE_IDEA_MATRIARCH</t>
  </si>
  <si>
    <t>ACTION_DIALOGUE_MATRIARCH_RECIPE_OPT</t>
  </si>
  <si>
    <t>DIALOG_MATRIARCH</t>
  </si>
  <si>
    <t>DIALOG_OPTION_MATRIARCH_RECIPE</t>
  </si>
  <si>
    <t>ACTION_MEMENTO_RECIPE_MISSION_3</t>
  </si>
  <si>
    <t>MEMENTO_RECIPE_MISSION_3</t>
  </si>
  <si>
    <t>PHRASE_OBSERVE_MATRIARCH</t>
  </si>
  <si>
    <t>ACTION_LAST</t>
  </si>
  <si>
    <t>SPRITE_ID</t>
  </si>
  <si>
    <t>PATH</t>
  </si>
  <si>
    <t>ATLAS</t>
  </si>
  <si>
    <t>SPRITE_ATLAS_UI_0</t>
  </si>
  <si>
    <t>SPRITE_CURSOR_NORMAL</t>
  </si>
  <si>
    <t>SPRITE_CURSOR_USING</t>
  </si>
  <si>
    <t>SPRITE_CURSOR_DRAG</t>
  </si>
  <si>
    <t>SPRITE_INVENTORY</t>
  </si>
  <si>
    <t>SPRITE_UI_TAKE</t>
  </si>
  <si>
    <t>SPRITE_ACTION_TAKE</t>
  </si>
  <si>
    <t>SPRITE_UI_TALK</t>
  </si>
  <si>
    <t>SPRITE_ACTION_TALK</t>
  </si>
  <si>
    <t>SPRITE_UI_OBSERVE</t>
  </si>
  <si>
    <t>SPRITE_ACTION_OBSERVE</t>
  </si>
  <si>
    <t>SPRITE_UI_MOUSE_MOVE</t>
  </si>
  <si>
    <t>SPRITE_MOUSE_MOVE</t>
  </si>
  <si>
    <t>SPRITE_UI_CURSOR_DOOR</t>
  </si>
  <si>
    <t>SPRITE_CURSOR_DOOR</t>
  </si>
  <si>
    <t>BACKGROUND_HIVE1_ROOM1</t>
  </si>
  <si>
    <t>SPRITE_ATLAS_HIVE1_0</t>
  </si>
  <si>
    <t>SPRITE_HIVE1_CHEST_CLOSED</t>
  </si>
  <si>
    <t>SPRITE_HIVE1_CHEST_OPENED</t>
  </si>
  <si>
    <t>SPRITE_HIVE1_CHEST_CARDS</t>
  </si>
  <si>
    <t>SPRITE_PICKABLE_CARDS</t>
  </si>
  <si>
    <t>SPRITE_ATLAS_PICKABLE_0</t>
  </si>
  <si>
    <t>SPRITE_ITEM_DECO_BED_LAYER</t>
  </si>
  <si>
    <t>SPRITE_HIVE1_BED_LAYER</t>
  </si>
  <si>
    <t>SPRITE_HIVE1_WARDROBE_OPENED</t>
  </si>
  <si>
    <t>BACKGROUND_HIVE1_CORRIDOR1</t>
  </si>
  <si>
    <t>SPRITE_ATLAS_HIVE1_1</t>
  </si>
  <si>
    <t>BACKGROUND_HIVE1_HALL1</t>
  </si>
  <si>
    <t>SPRITE_ATLAS_HIVE1_2</t>
  </si>
  <si>
    <t>BACKGROUND_HIVE1_WC</t>
  </si>
  <si>
    <t>SPRITE_ATLAS_HIVE1_3</t>
  </si>
  <si>
    <t>BACKGROUND_HIVE1_CORRIDOR1_N</t>
  </si>
  <si>
    <t>BACKGROUND_HIVE1_CORRIDOR1_NIGHT</t>
  </si>
  <si>
    <t>SPRITE_ATLAS_HIVE1_4</t>
  </si>
  <si>
    <t>BACKGROUND_HIVE1_HALL1_N</t>
  </si>
  <si>
    <t>BACKGROUND_HIVE1_HALL1_NIGHT</t>
  </si>
  <si>
    <t>SPRITE_ATLAS_HIVE1_5</t>
  </si>
  <si>
    <t>BACKGROUND_HIVE1_WC_N</t>
  </si>
  <si>
    <t>BACKGROUND_HIVE1_WC_NIGHT</t>
  </si>
  <si>
    <t>SPRITE_ATLAS_HIVE1_6</t>
  </si>
  <si>
    <t>BACKGROUND_CITY1_STREET1</t>
  </si>
  <si>
    <t>SPRITE_ATLAS_CITY1_1</t>
  </si>
  <si>
    <t>BACKGROUND_CITY1_STREET1_N</t>
  </si>
  <si>
    <t>BACKGROUND_CITY1_STREET1_NIGHT</t>
  </si>
  <si>
    <t>SPRITE_ATLAS_CITY1_2</t>
  </si>
  <si>
    <t>BACKGROUND_CITY1_STREET2</t>
  </si>
  <si>
    <t>SPRITE_ATLAS_CITY2_1</t>
  </si>
  <si>
    <t>BACKGROUND_CITY1_STREET2_N</t>
  </si>
  <si>
    <t>BACKGROUND_CITY1_STREET2_NIGHT</t>
  </si>
  <si>
    <t>SPRITE_ATLAS_CITY2_2</t>
  </si>
  <si>
    <t>BACKGROUND_PHARMACY1</t>
  </si>
  <si>
    <t>SPRITE_ATLAS_PHARMACY1_1</t>
  </si>
  <si>
    <t>SPRITE_NPC_PHARMACY_QUEUE</t>
  </si>
  <si>
    <t>SPRITE_PHARMACY_QUEUE_1</t>
  </si>
  <si>
    <t>SPRITE_PHARMACY_OWNER</t>
  </si>
  <si>
    <t>BACKGROUND_CITY1_MANYO</t>
  </si>
  <si>
    <t>SPRITE_ATLAS_MANYO_0</t>
  </si>
  <si>
    <t>BACKGROUND_CITY1_MANYO_NIGHT</t>
  </si>
  <si>
    <t>SPRITE_ATLAS_MANYO_1</t>
  </si>
  <si>
    <t>SPRITE_ATLAS_MANYO_BOSS1</t>
  </si>
  <si>
    <t>BACKGROUND_BACKALLEY</t>
  </si>
  <si>
    <t>BACKGROUND_HIVE1_BACKALLEY</t>
  </si>
  <si>
    <t>SPRITE_ATLAS_HIVE1_7</t>
  </si>
  <si>
    <t>BACKGROUND_BACKALLEY_NIGHT</t>
  </si>
  <si>
    <t>BACKGROUND_HIVE1_BACKALLEY_NIGHT</t>
  </si>
  <si>
    <t>SPRITE_ATLAS_HIVE1_8</t>
  </si>
  <si>
    <t>SPRITE_PICKABLE_SHOELACE</t>
  </si>
  <si>
    <t>BACKGROUND_CITY1_SOUTH_STREET_1</t>
  </si>
  <si>
    <t>SPRITE_ATLAS_CITY3_1</t>
  </si>
  <si>
    <t>BACKGROUND_CITY1_SOUTH_STREET_1_NIGHT</t>
  </si>
  <si>
    <t>SPRITE_ATLAS_CITY3_2</t>
  </si>
  <si>
    <t>BACKGROUND_CITY1_SOUTH_STREET_2</t>
  </si>
  <si>
    <t>SPRITE_ATLAS_CITY4_1</t>
  </si>
  <si>
    <t>BACKGROUND_CITY1_SOUTH_STREET_2_NIGHT</t>
  </si>
  <si>
    <t>SPRITE_ATLAS_CITY4_2</t>
  </si>
  <si>
    <t>SPRITE_ATLAS_EXTRAPERLO1</t>
  </si>
  <si>
    <t>SPRITE_EXTRAPERLO_BAR_FOREGROUND</t>
  </si>
  <si>
    <t>SPRITE_ATLAS_FIK_1</t>
  </si>
  <si>
    <t>SPRITE_ATLAS_MAINCHAR_1</t>
  </si>
  <si>
    <t>SPRITE_WATER_FLOW_BACKALLEY_NIGHT</t>
  </si>
  <si>
    <t>SPRITE_ATLAS_GERMAN_1</t>
  </si>
  <si>
    <t>SPRITE_ATLAS_WAITER_1</t>
  </si>
  <si>
    <t>BACKGROUND_CITY1_EXTRAPERLO2</t>
  </si>
  <si>
    <t>SPRITE_ATLAS_EXTRAPERLO2</t>
  </si>
  <si>
    <t>SPRITE_ATLAS_UNKNOWN_WOMEN_1</t>
  </si>
  <si>
    <t>SPRITE_EXTRAPERLO_COUPLE_TALKING</t>
  </si>
  <si>
    <t>SPRITE_ATLAS_EXTRAPERLO_COUPLE</t>
  </si>
  <si>
    <t>SPRITE_FIRE_DANCING</t>
  </si>
  <si>
    <t>SPRITE_ATLAS_ARTURO1</t>
  </si>
  <si>
    <t>SPRITE_CARD_REVERSE</t>
  </si>
  <si>
    <t>SPRITE_ATLAS_CARDS1</t>
  </si>
  <si>
    <t>SPRITE_CARDS</t>
  </si>
  <si>
    <t>SPRITE_EXTRAPERLO_TABLE1_STEADY</t>
  </si>
  <si>
    <t>SPRITE_ATLAS_EXTRAPERLO_TABLES</t>
  </si>
  <si>
    <t>SPRITE_EXTRAPERLO_TABLE2_STEADY</t>
  </si>
  <si>
    <t>BACKGROUND_EXTRAPERLO_GARDEN</t>
  </si>
  <si>
    <t>BACKGROUND_CITY1_EXTRAPERLO_GARDEN</t>
  </si>
  <si>
    <t>SPRITE_ATLAS_EXTRAPERLO_GARDEN</t>
  </si>
  <si>
    <t>SPRITE_ATLAS_SILVANA_0</t>
  </si>
  <si>
    <t>SPRITE_ATLAS_PAMFRY1</t>
  </si>
  <si>
    <t>BACKGROUND_DREAM_1_CORRIDOR</t>
  </si>
  <si>
    <t>SPRITE_ATLAS_DREAM1_1</t>
  </si>
  <si>
    <t>BACKGROUND_DREAM_1_FRAMEWORK</t>
  </si>
  <si>
    <t>SPRITE_ATLAS_DREAM1_2</t>
  </si>
  <si>
    <t>BACKGROUND_DREAM_1_KITCHEN</t>
  </si>
  <si>
    <t>SPRITE_ATLAS_DREAM1_3</t>
  </si>
  <si>
    <t>BACKGROUND_DREAM_1_BEDROOM</t>
  </si>
  <si>
    <t>SPRITE_ATLAS_DREAM1_4</t>
  </si>
  <si>
    <t>SPRITE_ATLAS_SULTAN_0</t>
  </si>
  <si>
    <t>SPRITE_ATLAS_PILAR_0</t>
  </si>
  <si>
    <t>BACKGROUND_DREAM_1_BEDROOM_NIGHT</t>
  </si>
  <si>
    <t>SPRITE_MAINCHAR_STEADY_BED</t>
  </si>
  <si>
    <t>SPRITE_ATLAS_MAINCHAR_BED</t>
  </si>
  <si>
    <t>BACKGROUND_DREAM_1_CORRIDOR_NIGHT</t>
  </si>
  <si>
    <t>SPRITE_ATLAS_DREAM1_5</t>
  </si>
  <si>
    <t>SPRITE_ATLAS_ALTER_EGO1</t>
  </si>
  <si>
    <t>BACKGROUND_DREAM_1_KITCHEN_NIGHT</t>
  </si>
  <si>
    <t>SPRITE_ATLAS_DREAM1_6</t>
  </si>
  <si>
    <t>SPRITE_MAINCHAR_SEATED_STEADY</t>
  </si>
  <si>
    <t>SPRITE_ATLAS_MAINCHAR_SEATED</t>
  </si>
  <si>
    <t>BACKGROUND_STATION_1</t>
  </si>
  <si>
    <t>SPRITE_ATLAS_TRAIN1_1</t>
  </si>
  <si>
    <t>BACKGROUND_STATION_1_NIGHT</t>
  </si>
  <si>
    <t>BACKGROUND_MAP_1</t>
  </si>
  <si>
    <t>SPRITE_ATLAS_MAP</t>
  </si>
  <si>
    <t>BACKGROUND_MAP_1_NIGHT</t>
  </si>
  <si>
    <t>BACKGROUND_UNDER_BED</t>
  </si>
  <si>
    <t>SPRITE_ATLAS_UNDER_BED</t>
  </si>
  <si>
    <t>SPRITE_SERVICE_DOOR_OPENED_NIGHT</t>
  </si>
  <si>
    <t>BACKGROUND_SERVICE_ROOM_DAY</t>
  </si>
  <si>
    <t>SPRITE_ATLAS_SERVICE_ROOM1</t>
  </si>
  <si>
    <t>FOREGROUND_SERVICE_ROOM_DAY</t>
  </si>
  <si>
    <t>SPRITE_ICON_PUSH_OBTAIN_ITEM</t>
  </si>
  <si>
    <t>SPRITE_ICON_PUSH_LOSE_ITEM</t>
  </si>
  <si>
    <t>SPRITE_ICON_PUSH_OBTAIN_MEMENTO</t>
  </si>
  <si>
    <t>SPRITE_ICON_PUSH_COMPLETE_MEMENTO</t>
  </si>
  <si>
    <t>SPRITE_ICON_TICK</t>
  </si>
  <si>
    <t>SPRITE_INTERNAL_CIRCLE</t>
  </si>
  <si>
    <t>SPRITE_INVENTORY_SELECTED_TAB</t>
  </si>
  <si>
    <t>SPRITE_INVENTORY_ARROW</t>
  </si>
  <si>
    <t>SPRITE_ICON_INVENTORY_ITEM</t>
  </si>
  <si>
    <t>SPRITE_ICON_INVENTORY_IDEA</t>
  </si>
  <si>
    <t>SPRITE_BOOK_MEMENTOS</t>
  </si>
  <si>
    <t>BACKGROUND_HIVE1_LAB</t>
  </si>
  <si>
    <t>SPRITE_ATLAS_HIVE1_LAB1</t>
  </si>
  <si>
    <t>SPRITE_JUG_LIQUID_MASK</t>
  </si>
  <si>
    <t>SPRITE_MEMENTO_HIVE_LAB</t>
  </si>
  <si>
    <t>SPRITE_RUST_POWDER_UNIT</t>
  </si>
  <si>
    <t>SPRITE_MIX_JAR_PERFECT_SWIRLING</t>
  </si>
  <si>
    <t>SPRITE_CITY1_STREET2_MOV_PEOPLE</t>
  </si>
  <si>
    <t>SPRITE_CITY1_STREET2_MOV_BLIND</t>
  </si>
  <si>
    <t>BACKGROUND_SLUM_FACTORY_DAY</t>
  </si>
  <si>
    <t>SPRITE_ATLAS_SLUM_FACTORY_1</t>
  </si>
  <si>
    <t>BACKGROUND_SLUM_FACTORY_NIGHT</t>
  </si>
  <si>
    <t>SPRITE_ATLAS_SLUM_FACTORY_2</t>
  </si>
  <si>
    <t>BACKGROUND_SLUM_NEIGH_DAY</t>
  </si>
  <si>
    <t>SPRITE_ATLAS_SLUM_NEIGH_1</t>
  </si>
  <si>
    <t>SPRITE_ATLAS_MATRIARCH</t>
  </si>
  <si>
    <t>SPRITE_ATLAS_SLUM_KIDS1</t>
  </si>
  <si>
    <t>SOUND_ID</t>
  </si>
  <si>
    <t>Effect</t>
  </si>
  <si>
    <t>EFFECT_NONE</t>
  </si>
  <si>
    <t>MUSIC_GARDEN</t>
  </si>
  <si>
    <t>SOUND_OBSERVE_ITEM_EXTRAPERLO_INVITATION_DETAIL</t>
  </si>
  <si>
    <t>SOUND_OBSERVE_ITEM_EXTRAPERLO_INVITATION_DETAIL_SPANISH</t>
  </si>
  <si>
    <t>SOUND_OBSERVE_ITEM_SHOELACE</t>
  </si>
  <si>
    <t>SOUND_OBSERVE_ITEM_SHOELACE_SPANISH</t>
  </si>
  <si>
    <t>SOUND_FART_1</t>
  </si>
  <si>
    <t>SOUND_POOR_MAN_BCKG_1</t>
  </si>
  <si>
    <t>SOUND_POOR_MAN_BCKG_2</t>
  </si>
  <si>
    <t>SOUND_POOR_MAN_BCKG_3</t>
  </si>
  <si>
    <t>MUSIC_PHARMACY</t>
  </si>
  <si>
    <t>MUSIC_SOUTH_NEIGH</t>
  </si>
  <si>
    <t>MUSIC_MANYO</t>
  </si>
  <si>
    <t>SOUND_AMBIENCE_MANYO_NIGHT</t>
  </si>
  <si>
    <t>SOUND_AMBIENCE_CITY_DAY</t>
  </si>
  <si>
    <t>SOUND_AMBIENCE_CITY_NIGHT</t>
  </si>
  <si>
    <t>MUSIC_INN</t>
  </si>
  <si>
    <t>SOUND_FIK_INTRO_1</t>
  </si>
  <si>
    <t>SOUND_FIK_INTRO_1_SPANISH</t>
  </si>
  <si>
    <t>SOUND_FIK_INTRO_2</t>
  </si>
  <si>
    <t>SOUND_FIK_INTRO_2_SPANISH</t>
  </si>
  <si>
    <t>SOUND_FIK_1_OP_0_0</t>
  </si>
  <si>
    <t>SOUND_FIK_1_OP_0_0_SPANISH</t>
  </si>
  <si>
    <t>SOUND_FIK_1_OP_0_1</t>
  </si>
  <si>
    <t>SOUND_FIK_1_OP_0_1_SPANISH</t>
  </si>
  <si>
    <t>SOUND_FIK_1_OP_1_0</t>
  </si>
  <si>
    <t>SOUND_FIK_1_OP_1_0_SPANISH</t>
  </si>
  <si>
    <t>SOUND_FIK_1_OP_1_1</t>
  </si>
  <si>
    <t>SOUND_FIK_1_OP_1_1_SPANISH</t>
  </si>
  <si>
    <t>SOUND_FIK_1_OP_1_2</t>
  </si>
  <si>
    <t>SOUND_FIK_1_OP_1_2_SPANISH</t>
  </si>
  <si>
    <t>SOUND_FIK_1_OP_1_3</t>
  </si>
  <si>
    <t>SOUND_FIK_1_OP_1_3_SPANISH</t>
  </si>
  <si>
    <t>SOUND_FIK_1_OP_2_0</t>
  </si>
  <si>
    <t>SOUND_FIK_1_OP_2_0_SPANISH</t>
  </si>
  <si>
    <t>SOUND_FIK_1_OP_2_1</t>
  </si>
  <si>
    <t>SOUND_FIK_1_OP_2_1_SPANISH</t>
  </si>
  <si>
    <t>SOUND_FIK_1_OP_3_0</t>
  </si>
  <si>
    <t>SOUND_FIK_1_OP_3_0_SPANISH</t>
  </si>
  <si>
    <t>SOUND_FIK_2_OP_0_0</t>
  </si>
  <si>
    <t>SOUND_FIK_2_OP_0_0_SPANISH</t>
  </si>
  <si>
    <t>SOUND_FIK_2_OP_0_1</t>
  </si>
  <si>
    <t>SOUND_FIK_2_OP_0_1_SPANISH</t>
  </si>
  <si>
    <t>SOUND_FIK_2_OP_1_0</t>
  </si>
  <si>
    <t>SOUND_FIK_2_OP_1_0_SPANISH</t>
  </si>
  <si>
    <t>SOUND_FIK_2_OP_1_1</t>
  </si>
  <si>
    <t>SOUND_FIK_2_OP_1_1_SPANISH</t>
  </si>
  <si>
    <t>SOUND_FIK_2_OP_2_0</t>
  </si>
  <si>
    <t>SOUND_FIK_2_OP_2_0_SPANISH</t>
  </si>
  <si>
    <t>SOUND_FIK_2_OP_2_1</t>
  </si>
  <si>
    <t>SOUND_FIK_2_OP_2_1_SPANISH</t>
  </si>
  <si>
    <t>SOUND_FIK_2_OP_3_0</t>
  </si>
  <si>
    <t>SOUND_FIK_2_OP_3_0_SPANISH</t>
  </si>
  <si>
    <t>SOUND_FIK_2_OP_3_1</t>
  </si>
  <si>
    <t>SOUND_FIK_2_OP_3_1_SPANISH</t>
  </si>
  <si>
    <t>SOUND_FIK_NOT_CROSS</t>
  </si>
  <si>
    <t>SOUND_FIK_NOT_CROSS_SPANISH</t>
  </si>
  <si>
    <t>SOUND_MAINCHAR_NONSENSE</t>
  </si>
  <si>
    <t>SOUND_MAINCHAR_NONSENSE_SPANISH</t>
  </si>
  <si>
    <t>SOUND_MAINCHAR_NONSENSE_OBSERVE</t>
  </si>
  <si>
    <t>SOUND_MAINCHAR_NONSENSE_OBSERVE_SPANISH</t>
  </si>
  <si>
    <t>SOUND_MAINCHAR_NONSENSE_TALK</t>
  </si>
  <si>
    <t>SOUND_MAINCHAR_NONSENSE_TALK_SPANISH</t>
  </si>
  <si>
    <t>SOUND_PHRASE_DIALOG_MANYO_BCKG_CROWD_1</t>
  </si>
  <si>
    <t>SOUND_PHRASE_DIALOG_MANYO_BCKG_CROWD_1_SPANISH</t>
  </si>
  <si>
    <t>SOUND_PHRASE_DIALOG_MANYO_BCKG_CROWD_2</t>
  </si>
  <si>
    <t>SOUND_PHRASE_DIALOG_MANYO_BCKG_CROWD_2_SPANISH</t>
  </si>
  <si>
    <t>SOUND_PHRASE_DIALOG_MANYO_BCKG_CROWD_3</t>
  </si>
  <si>
    <t>SOUND_PHRASE_DIALOG_MANYO_BCKG_CROWD_3_SPANISH</t>
  </si>
  <si>
    <t>SOUND_AMBIENCE_INSIDE_PUB</t>
  </si>
  <si>
    <t>SOUND_AMBIENCE_OUTSIDE_PUB</t>
  </si>
  <si>
    <t>SOUND_GERMAN_INTRO</t>
  </si>
  <si>
    <t>SOUND_GERMAN_1_OP_0_0</t>
  </si>
  <si>
    <t>SOUND_GERMAN_1_OP_0_0_SPANISH</t>
  </si>
  <si>
    <t>SOUND_GERMAN_1_OP_0_1</t>
  </si>
  <si>
    <t>SOUND_GERMAN_1_OP_0_1_SPANISH</t>
  </si>
  <si>
    <t>SOUND_GERMAN_1_OP_1_0</t>
  </si>
  <si>
    <t>SOUND_GERMAN_1_OP_1_0_SPANISH</t>
  </si>
  <si>
    <t>SOUND_GERMAN_1_OP_1_1</t>
  </si>
  <si>
    <t>SOUND_GERMAN_1_OP_1_1_SPANISH</t>
  </si>
  <si>
    <t>SOUND_GERMAN_1_OP_1_2</t>
  </si>
  <si>
    <t>SOUND_GERMAN_1_OP_1_2_SPANISH</t>
  </si>
  <si>
    <t>SOUND_GERMAN_SHOUTS_COCAI</t>
  </si>
  <si>
    <t>SOUND_WAITER_INTRO_1_0</t>
  </si>
  <si>
    <t>SOUND_WAITER_INTRO_1_0_SPANISH</t>
  </si>
  <si>
    <t>SOUND_WAITER_INTRO_1_1</t>
  </si>
  <si>
    <t>SOUND_WAITER_INTRO_1_1_SPANISH</t>
  </si>
  <si>
    <t>SOUND_WAITER_INTRO_1_2</t>
  </si>
  <si>
    <t>SOUND_WAITER_INTRO_1_2_SPANISH</t>
  </si>
  <si>
    <t>SOUND_WAITER_INTRO_1_3</t>
  </si>
  <si>
    <t>SOUND_WAITER_INTRO_1_3_SPANISH</t>
  </si>
  <si>
    <t>SOUND_WAITER_INTRO_2_0</t>
  </si>
  <si>
    <t>SOUND_WAITER_USE_INVITATION_1</t>
  </si>
  <si>
    <t>SOUND_WAITER_USE_INVITATION_1_SPANISH</t>
  </si>
  <si>
    <t>SOUND_WAITER_USE_INVITATION_2</t>
  </si>
  <si>
    <t>SOUND_WAITER_USE_INVITATION_2_SPANISH</t>
  </si>
  <si>
    <t>SOUND_WAITER_USE_INVITATION_3</t>
  </si>
  <si>
    <t>SOUND_WAITER_USE_INVITATION_3_SPANISH</t>
  </si>
  <si>
    <t>SOUND_UNKNOWN_WOMEN_INTRO_1_0</t>
  </si>
  <si>
    <t>SOUND_UNKNOWN_WOMEN_INTRO_1_0_SPANISH</t>
  </si>
  <si>
    <t>SOUND_UNKNOWN_WOMEN_INTRO_1_1</t>
  </si>
  <si>
    <t>SOUND_UNKNOWN_WOMEN_INTRO_1_1_SPANISH</t>
  </si>
  <si>
    <t>SOUND_TAKE_UNKNOWN_WOMEN</t>
  </si>
  <si>
    <t>SOUND_TAKE_UNKNOWN_WOMEN_SPANISH</t>
  </si>
  <si>
    <t>SOUND_OBSERVE_EXTRAPERLO_ARTURO</t>
  </si>
  <si>
    <t>SOUND_OBSERVE_EXTRAPERLO_ARTURO_SPANISH</t>
  </si>
  <si>
    <t>SOUND_ARTURO_EXTRAPERLO_INTRO_1</t>
  </si>
  <si>
    <t>SOUND_ARTURO_EXTRAPERLO_INTRO_1_SPANISH</t>
  </si>
  <si>
    <t>SOUND_ARTURO_EXTRAPERLO_OP_0_0</t>
  </si>
  <si>
    <t>SOUND_ARTURO_EXTRAPERLO_OP_0_0_SPANISH</t>
  </si>
  <si>
    <t>SOUND_ARTURO_EXTRAPERLO_OP_0_1</t>
  </si>
  <si>
    <t>SOUND_ARTURO_EXTRAPERLO_OP_0_1_SPANISH</t>
  </si>
  <si>
    <t>SOUND_ARTURO_EXTRAPERLO_OP_0_2</t>
  </si>
  <si>
    <t>SOUND_ARTURO_EXTRAPERLO_OP_0_2_SPANISH</t>
  </si>
  <si>
    <t>SOUND_ARTURO_EXTRAPERLO_OP_0_3</t>
  </si>
  <si>
    <t>SOUND_ARTURO_EXTRAPERLO_OP_0_3_SPANISH</t>
  </si>
  <si>
    <t>SOUND_ARTURO_EXTRAPERLO_OP_1_0</t>
  </si>
  <si>
    <t>SOUND_ARTURO_EXTRAPERLO_OP_1_0_SPANISH</t>
  </si>
  <si>
    <t>SOUND_ARTURO_EXTRAPERLO_OP_1_1</t>
  </si>
  <si>
    <t>SOUND_ARTURO_EXTRAPERLO_OP_1_1_SPANISH</t>
  </si>
  <si>
    <t>SOUND_ARTURO_EXTRAPERLO_OP_1_2</t>
  </si>
  <si>
    <t>SOUND_ARTURO_EXTRAPERLO_OP_1_2_SPANISH</t>
  </si>
  <si>
    <t>SOUND_ARTURO_EXTRAPERLO_OP_1_3</t>
  </si>
  <si>
    <t>SOUND_ARTURO_EXTRAPERLO_OP_1_3_SPANISH</t>
  </si>
  <si>
    <t>SOUND_ARTURO_EXTRAPERLO_OP_1_4</t>
  </si>
  <si>
    <t>SOUND_ARTURO_EXTRAPERLO_OP_1_4_SPANISH</t>
  </si>
  <si>
    <t>SOUND_ARTURO_EXTRAPERLO_OP_2_0</t>
  </si>
  <si>
    <t>SOUND_ARTURO_EXTRAPERLO_OP_2_0_SPANISH</t>
  </si>
  <si>
    <t>SOUND_ARTURO_EXTRAPERLO_OP_2_1</t>
  </si>
  <si>
    <t>SOUND_ARTURO_EXTRAPERLO_OP_2_1_SPANISH</t>
  </si>
  <si>
    <t>SOUND_ARTURO_EXTRAPERLO_OP_2_2</t>
  </si>
  <si>
    <t>SOUND_ARTURO_EXTRAPERLO_OP_2_2_SPANISH</t>
  </si>
  <si>
    <t>SOUND_ARTURO_EXTRAPERLO_OP_2_3</t>
  </si>
  <si>
    <t>SOUND_ARTURO_EXTRAPERLO_OP_2_3_SPANISH</t>
  </si>
  <si>
    <t>SOUND_ARTURO_EXTRAPERLO_OP_2_4</t>
  </si>
  <si>
    <t>SOUND_ARTURO_EXTRAPERLO_OP_2_4_SPANISH</t>
  </si>
  <si>
    <t>SOUND_ARTURO_EXTRAPERLO_OP_2_5</t>
  </si>
  <si>
    <t>SOUND_ARTURO_EXTRAPERLO_OP_2_5_SPANISH</t>
  </si>
  <si>
    <t>SOUND_ARTURO_EXTRAPERLO_OP_2_6</t>
  </si>
  <si>
    <t>SOUND_ARTURO_EXTRAPERLO_OP_2_6_SPANISH</t>
  </si>
  <si>
    <t>SOUND_ARTURO_EXTRAPERLO_OP_2_7</t>
  </si>
  <si>
    <t>SOUND_ARTURO_EXTRAPERLO_OP_2_7_SPANISH</t>
  </si>
  <si>
    <t>SOUND_CARD_PLACE_1</t>
  </si>
  <si>
    <t>SOUND_CARD_PLACE_2</t>
  </si>
  <si>
    <t>SOUND_CARD_PLACE_3</t>
  </si>
  <si>
    <t>SOUND_CARD_TAKEBACK</t>
  </si>
  <si>
    <t>SOUND_CARDS1_MAINCHAR_TAUNT1</t>
  </si>
  <si>
    <t>SOUND_CARDS1_MAINCHAR_TAUNT_1_SPANISH</t>
  </si>
  <si>
    <t>SOUND_CARDS1_MAINCHAR_TAUNT2</t>
  </si>
  <si>
    <t>SOUND_CARDS1_MAINCHAR_TAUNT_2_SPANISH</t>
  </si>
  <si>
    <t>SOUND_CARDS1_MAINCHAR_TAUNT3</t>
  </si>
  <si>
    <t>SOUND_CARDS1_MAINCHAR_TAUNT_3_SPANISH</t>
  </si>
  <si>
    <t>SOUND_CARDS1_MAINCHAR_TAUNT4</t>
  </si>
  <si>
    <t>SOUND_CARDS1_MAINCHAR_TAUNT_4_SPANISH</t>
  </si>
  <si>
    <t>SOUND_CARDS1_MAINCHAR_TAUNT5</t>
  </si>
  <si>
    <t>SOUND_CARDS1_MAINCHAR_TAUNT_5_SPANISH</t>
  </si>
  <si>
    <t>SOUND_CARDS1_TAUNT_ARTURO_1</t>
  </si>
  <si>
    <t>SOUND_CARDS1_TAUNT_ARTURO_1_SPANISH</t>
  </si>
  <si>
    <t>SOUND_CARDS1_TAUNT_ARTURO_2</t>
  </si>
  <si>
    <t>SOUND_CARDS1_TAUNT_ARTURO_2_SPANISH</t>
  </si>
  <si>
    <t>SOUND_CARDS1_TAUNT_ARTURO_3</t>
  </si>
  <si>
    <t>SOUND_CARDS1_TAUNT_ARTURO_3_SPANISH</t>
  </si>
  <si>
    <t>SOUND_CARDS1_TAUNT_ARTURO_4</t>
  </si>
  <si>
    <t>SOUND_CARDS1_TAUNT_ARTURO_4_SPANISH</t>
  </si>
  <si>
    <t>SOUND_CARDS1_TAUNT_ARTURO_5</t>
  </si>
  <si>
    <t>SOUND_CARDS1_TAUNT_ARTURO_5_SPANISH</t>
  </si>
  <si>
    <t>SOUND_CARDS1_TAUNT_ARTURO_6</t>
  </si>
  <si>
    <t>SOUND_CARDS1_TAUNT_ARTURO_6_SPANISH</t>
  </si>
  <si>
    <t>MUSIC_CARDS</t>
  </si>
  <si>
    <t>SOUND_CARDS1_MAINCHAR_WIN</t>
  </si>
  <si>
    <t>SOUND_CARDS1_MAINCHAR_TAUNT_WIN_SPANISH</t>
  </si>
  <si>
    <t>SOUND_CARDS1_TAUNT_ARTURO_WIN</t>
  </si>
  <si>
    <t>SOUND_CARDS1_TAUNT_ARTURO_WIN_SPANISH</t>
  </si>
  <si>
    <t>SOUND_PHRASE_DIALOG_CLOWN_EXTRAPERLO_OPTION_1_0</t>
  </si>
  <si>
    <t>SOUND_CLOWN_OP0_0_SPANISH</t>
  </si>
  <si>
    <t>SOUND_PHRASE_DIALOG_CLOWN_EXTRAPERLO_OPTION_1_1</t>
  </si>
  <si>
    <t>SOUND_CLOWN_OP0_1_SPANISH</t>
  </si>
  <si>
    <t>SOUND_PHRASE_DIALOG_CLOWN_EXTRAPERLO_OPTION_1_2</t>
  </si>
  <si>
    <t>SOUND_CLOWN_OP0_2_SPANISH</t>
  </si>
  <si>
    <t>SOUND_PHRASE_DIALOG_CLOWN_EXTRAPERLO_OPTION_1_3</t>
  </si>
  <si>
    <t>SOUND_CLOWN_OP0_3_SPANISH</t>
  </si>
  <si>
    <t>SOUND_PHRASE_DIALOG_CLOWN_EXTRAPERLO_OPTION_1_4</t>
  </si>
  <si>
    <t>SOUND_CLOWN_OP0_4_SPANISH</t>
  </si>
  <si>
    <t>SOUND_PHRASE_DIALOG_CLOWN_EXTRAPERLO_OPTION_2_0</t>
  </si>
  <si>
    <t>SOUND_CLOWN_OP1_0_SPANISH</t>
  </si>
  <si>
    <t>SOUND_PHRASE_DIALOG_CLOWN_EXTRAPERLO_OPTION_2_1</t>
  </si>
  <si>
    <t>SOUND_CLOWN_OP1_1_SPANISH</t>
  </si>
  <si>
    <t>SOUND_PHRASE_DIALOG_CLOWN_EXTRAPERLO_OPTION_3_0</t>
  </si>
  <si>
    <t>SOUND_CLOWN_OP2_0_SPANISH</t>
  </si>
  <si>
    <t>SOUND_PHRASE_DIALOG_CLOWN_EXTRAPERLO_OPTION_3_2</t>
  </si>
  <si>
    <t>SOUND_CLOWN_OP2_1_SPANISH</t>
  </si>
  <si>
    <t>SOUND_PHRASE_DIALOG_CLOWN_EXTRAPERLO_OPTION_3_4</t>
  </si>
  <si>
    <t>SOUND_CLOWN_OP2_2_SPANISH</t>
  </si>
  <si>
    <t>SOUND_PHRASE_DIALOG_CLOWN_EXTRAPERLO_OPTION_3_5</t>
  </si>
  <si>
    <t>SOUND_CLOWN_OP2_3_SPANISH</t>
  </si>
  <si>
    <t>SOUND_PHRASE_DIALOG_CLOWN_EXTRAPERLO_OPTION_3_6</t>
  </si>
  <si>
    <t>SOUND_CLOWN_OP2_4_SPANISH</t>
  </si>
  <si>
    <t>SOUND_PHRASE_DIALOG_CLOWN_EXTRAPERLO_OPTION_3_7</t>
  </si>
  <si>
    <t>SOUND_CLOWN_OP2_5_SPANISH</t>
  </si>
  <si>
    <t>SOUND_PHRASE_DIALOG_CLOWN_EXTRAPERLO_OPTION_3_8</t>
  </si>
  <si>
    <t>SOUND_CLOWN_OP2_6_SPANISH</t>
  </si>
  <si>
    <t>SOUND_PHRASE_DIALOG_CLOWN_EXTRAPERLO_OPTION_3_9</t>
  </si>
  <si>
    <t>SOUND_CLOWN_OP2_7_SPANISH</t>
  </si>
  <si>
    <t>SOUND_PHRASE_DIALOG_CLOWN_EXTRAPERLO_OPTION_4_0</t>
  </si>
  <si>
    <t>SOUND_CLOWN_OP3_0_SPANISH</t>
  </si>
  <si>
    <t>SOUND_PHRASE_DIALOG_CLOWN_EXTRAPERLO_OPTION_4_1</t>
  </si>
  <si>
    <t>SOUND_CLOWN_OP3_1_SPANISH</t>
  </si>
  <si>
    <t>SOUND_PHRASE_DIALOG_CLOWN_EXTRAPERLO_OPTION_4_2</t>
  </si>
  <si>
    <t>SOUND_CLOWN_OP3_2_SPANISH</t>
  </si>
  <si>
    <t>SOUND_PHRASE_DIALOG_CLOWN_EXTRAPERLO_OPTION_4_3</t>
  </si>
  <si>
    <t>SOUND_CLOWN_OP3_3_SPANISH</t>
  </si>
  <si>
    <t>SOUND_PHRASE_DIALOG_CLOWN_EXTRAPERLO_INTRO</t>
  </si>
  <si>
    <t>SOUND_CLOWN_INTRO_SPANISH</t>
  </si>
  <si>
    <t>SOUND_PHRASE_DIALOG_SILVANA_EXTRAPERLO_OPTION_0_0</t>
  </si>
  <si>
    <t>SOUND_SILVANA_OP_0_0_SPANISH</t>
  </si>
  <si>
    <t>SOUND_PHRASE_DIALOG_SILVANA_EXTRAPERLO_OPTION_0_1</t>
  </si>
  <si>
    <t>SOUND_SILVANA_OP_0_1_SPANISH</t>
  </si>
  <si>
    <t>SOUND_PHRASE_DIALOG_SILVANA_EXTRAPERLO_OPTION_0_2</t>
  </si>
  <si>
    <t>SOUND_SILVANA_OP_0_2_SPANISH</t>
  </si>
  <si>
    <t>SOUND_PHRASE_DIALOG_SILVANA_EXTRAPERLO_OPTION_0_3</t>
  </si>
  <si>
    <t>SOUND_SILVANA_OP_0_3_SPANISH</t>
  </si>
  <si>
    <t>SOUND_PHRASE_DIALOG_SILVANA_EXTRAPERLO_OPTION_1_0</t>
  </si>
  <si>
    <t>SOUND_SILVANA_OP_1_0_SPANISH</t>
  </si>
  <si>
    <t>SOUND_PHRASE_DIALOG_SILVANA_EXTRAPERLO_OPTION_1_1</t>
  </si>
  <si>
    <t>SOUND_SILVANA_OP_1_1_SPANISH</t>
  </si>
  <si>
    <t>SOUND_PHRASE_DIALOG_SILVANA_EXTRAPERLO_INTRO_0</t>
  </si>
  <si>
    <t>SOUND_SILVANA_INTRO1_SPANISH</t>
  </si>
  <si>
    <t>SOUND_PHRASE_DIALOG_SILVANA_EXTRAPERLO_INTRO_1</t>
  </si>
  <si>
    <t>SOUND_SILVANA_INTRO2_SPANISH</t>
  </si>
  <si>
    <t>SOUND_CLOWN_LAUGHING</t>
  </si>
  <si>
    <t>SOUND_OBSERVE_INVITATION_CORNER</t>
  </si>
  <si>
    <t>SOUND_OBSERVE_INVITATION_CORNER_SPANISH</t>
  </si>
  <si>
    <t>SOUND_MANIPULATE_INVITATION_CORNER</t>
  </si>
  <si>
    <t>SOUND_MANIPULATE_INVITATION_CORNER_SPANISH</t>
  </si>
  <si>
    <t>SOUND_WAITER_USE_NEW_INVITATION_1</t>
  </si>
  <si>
    <t>SOUND_WAITER_USE_NEW_INVITATION_1_SPANISH</t>
  </si>
  <si>
    <t>SOUND_WAITER_USE_NEW_INVITATION_2</t>
  </si>
  <si>
    <t>SOUND_WAITER_USE_NEW_INVITATION_2_SPANISH</t>
  </si>
  <si>
    <t>SOUND_PHRASE_DIALOG_WAITER_W_INVITATION_OPTION_0_0</t>
  </si>
  <si>
    <t>SOUND_WAITER_1_OP_0_0_SPANISH</t>
  </si>
  <si>
    <t>SOUND_PHRASE_DIALOG_WAITER_W_INVITATION_OPTION_0_1</t>
  </si>
  <si>
    <t>SOUND_WAITER_1_OP_0_1_SPANISH</t>
  </si>
  <si>
    <t>SOUND_PHRASE_DIALOG_WAITER_W_INVITATION_OPTION_1_0</t>
  </si>
  <si>
    <t>SOUND_WAITER_1_OP_1_0_SPANISH</t>
  </si>
  <si>
    <t>SOUND_PHRASE_DIALOG_WAITER_W_INVITATION_OPTION_1_1</t>
  </si>
  <si>
    <t>SOUND_WAITER_1_OP_1_1_SPANISH</t>
  </si>
  <si>
    <t>SOUND_PHRASE_DIALOG_WAITER_W_INVITATION_OPTION_2_0</t>
  </si>
  <si>
    <t>SOUND_WAITER_1_OP_2_0_SPANISH</t>
  </si>
  <si>
    <t>SOUND_PHRASE_DIALOG_WAITER_W_INVITATION_INTRO_0</t>
  </si>
  <si>
    <t>SOUND_WAITER_INTRO_2_0_SPANISH</t>
  </si>
  <si>
    <t>SOUND_PHRASE_DIALOG_WAITER_W_INVITATION_INTRO_1</t>
  </si>
  <si>
    <t>SOUND_WAITER_INTRO_2_1_SPANISH</t>
  </si>
  <si>
    <t>SOUND_OBSERVE_OLIVE_BOWL</t>
  </si>
  <si>
    <t>SOUND_OBSERVE_OLIVE_BOWL_SPANISH</t>
  </si>
  <si>
    <t>SOUND_OBSERVE_BEER</t>
  </si>
  <si>
    <t>SOUND_OBSERVE_BEER_SPANISH</t>
  </si>
  <si>
    <t>SOUND_MAINCHAR_SECOND_BEER_COMMENT</t>
  </si>
  <si>
    <t>SOUND_MAINCHAR_SECOND_BEER_COMMENT_SPANISH</t>
  </si>
  <si>
    <t>SOUND_MAINCHAR_AFTER_THIRD_BEER_COMMENT</t>
  </si>
  <si>
    <t>SOUND_MAINCHAR_AFTER_THIRD_BEER_COMMENT_SPANISH</t>
  </si>
  <si>
    <t>SOUND_CLOWN_INTRO_DRUNK</t>
  </si>
  <si>
    <t>SOUND_CLOWN_INTRO_DRUNK_SPANISH</t>
  </si>
  <si>
    <t>SOUND_CLOWN_INTRO_DRUNK_PART_2</t>
  </si>
  <si>
    <t>SOUND_CLOWN_INTRO_DRUNK_PART_2_SPANISH</t>
  </si>
  <si>
    <t>SOUND_ARTURO_EXTRAPERLO_DRUNK_1</t>
  </si>
  <si>
    <t>SOUND_ARTURO_EXTRAPERLO_DRUNK_1_SPANISH</t>
  </si>
  <si>
    <t>SOUND_ARTURO_EXTRAPERLO_DRUNK_2</t>
  </si>
  <si>
    <t>SOUND_ARTURO_EXTRAPERLO_DRUNK_2_SPANISH</t>
  </si>
  <si>
    <t>SOUND_ARTURO_EXTRAPERLO_DRUNK_OPTION_0_0</t>
  </si>
  <si>
    <t>SOUND_ARTURO_EXTRAPERLO_DRUNK_OPTION_0_0_SPANISH</t>
  </si>
  <si>
    <t>SOUND_MAINCHAR_GOOD_NIGHT_DRUNK</t>
  </si>
  <si>
    <t>SOUND_MAINCHAR_GOOD_NIGHT_DRUNK_SPANISH</t>
  </si>
  <si>
    <t>SOUND_CARDS2_MAINCHAR_TAUNT1</t>
  </si>
  <si>
    <t>SOUND_CARDS2_MAINCHAR_TAUNT_1_SPANISH</t>
  </si>
  <si>
    <t>SOUND_CARDS2_MAINCHAR_TAUNT2</t>
  </si>
  <si>
    <t>SOUND_CARDS2_MAINCHAR_TAUNT_2_SPANISH</t>
  </si>
  <si>
    <t>SOUND_CARDS2_MAINCHAR_TAUNT3</t>
  </si>
  <si>
    <t>SOUND_CARDS2_MAINCHAR_TAUNT_3_SPANISH</t>
  </si>
  <si>
    <t>SOUND_CARDS2_MAINCHAR_TAUNT4</t>
  </si>
  <si>
    <t>SOUND_CARDS2_MAINCHAR_TAUNT_4_SPANISH</t>
  </si>
  <si>
    <t>SOUND_CARDS2_MAINCHAR_TAUNT5</t>
  </si>
  <si>
    <t>SOUND_CARDS2_MAINCHAR_TAUNT_5_SPANISH</t>
  </si>
  <si>
    <t>SOUND_MAINCHAR_DONT_WANT_MORE</t>
  </si>
  <si>
    <t>SOUND_MAINCHAR_DONT_WANT_MORE_SPANISH</t>
  </si>
  <si>
    <t>SOUND_OBSERVE_ITEM_OLIVE</t>
  </si>
  <si>
    <t>SOUND_OBSERVE_ITEM_OLIVE_SPANISH</t>
  </si>
  <si>
    <t>SOUND_PHRASE_DIALOG_SILVANA_DRUNK_OPTION_0_0</t>
  </si>
  <si>
    <t>SOUND_SILVANA_DRUNK_OP0_0_SPANISH</t>
  </si>
  <si>
    <t>SOUND_PHRASE_DIALOG_SILVANA_DRUNK_OPTION_0_1</t>
  </si>
  <si>
    <t>SOUND_SILVANA_DRUNK_OP0_1_SPANISH</t>
  </si>
  <si>
    <t>SOUND_PHRASE_DIALOG_SILVANA_DRUNK_OPTION_0_2</t>
  </si>
  <si>
    <t>SOUND_SILVANA_DRUNK_OP0_2_SPANISH</t>
  </si>
  <si>
    <t>SOUND_PHRASE_DIALOG_SILVANA_DRUNK_OPTION_0_3</t>
  </si>
  <si>
    <t>SOUND_SILVANA_DRUNK_OP0_3_SPANISH</t>
  </si>
  <si>
    <t>SOUND_PHRASE_DIALOG_SILVANA_DRUNK_OPTION_0_4</t>
  </si>
  <si>
    <t>SOUND_SILVANA_DRUNK_OP0_4_SPANISH</t>
  </si>
  <si>
    <t>SOUND_PHRASE_DIALOG_SILVANA_OLIVE_OPTION_0_0</t>
  </si>
  <si>
    <t>SOUND_SILVANA_OLIVE_0_0_SPANISH</t>
  </si>
  <si>
    <t>SOUND_PHRASE_DIALOG_SILVANA_OLIVE_OPTION_0_1</t>
  </si>
  <si>
    <t>SOUND_SILVANA_OLIVE_0_1_SPANISH</t>
  </si>
  <si>
    <t>SOUND_PHRASE_DIALOG_SILVANA_OLIVE_OPTION_0_2</t>
  </si>
  <si>
    <t>SOUND_SILVANA_OLIVE_0_2_SPANISH</t>
  </si>
  <si>
    <t>SOUND_PHRASE_DIALOG_SILVANA_OLIVE_OPTION_0_3</t>
  </si>
  <si>
    <t>SOUND_SILVANA_OLIVE_0_3_SPANISH</t>
  </si>
  <si>
    <t>SOUND_WAITER_1_OP_3_0</t>
  </si>
  <si>
    <t>SOUND_WAITER_1_OP_3_0_SPANISH</t>
  </si>
  <si>
    <t>SOUND_WAITER_1_OP_3_1</t>
  </si>
  <si>
    <t>SOUND_WAITER_1_OP_3_1_SPANISH</t>
  </si>
  <si>
    <t>SOUND_WAITER_1_OP_3_2</t>
  </si>
  <si>
    <t>SOUND_WAITER_1_OP_3_2_SPANISH</t>
  </si>
  <si>
    <t>SOUND_WAITER_1_OP_3_3</t>
  </si>
  <si>
    <t>SOUND_WAITER_1_OP_3_3_SPANISH</t>
  </si>
  <si>
    <t>SOUND_WAITER_1_OP_3_4</t>
  </si>
  <si>
    <t>SOUND_WAITER_1_OP_3_4_SPANISH</t>
  </si>
  <si>
    <t>SOUND_MAINCHAR_NEED_ORINE</t>
  </si>
  <si>
    <t>SOUND_MAINCHAR_NEED_ORINE_SPANISH</t>
  </si>
  <si>
    <t>SOUND_OBSERVE_INNOCENT_PLANT</t>
  </si>
  <si>
    <t>SOUND_OBSERVE_INNOCENT_PLANT_SPANISH</t>
  </si>
  <si>
    <t>SOUND_OBSERVE_BLADDER</t>
  </si>
  <si>
    <t>SOUND_OBSERVE_BLADDER_SPANISH</t>
  </si>
  <si>
    <t>SOUND_MAINCHAR_ABOUT_PEE_PLANT</t>
  </si>
  <si>
    <t>SOUND_MAINCHAR_ABOUT_PEE_PLANT_SPANISH</t>
  </si>
  <si>
    <t>SOUND_PEE</t>
  </si>
  <si>
    <t>SOUND_SILVANA_OBSERVED_PEE</t>
  </si>
  <si>
    <t>SOUND_SILVANA_OBSERVED_PEE_SPANISH</t>
  </si>
  <si>
    <t>SOUND_SILVANA_GARDEN_CONV1_0_0</t>
  </si>
  <si>
    <t>SOUND_SILVANA_GARDEN_CONV1_0_0_SPANISH</t>
  </si>
  <si>
    <t>SOUND_SILVANA_GARDEN_CONV1_0_1</t>
  </si>
  <si>
    <t>SOUND_SILVANA_GARDEN_CONV1_0_1_SPANISH</t>
  </si>
  <si>
    <t>SOUND_SILVANA_GARDEN_CONV1_0_2</t>
  </si>
  <si>
    <t>SOUND_SILVANA_GARDEN_CONV1_0_2_SPANISH</t>
  </si>
  <si>
    <t>SOUND_SILVANA_GARDEN_CONV1_0_3</t>
  </si>
  <si>
    <t>SOUND_SILVANA_GARDEN_CONV1_0_3_SPANISH</t>
  </si>
  <si>
    <t>SOUND_SILVANA_GARDEN_CONV1_0_4</t>
  </si>
  <si>
    <t>SOUND_SILVANA_GARDEN_CONV1_0_4_SPANISH</t>
  </si>
  <si>
    <t>SOUND_PHRASE_DIALOG_SILVANA_GARDEN_2_OPTION_0_0</t>
  </si>
  <si>
    <t>SOUND_SILVANA_GARDEN_CONV2_0_0_SPANISH</t>
  </si>
  <si>
    <t>SOUND_PHRASE_DIALOG_SILVANA_GARDEN_2_OPTION_0_1</t>
  </si>
  <si>
    <t>SOUND_SILVANA_GARDEN_CONV2_0_1_SPANISH</t>
  </si>
  <si>
    <t>SOUND_PHRASE_DIALOG_SILVANA_GARDEN_2_OPTION_0_2</t>
  </si>
  <si>
    <t>SOUND_SILVANA_GARDEN_CONV2_0_2_SPANISH</t>
  </si>
  <si>
    <t>SOUND_PHRASE_DIALOG_SILVANA_GARDEN_2_OPTION_0_3</t>
  </si>
  <si>
    <t>SOUND_SILVANA_GARDEN_CONV2_0_3_SPANISH</t>
  </si>
  <si>
    <t>SOUND_PHRASE_DIALOG_SILVANA_GARDEN_2_OPTION_0_4</t>
  </si>
  <si>
    <t>SOUND_SILVANA_GARDEN_CONV2_0_4_SPANISH</t>
  </si>
  <si>
    <t>SOUND_PHRASE_DIALOG_SILVANA_GARDEN_2_OPTION_0_5</t>
  </si>
  <si>
    <t>SOUND_SILVANA_GARDEN_CONV2_0_5_SPANISH</t>
  </si>
  <si>
    <t>SOUND_PHRASE_DIALOG_SILVANA_GARDEN_2_OPTION_0_6</t>
  </si>
  <si>
    <t>SOUND_SILVANA_GARDEN_CONV2_0_6_SPANISH</t>
  </si>
  <si>
    <t>SOUND_PHRASE_DIALOG_SILVANA_GARDEN_2_OPTION_0_7</t>
  </si>
  <si>
    <t>SOUND_SILVANA_GARDEN_CONV2_0_7_SPANISH</t>
  </si>
  <si>
    <t>SOUND_PHRASE_DIALOG_SILVANA_GARDEN_2_OPTION_0_8</t>
  </si>
  <si>
    <t>SOUND_SILVANA_GARDEN_CONV2_0_8_SPANISH</t>
  </si>
  <si>
    <t>SOUND_PHRASE_DIALOG_SILVANA_GARDEN_2_OPTION_0_9</t>
  </si>
  <si>
    <t>SOUND_SILVANA_GARDEN_CONV2_0_9_SPANISH</t>
  </si>
  <si>
    <t>SOUND_PHRASE_DIALOG_SILVANA_GARDEN_2_OPTION_0_10</t>
  </si>
  <si>
    <t>SOUND_SILVANA_GARDEN_CONV2_0_10_SPANISH</t>
  </si>
  <si>
    <t>SOUND_PHRASE_DIALOG_SILVANA_GARDEN_2_OPTION_0_11</t>
  </si>
  <si>
    <t>SOUND_SILVANA_GARDEN_CONV2_0_11_SPANISH</t>
  </si>
  <si>
    <t>SOUND_PHRASE_DIALOG_SILVANA_GARDEN_2_OPTION_0_12</t>
  </si>
  <si>
    <t>SOUND_SILVANA_GARDEN_CONV2_0_12_SPANISH</t>
  </si>
  <si>
    <t>SOUND_PHRASE_DIALOG_SILVANA_GARDEN_2_OPTION_0_13</t>
  </si>
  <si>
    <t>SOUND_SILVANA_GARDEN_CONV2_0_13_SPANISH</t>
  </si>
  <si>
    <t>SOUND_PHRASE_DIALOG_SILVANA_GARDEN_2_OPTION_0_14</t>
  </si>
  <si>
    <t>SOUND_SILVANA_GARDEN_CONV2_0_14_SPANISH</t>
  </si>
  <si>
    <t>SOUND_PHRASE_DIALOG_SILVANA_GARDEN_2_OPTION_0_15</t>
  </si>
  <si>
    <t>SOUND_SILVANA_GARDEN_CONV2_0_15_SPANISH</t>
  </si>
  <si>
    <t>SOUND_PHRASE_DIALOG_SILVANA_GARDEN_2_OPTION_0_16</t>
  </si>
  <si>
    <t>SOUND_SILVANA_GARDEN_CONV2_0_16_SPANISH</t>
  </si>
  <si>
    <t>SOUND_PHRASE_DIALOG_SILVANA_GARDEN_2_OPTION_0_17</t>
  </si>
  <si>
    <t>SOUND_SILVANA_GARDEN_CONV2_0_17_SPANISH</t>
  </si>
  <si>
    <t>SOUND_PHRASE_DIALOG_SILVANA_GARDEN_2_OPTION_0_18</t>
  </si>
  <si>
    <t>SOUND_SILVANA_GARDEN_CONV2_0_18_SPANISH</t>
  </si>
  <si>
    <t>SOUND_PHRASE_DIALOG_SILVANA_GARDEN_2_OPTION_1_0</t>
  </si>
  <si>
    <t>SOUND_SILVANA_GARDEN_CONV2_1_0_SPANISH</t>
  </si>
  <si>
    <t>SOUND_PHRASE_DIALOG_SILVANA_GARDEN_2_OPTION_1_1</t>
  </si>
  <si>
    <t>SOUND_SILVANA_GARDEN_CONV2_1_1_SPANISH</t>
  </si>
  <si>
    <t>SOUND_PHRASE_DIALOG_SILVANA_GARDEN_2_OPTION_1_2</t>
  </si>
  <si>
    <t>SOUND_SILVANA_GARDEN_CONV2_1_2_SPANISH</t>
  </si>
  <si>
    <t>SOUND_PHRASE_DIALOG_SILVANA_GARDEN_2_OPTION_1_3</t>
  </si>
  <si>
    <t>SOUND_SILVANA_GARDEN_CONV2_1_3_SPANISH</t>
  </si>
  <si>
    <t>SOUND_PHRASE_DIALOG_SILVANA_GARDEN_2_OPTION_1_4</t>
  </si>
  <si>
    <t>SOUND_SILVANA_GARDEN_CONV2_1_4_SPANISH</t>
  </si>
  <si>
    <t>SOUND_PHRASE_DIALOG_SILVANA_GARDEN_2_OPTION_1_5</t>
  </si>
  <si>
    <t>SOUND_SILVANA_GARDEN_CONV2_1_5_SPANISH</t>
  </si>
  <si>
    <t>SOUND_PHRASE_DIALOG_SILVANA_GARDEN_2_OPTION_1_6</t>
  </si>
  <si>
    <t>SOUND_SILVANA_GARDEN_CONV2_1_6_SPANISH</t>
  </si>
  <si>
    <t>SOUND_PHRASE_DIALOG_SILVANA_GARDEN_2_OPTION_1_7</t>
  </si>
  <si>
    <t>SOUND_SILVANA_GARDEN_CONV2_1_7_SPANISH</t>
  </si>
  <si>
    <t>SOUND_PHRASE_DIALOG_SILVANA_GARDEN_2_OPTION_1_8</t>
  </si>
  <si>
    <t>SOUND_SILVANA_GARDEN_CONV2_1_8_SPANISH</t>
  </si>
  <si>
    <t>SOUND_PHRASE_DIALOG_SILVANA_GARDEN_2_OPTION_1_9</t>
  </si>
  <si>
    <t>SOUND_SILVANA_GARDEN_CONV2_1_9_SPANISH</t>
  </si>
  <si>
    <t>SOUND_PHRASE_DIALOG_SILVANA_GARDEN_2_OPTION_1_10</t>
  </si>
  <si>
    <t>SOUND_SILVANA_GARDEN_CONV2_1_10_SPANISH</t>
  </si>
  <si>
    <t>SOUND_PHRASE_DIALOG_SILVANA_GARDEN_2_OPTION_1_11</t>
  </si>
  <si>
    <t>SOUND_SILVANA_GARDEN_CONV2_1_11_SPANISH</t>
  </si>
  <si>
    <t>SOUND_PHRASE_DIALOG_SILVANA_GARDEN_2_OPTION_2_0</t>
  </si>
  <si>
    <t>SOUND_SILVANA_GARDEN_CONV2_2_0_SPANISH</t>
  </si>
  <si>
    <t>SOUND_PHRASE_DIALOG_SILVANA_GARDEN_2_OPTION_2_1</t>
  </si>
  <si>
    <t>SOUND_SILVANA_GARDEN_CONV2_2_1_SPANISH</t>
  </si>
  <si>
    <t>SOUND_PHRASE_DIALOG_SILVANA_GARDEN_2_OPTION_2_2</t>
  </si>
  <si>
    <t>SOUND_SILVANA_GARDEN_CONV2_2_2_SPANISH</t>
  </si>
  <si>
    <t>SOUND_PHRASE_DIALOG_SILVANA_GARDEN_2_OPTION_2_3</t>
  </si>
  <si>
    <t>SOUND_SILVANA_GARDEN_CONV2_2_3_SPANISH</t>
  </si>
  <si>
    <t>SOUND_PHRASE_DIALOG_SILVANA_GARDEN_2_OPTION_2_4</t>
  </si>
  <si>
    <t>SOUND_SILVANA_GARDEN_CONV2_2_4_SPANISH</t>
  </si>
  <si>
    <t>SOUND_PHRASE_DIALOG_SILVANA_GARDEN_2_OPTION_2_5</t>
  </si>
  <si>
    <t>SOUND_SILVANA_GARDEN_CONV2_2_5_SPANISH</t>
  </si>
  <si>
    <t>SOUND_PHRASE_DIALOG_SILVANA_GARDEN_2_OPTION_2_6</t>
  </si>
  <si>
    <t>SOUND_SILVANA_GARDEN_CONV2_2_6_SPANISH</t>
  </si>
  <si>
    <t>SOUND_PHRASE_DIALOG_SILVANA_GARDEN_2_OPTION_2_7</t>
  </si>
  <si>
    <t>SOUND_SILVANA_GARDEN_CONV2_2_7_SPANISH</t>
  </si>
  <si>
    <t>SOUND_PHRASE_DIALOG_SILVANA_GARDEN_2_OPTION_2_8</t>
  </si>
  <si>
    <t>SOUND_SILVANA_GARDEN_CONV2_2_8_SPANISH</t>
  </si>
  <si>
    <t>SOUND_PHRASE_DIALOG_SILVANA_GARDEN_2_OPTION_2_9</t>
  </si>
  <si>
    <t>SOUND_SILVANA_GARDEN_CONV2_2_9_SPANISH</t>
  </si>
  <si>
    <t>SOUND_PHRASE_DIALOG_SILVANA_GARDEN_2_OPTION_2_10</t>
  </si>
  <si>
    <t>SOUND_SILVANA_GARDEN_CONV2_2_10_SPANISH</t>
  </si>
  <si>
    <t>SOUND_PHRASE_DIALOG_SILVANA_GARDEN_2_OPTION_2_11</t>
  </si>
  <si>
    <t>SOUND_SILVANA_GARDEN_CONV2_2_11_SPANISH</t>
  </si>
  <si>
    <t>SOUND_PHRASE_DIALOG_SILVANA_GARDEN_2_OPTION_3_0</t>
  </si>
  <si>
    <t>SOUND_SILVANA_GARDEN_CONV2_3_0_SPANISH</t>
  </si>
  <si>
    <t>SOUND_PHRASE_DIALOG_SILVANA_GARDEN_2_OPTION_3_1</t>
  </si>
  <si>
    <t>SOUND_SILVANA_GARDEN_CONV2_3_1_SPANISH</t>
  </si>
  <si>
    <t>SOUND_PHRASE_DIALOG_SILVANA_GARDEN_2_INTRO_0</t>
  </si>
  <si>
    <t>SOUND_SILVANA_GARDEN_CONV2_INTRO_0_SPANISH</t>
  </si>
  <si>
    <t>SOUND_PHRASE_DIALOG_SILVANA_GARDEN_2_INTRO_1</t>
  </si>
  <si>
    <t>SOUND_SILVANA_GARDEN_CONV2_INTRO_1_SPANISH</t>
  </si>
  <si>
    <t>SOUND_PHRASE_DIALOG_SILVANA_GARDEN_2_INTRO_2</t>
  </si>
  <si>
    <t>SOUND_SILVANA_GARDEN_CONV2_INTRO_2_SPANISH</t>
  </si>
  <si>
    <t>SOUND_PHRASE_DIALOG_SILVANA_GARDEN_2_OPTION_4_0</t>
  </si>
  <si>
    <t>SOUND_SILVANA_GARDEN_CONV2_4_0_SPANISH</t>
  </si>
  <si>
    <t>SOUND_PHRASE_DIALOG_SILVANA_GARDEN_2_OPTION_4_1</t>
  </si>
  <si>
    <t>SOUND_SILVANA_GARDEN_CONV2_4_1_SPANISH</t>
  </si>
  <si>
    <t>SOUND_PHRASE_DIALOG_SILVANA_GARDEN_2_OPTION_4_2</t>
  </si>
  <si>
    <t>SOUND_SILVANA_GARDEN_CONV2_4_2_SPANISH</t>
  </si>
  <si>
    <t>SOUND_PHRASE_DIALOG_SILVANA_GARDEN_2_OPTION_4_3</t>
  </si>
  <si>
    <t>SOUND_SILVANA_GARDEN_CONV2_4_3_SPANISH</t>
  </si>
  <si>
    <t>SOUND_PHRASE_DIALOG_SILVANA_GARDEN_2_OPTION_4_4</t>
  </si>
  <si>
    <t>SOUND_SILVANA_GARDEN_CONV2_4_4_SPANISH</t>
  </si>
  <si>
    <t>SOUND_PHRASE_DIALOG_SILVANA_GARDEN_2_OPTION_4_5</t>
  </si>
  <si>
    <t>SOUND_SILVANA_GARDEN_CONV2_4_5_SPANISH</t>
  </si>
  <si>
    <t>SOUND_PHRASE_DIALOG_SILVANA_GARDEN_2_OPTION_4_6</t>
  </si>
  <si>
    <t>SOUND_SILVANA_GARDEN_CONV2_4_6_SPANISH</t>
  </si>
  <si>
    <t>SOUND_PHRASE_DIALOG_PAMFRY_1_OPTION_0_0</t>
  </si>
  <si>
    <t>SOUND_PAMFRY_0_SPANISH</t>
  </si>
  <si>
    <t>SOUND_PHRASE_DIALOG_PAMFRY_1_OPTION_0_1</t>
  </si>
  <si>
    <t>SOUND_PAMFRY_1_SPANISH</t>
  </si>
  <si>
    <t>SOUND_PHRASE_DIALOG_PAMFRY_1_OPTION_0_2</t>
  </si>
  <si>
    <t>SOUND_PAMFRY_2_SPANISH</t>
  </si>
  <si>
    <t>SOUND_PHRASE_SILVANA_ASKING_BILL</t>
  </si>
  <si>
    <t>SOUND_SILVANA_ASKING_BILL_SPANISH</t>
  </si>
  <si>
    <t>SOUND_PHRASE_RECAP_EXTRAPERLO_1</t>
  </si>
  <si>
    <t>SOUND_MAINCHAR_RECAP_EXTRAPERLO_GARDEN_1_SPANISH</t>
  </si>
  <si>
    <t>SOUND_PHRASE_RECAP_EXTRAPERLO_2</t>
  </si>
  <si>
    <t>SOUND_MAINCHAR_RECAP_EXTRAPERLO_GARDEN_2_SPANISH</t>
  </si>
  <si>
    <t>MUSIC_DREAM_1</t>
  </si>
  <si>
    <t>SOUND_OBSERVE_DREAM_RADIO</t>
  </si>
  <si>
    <t>SOUND_OBSERVE_DREAM_RADIO_SPANISH</t>
  </si>
  <si>
    <t>SOUND_MAINCHAR_ENTRY_DIALOG_DREAM_1</t>
  </si>
  <si>
    <t>SOUND_MAINCHAR_ENTRY_DIALOG_DREAM_1_SPANISH</t>
  </si>
  <si>
    <t>SOUND_OBSERVE_CLASSROOM_PORTRAIT</t>
  </si>
  <si>
    <t>SOUND_OBSERVE_CLASSROOM_PORTRAIT_SPANISH</t>
  </si>
  <si>
    <t>SOUND_OBSERVE_CLOCK</t>
  </si>
  <si>
    <t>SOUND_OBSERVE_CLOCK_SPANISH</t>
  </si>
  <si>
    <t>SOUND_MAINCHAR_ENTRY_DIALOG_DREAM_1_FRAMEWORK</t>
  </si>
  <si>
    <t>SOUND_MAINCHAR_ENTRY_DIALOG_DREAM_1_FRAMEWORK_SPANISH</t>
  </si>
  <si>
    <t>SOUND_OBSERVE_SULTAN</t>
  </si>
  <si>
    <t>SOUND_OBSERVE_SULTAN_SPANISH</t>
  </si>
  <si>
    <t>SOUND_OBSERVE_PILAR</t>
  </si>
  <si>
    <t>SOUND_OBSERVE_PILAR_SPANISH</t>
  </si>
  <si>
    <t>SOUND_PHRASE_DIALOG_SULTAN_1_0</t>
  </si>
  <si>
    <t>SOUND_DIALOG_SULTAN_1_0_SPANISH</t>
  </si>
  <si>
    <t>SOUND_PHRASE_DIALOG_SULTAN_1_1</t>
  </si>
  <si>
    <t>SOUND_DIALOG_SULTAN_1_1_SPANISH</t>
  </si>
  <si>
    <t>SOUND_PHRASE_DIALOG_PILAR_DREAM_1_OPTION_0_0</t>
  </si>
  <si>
    <t>SOUND_DIALOG_PILAR_INTRO_1_1_SPANISH</t>
  </si>
  <si>
    <t>SOUND_PHRASE_DIALOG_PILAR_DREAM_1_OPTION_0_1</t>
  </si>
  <si>
    <t>SOUND_DIALOG_PILAR_INTRO_1_2_SPANISH</t>
  </si>
  <si>
    <t>SOUND_PHRASE_DIALOG_PILAR_DREAM_1_OPTION_0_2</t>
  </si>
  <si>
    <t>SOUND_DIALOG_PILAR_INTRO_1_3_SPANISH</t>
  </si>
  <si>
    <t>SOUND_PHRASE_DIALOG_PILAR_DREAM_1_OPTION_0_3</t>
  </si>
  <si>
    <t>SOUND_DIALOG_PILAR_INTRO_1_4_SPANISH</t>
  </si>
  <si>
    <t>SOUND_PHRASE_DIALOG_PILAR_DREAM_1_OPTION_0_4</t>
  </si>
  <si>
    <t>SOUND_DIALOG_PILAR_INTRO_1_5_SPANISH</t>
  </si>
  <si>
    <t>SOUND_PHRASE_DIALOG_PILAR_DREAM_1_OPTION_0_5</t>
  </si>
  <si>
    <t>SOUND_DIALOG_PILAR_INTRO_1_6_SPANISH</t>
  </si>
  <si>
    <t>SOUND_PHRASE_DIALOG_PILAR_BED_DREAM_1_OPTION_0_0</t>
  </si>
  <si>
    <t>SOUND_DIALOG_PILAR_BED_INTRO_1_1_SPANISH</t>
  </si>
  <si>
    <t>SOUND_PHRASE_DIALOG_PILAR_BED_DREAM_1_OPTION_0_1</t>
  </si>
  <si>
    <t>SOUND_DIALOG_PILAR_BED_INTRO_1_2_SPANISH</t>
  </si>
  <si>
    <t>SOUND_PHRASE_DIALOG_PILAR_BED_DREAM_1_OPTION_0_2</t>
  </si>
  <si>
    <t>SOUND_DIALOG_PILAR_BED_INTRO_1_3_SPANISH</t>
  </si>
  <si>
    <t>SOUND_PHRASE_DIALOG_PILAR_BED_DREAM_1_OPTION_0_3</t>
  </si>
  <si>
    <t>SOUND_DIALOG_PILAR_BED_INTRO_1_4_SPANISH</t>
  </si>
  <si>
    <t>SOUND_PHRASE_DIALOG_PILAR_BED_DREAM_1_OPTION_0_3_2</t>
  </si>
  <si>
    <t>SOUND_DIALOG_PILAR_BED_INTRO_1_4_2_SPANISH</t>
  </si>
  <si>
    <t>SOUND_PHRASE_DIALOG_PILAR_BED_DREAM_1_OPTION_0_4</t>
  </si>
  <si>
    <t>SOUND_DIALOG_PILAR_BED_INTRO_1_5_SPANISH</t>
  </si>
  <si>
    <t>SOUND_PHRASE_DIALOG_PILAR_BED_DREAM_1_OPTION_0_4_2</t>
  </si>
  <si>
    <t>SOUND_DIALOG_PILAR_BED_INTRO_1_5_2_SPANISH</t>
  </si>
  <si>
    <t>SOUND_PHRASE_DIALOG_PILAR_BED_DREAM_1_OPTION_0_5</t>
  </si>
  <si>
    <t>SOUND_DIALOG_PILAR_BED_INTRO_1_6_SPANISH</t>
  </si>
  <si>
    <t>SOUND_PHRASE_DIALOG_PILAR_BED_DREAM_1_OPTION_0_6</t>
  </si>
  <si>
    <t>SOUND_DIALOG_PILAR_BED_INTRO_1_7_SPANISH</t>
  </si>
  <si>
    <t>SOUND_PHRASE_SULTAN_DID_NOT_EAT</t>
  </si>
  <si>
    <t>SOUND_SULTAN_DID_NOT_EAT_SPANISH</t>
  </si>
  <si>
    <t>SOUND_PHRASE_DIALOG_ALTER_EGO_DREAM_1_OPTION_0_0</t>
  </si>
  <si>
    <t>SOUND_DIALOG_ALTER_EGO_DREAM_1_INTRO_1_1_SPANISH</t>
  </si>
  <si>
    <t>SOUND_PHRASE_DIALOG_ALTER_EGO_DREAM_1_OPTION_0_1</t>
  </si>
  <si>
    <t>SOUND_DIALOG_ALTER_EGO_DREAM_1_INTRO_1_2_SPANISH</t>
  </si>
  <si>
    <t>SOUND_PHRASE_DIALOG_ALTER_EGO_DREAM_1_OPTION_0_2</t>
  </si>
  <si>
    <t>SOUND_DIALOG_ALTER_EGO_DREAM_1_INTRO_1_3_SPANISH</t>
  </si>
  <si>
    <t>SOUND_PHRASE_DIALOG_ALTER_EGO_DREAM_1_OPTION_0_3</t>
  </si>
  <si>
    <t>SOUND_DIALOG_ALTER_EGO_DREAM_1_INTRO_1_4_SPANISH</t>
  </si>
  <si>
    <t>SOUND_PHRASE_DIALOG_ALTER_EGO_DREAM_1_OPTION_0_4</t>
  </si>
  <si>
    <t>SOUND_DIALOG_ALTER_EGO_DREAM_1_INTRO_1_5_SPANISH</t>
  </si>
  <si>
    <t>SOUND_PHRASE_DIALOG_ALTER_EGO_DREAM_1_OPTION_0_5</t>
  </si>
  <si>
    <t>SOUND_DIALOG_ALTER_EGO_DREAM_1_INTRO_1_6_SPANISH</t>
  </si>
  <si>
    <t>SOUND_PHRASE_DIALOG_ALTER_EGO_DREAM_1_OPTION_0_6</t>
  </si>
  <si>
    <t>SOUND_DIALOG_ALTER_EGO_DREAM_1_INTRO_1_7_SPANISH</t>
  </si>
  <si>
    <t>SOUND_PHRASE_DIALOG_ALTER_EGO_DREAM_1_OPTION_0_7</t>
  </si>
  <si>
    <t>SOUND_DIALOG_ALTER_EGO_DREAM_1_INTRO_1_8_SPANISH</t>
  </si>
  <si>
    <t>SOUND_PHRASE_DIALOG_ALTER_EGO_DREAM_1_OPTION_0_8</t>
  </si>
  <si>
    <t>SOUND_DIALOG_ALTER_EGO_DREAM_1_INTRO_1_9_SPANISH</t>
  </si>
  <si>
    <t>SOUND_PHRASE_DIALOG_ALTER_EGO_DREAM_1_OPTION_0_9</t>
  </si>
  <si>
    <t>SOUND_DIALOG_ALTER_EGO_DREAM_1_INTRO_1_10_SPANISH</t>
  </si>
  <si>
    <t>SOUND_PHRASE_DIALOG_ALTER_EGO_DREAM_1_OPTION_0_10</t>
  </si>
  <si>
    <t>SOUND_DIALOG_ALTER_EGO_DREAM_1_INTRO_1_11_SPANISH</t>
  </si>
  <si>
    <t>MUSIC_SHADOW</t>
  </si>
  <si>
    <t>SOUND_OBSERVE_ALTER_EGO_DREAM_1</t>
  </si>
  <si>
    <t>SOUND_OBSERVE_ALTER_EGO_DREAM_1_SPANISH</t>
  </si>
  <si>
    <t>SOUND_OBSERVE_FIG_PICKABLE</t>
  </si>
  <si>
    <t>SOUND_OBSERVE_FIG_SPANISH</t>
  </si>
  <si>
    <t>SOUND_MAINCHAR_FAREWELL_DREAM_1</t>
  </si>
  <si>
    <t>SOUND_MAINCHAR_FAREWELL_DREAM_1_SPANISH</t>
  </si>
  <si>
    <t>SOUND_MAINCHAR_RECAP_DREAM_1</t>
  </si>
  <si>
    <t>SOUND_MAINCHAR_RECAP_DREAM_1_SPANISH</t>
  </si>
  <si>
    <t>MUSIC_STATION_1</t>
  </si>
  <si>
    <t>MUSIC_MAP</t>
  </si>
  <si>
    <t>SOUND_DIALOG_REME_1_1</t>
  </si>
  <si>
    <t>SOUND_DIALOG_REME_1_1_SPANISH</t>
  </si>
  <si>
    <t>SOUND_DIALOG_REME_1_2</t>
  </si>
  <si>
    <t>SOUND_DIALOG_REME_1_2_SPANISH</t>
  </si>
  <si>
    <t>SOUND_DIALOG_REME_1_3</t>
  </si>
  <si>
    <t>SOUND_DIALOG_REME_1_3_SPANISH</t>
  </si>
  <si>
    <t>SOUND_DIALOG_REME_2_1</t>
  </si>
  <si>
    <t>SOUND_DIALOG_REME_2_1_SPANISH</t>
  </si>
  <si>
    <t>SOUND_DIALOG_REME_INTRO_1</t>
  </si>
  <si>
    <t>SOUND_DIALOG_REME_INTRO_1_SPANISH</t>
  </si>
  <si>
    <t>SOUND_DIALOG_REME_INTRO_2</t>
  </si>
  <si>
    <t>SOUND_DIALOG_REME_INTRO_2_SPANISH</t>
  </si>
  <si>
    <t>SOUND_DIALOG_REME_INTRO_3</t>
  </si>
  <si>
    <t>SOUND_DIALOG_REME_INTRO_3_SPANISH</t>
  </si>
  <si>
    <t>SOUND_MOP_1</t>
  </si>
  <si>
    <t>SOUND_MOP_2</t>
  </si>
  <si>
    <t>SOUND_FOOTSTEP_1</t>
  </si>
  <si>
    <t>SOUND_FOOTSTEP_2</t>
  </si>
  <si>
    <t>SOUND_FOOTSTEP_3</t>
  </si>
  <si>
    <t>SOUND_FOOTSTEP_4</t>
  </si>
  <si>
    <t>MUSIC_CITY_1</t>
  </si>
  <si>
    <t>SOUND_MOP_STICK_ON_FLOOR</t>
  </si>
  <si>
    <t>SOUND_DIALOG_REME_BLOCKING_PATH_1</t>
  </si>
  <si>
    <t>SOUND_DIALOG_REME_BLOCKING_PATH_1_SPANISH</t>
  </si>
  <si>
    <t>SOUND_DIALOG_REME_BLOCKING_PATH_2</t>
  </si>
  <si>
    <t>SOUND_DIALOG_REME_BLOCKING_PATH_2_SPANISH</t>
  </si>
  <si>
    <t>SOUND_DIALOG_REME_2_2</t>
  </si>
  <si>
    <t>SOUND_DIALOG_REME_2_2_SPANISH</t>
  </si>
  <si>
    <t>SOUND_DIALOG_REME_3_1</t>
  </si>
  <si>
    <t>SOUND_DIALOG_REME_3_1_SPANISH</t>
  </si>
  <si>
    <t>SOUND_DIALOG_REME_SOAP_1</t>
  </si>
  <si>
    <t>SOUND_DIALOG_REME_SOAP_1_SPANISH</t>
  </si>
  <si>
    <t>SOUND_DIALOG_REME_SOAP_2</t>
  </si>
  <si>
    <t>SOUND_DIALOG_REME_SOAP_2_SPANISH</t>
  </si>
  <si>
    <t>SOUND_OBSERVE_ROOM_KEY_NOT_TAKEN</t>
  </si>
  <si>
    <t>SOUND_OBSERVE_ROOM_KEY_NOT_TAKEN_SPANISH</t>
  </si>
  <si>
    <t>SOUND_OBSERVE_COIN25</t>
  </si>
  <si>
    <t>SOUND_OBSERVE_COIN25_SPANISH</t>
  </si>
  <si>
    <t>SOUND_TAKE_COIN25</t>
  </si>
  <si>
    <t>SOUND_TAKE_COIN25_SPANISH</t>
  </si>
  <si>
    <t>SOUND_OBSERVE_SERVICE_DOOR</t>
  </si>
  <si>
    <t>SOUND_OBSERVE_SERVICE_DOOR_SPANISH</t>
  </si>
  <si>
    <t>SOUND_DIALOG_TRY_CROSS_SERVICE_DOOR</t>
  </si>
  <si>
    <t>SOUND_DIALOG_TRY_CROSS_SERVICE_DOOR_SPANISH</t>
  </si>
  <si>
    <t>SOUND_MAINCHAR_AFTER_BREAKING_KEY</t>
  </si>
  <si>
    <t>SOUND_MAINCHAR_AFTER_BREAKING_KEY_SPANISH</t>
  </si>
  <si>
    <t>MUSIC_ROOM_PUZZLE</t>
  </si>
  <si>
    <t>SOUND_DIALOG_OBSERVE_ITEM_GUMBALL_MACHINE</t>
  </si>
  <si>
    <t>SOUND_DIALOG_OBSERVE_ITEM_GUMBALL_MACHINE_SPANISH</t>
  </si>
  <si>
    <t>SOUND_DIALOG_OBSERVE_MIX_JAR</t>
  </si>
  <si>
    <t>SOUND_DIALOG_OBSERVE_MIX_JAR_SPANISH</t>
  </si>
  <si>
    <t>SOUND_DIALOG_OBSERVE_TAR_CAN</t>
  </si>
  <si>
    <t>SOUND_DIALOG_OBSERVE_TAR_CAN_SPANISH</t>
  </si>
  <si>
    <t>SOUND_DIALOG_OBSERVE_BROKEN_HIVE_ROOM_KEY</t>
  </si>
  <si>
    <t>SOUND_DIALOG_OBSERVE_BROKEN_HIVE_ROOM_KEY_SPANISH</t>
  </si>
  <si>
    <t>SOUND_DIALOG_OBSERVE_ITEM_SQUAT_WC_1</t>
  </si>
  <si>
    <t>SOUND_DIALOG_OBSERVE_ITEM_SQUAT_WC_1_SPANISH</t>
  </si>
  <si>
    <t>SOUND_COIN_CLATTERING</t>
  </si>
  <si>
    <t>SOUND_DIALOG_OBSERVE_GUMBALL</t>
  </si>
  <si>
    <t>SOUND_DIALOG_OBSERVE_GUMBALL_SPANISH</t>
  </si>
  <si>
    <t>SOUND_DIALOG_OBTAINED_GUMBALL</t>
  </si>
  <si>
    <t>SOUND_DIALOG_OBTAINED_GUMBALL_SPANISH</t>
  </si>
  <si>
    <t>SOUND_DIALOG_OBSERVE_CLATTERING_COIN_ROLL</t>
  </si>
  <si>
    <t>SOUND_DIALOG_OBSERVE_CLATTERING_COIN_ROLL_SPANISH</t>
  </si>
  <si>
    <t>SOUND_OBSERVE_COIN_IN_CRACK</t>
  </si>
  <si>
    <t>SOUND_OBSERVE_COIN_IN_CRACK_SPANISH</t>
  </si>
  <si>
    <t>SOUND_DIALOG_TRY_TAKE_COIN_IN_CRACK</t>
  </si>
  <si>
    <t>SOUND_DIALOG_TRY_TAKE_COIN_IN_CRACK_SPANISH</t>
  </si>
  <si>
    <t>SOUND_MAINCHAR_OBTAIN_TAR_CAN</t>
  </si>
  <si>
    <t>SOUND_MAINCHAR_OBTAIN_TAR_CAN_SPANISH</t>
  </si>
  <si>
    <t>SOUND_DIALOG_OBSERVE_ITEM_SQUAT_WC_2</t>
  </si>
  <si>
    <t>SOUND_DIALOG_OBSERVE_ITEM_SQUAT_WC_2_SPANISH</t>
  </si>
  <si>
    <t>SOUND_DIALOG_REME_ROACHES_1</t>
  </si>
  <si>
    <t>SOUND_DIALOG_REME_ROACHES_1_SPANISH</t>
  </si>
  <si>
    <t>SOUND_DIALOG_REME_ROACHES_2</t>
  </si>
  <si>
    <t>SOUND_DIALOG_REME_ROACHES_2_SPANISH</t>
  </si>
  <si>
    <t>SOUND_DIALOG_REME_ROACHES_3</t>
  </si>
  <si>
    <t>SOUND_DIALOG_REME_ROACHES_3_SPANISH</t>
  </si>
  <si>
    <t>SOUND_DIALOG_REME_ROACHES_4</t>
  </si>
  <si>
    <t>SOUND_DIALOG_REME_ROACHES_4_SPANISH</t>
  </si>
  <si>
    <t>SOUND_COMBINE_IDEA_ROACHES_REME</t>
  </si>
  <si>
    <t>SOUND_COMBINE_IDEA_ROACHES_REME_SPANISH</t>
  </si>
  <si>
    <t>SOUND_MAINCHAR_NONSENSE_COMBINE</t>
  </si>
  <si>
    <t>SOUND_MAINCHAR_NONSENSE_COMBINE_SPANISH</t>
  </si>
  <si>
    <t>SOUND_MAINCHAR_NONSENSE_USE_IDEA</t>
  </si>
  <si>
    <t>SOUND_MAINCHAR_NONSENSE_USE_IDEA_SPANISH</t>
  </si>
  <si>
    <t>SOUND_OBSERVE_LAB_MAGAZINE_5</t>
  </si>
  <si>
    <t>SOUND_OBSERVE_LAB_MAGAZINE_5_SPANISH</t>
  </si>
  <si>
    <t>SOUND_OBSERVE_LAB_MAGAZINE_4</t>
  </si>
  <si>
    <t>SOUND_OBSERVE_LAB_MAGAZINE_4_SPANISH</t>
  </si>
  <si>
    <t>SOUND_OBSERVE_LAB_MAGAZINE_3</t>
  </si>
  <si>
    <t>SOUND_OBSERVE_LAB_MAGAZINE_3_SPANISH</t>
  </si>
  <si>
    <t>SOUND_OBSERVE_LAB_MAGAZINE_2</t>
  </si>
  <si>
    <t>SOUND_OBSERVE_LAB_MAGAZINE_2_SPANISH</t>
  </si>
  <si>
    <t>SOUND_OBSERVE_LAB_MAGAZINE_1</t>
  </si>
  <si>
    <t>SOUND_OBSERVE_LAB_MAGAZINE_1_SPANISH</t>
  </si>
  <si>
    <t>SOUND_TAKE_EXPERIMENT_TABLE</t>
  </si>
  <si>
    <t>SOUND_TAKE_EXPERIMENT_TABLE_SPANISH</t>
  </si>
  <si>
    <t>SOUND_OBSERVE_EXPERIMENT_TABLE</t>
  </si>
  <si>
    <t>SOUND_OBSERVE_EXPERIMENT_TABLE_SPANISH</t>
  </si>
  <si>
    <t>SOUND_MAINCHAR_LETS_EXPERIMENT</t>
  </si>
  <si>
    <t>SOUND_MAINCHAR_LETS_EXPERIMENT_SPANISH</t>
  </si>
  <si>
    <t>SOUND_OBSERVE_ITEM_PICKABLE_LAB_FLOORWASHER</t>
  </si>
  <si>
    <t>SOUND_OBSERVE_ITEM_PICKABLE_LAB_FLOORWASHER_SPANISH</t>
  </si>
  <si>
    <t>SOUND_OBSERVE_ITEM_PICKABLE_LAB_DETERGENT</t>
  </si>
  <si>
    <t>SOUND_OBSERVE_ITEM_PICKABLE_LAB_DETERGENT_SPANISH</t>
  </si>
  <si>
    <t>SOUND_OBSERVE_ITEM_PICKABLE_LAB_INSECTICIDE</t>
  </si>
  <si>
    <t>SOUND_OBSERVE_ITEM_PICKABLE_LAB_INSECTICIDE_SPANISH</t>
  </si>
  <si>
    <t>SOUND_OBSERVE_ITEM_PICKABLE_LAB_VARNISH</t>
  </si>
  <si>
    <t>SOUND_OBSERVE_ITEM_PICKABLE_LAB_VARNISH_SPANISH</t>
  </si>
  <si>
    <t>SOUND_OBSERVE_ITEM_RUSTY_SPRING</t>
  </si>
  <si>
    <t>SOUND_OBSERVE_ITEM_RUSTY_SPRING_SPANISH</t>
  </si>
  <si>
    <t>SOUND_OBSERVE_ITEM_RUST_POWDER</t>
  </si>
  <si>
    <t>SOUND_OBSERVE_ITEM_RUST_POWDER_SPANISH</t>
  </si>
  <si>
    <t>SOUND_NONSENSE_NOT_THOUGHT</t>
  </si>
  <si>
    <t>SOUND_NONSENSE_NOT_THOUGHT_SPANISH</t>
  </si>
  <si>
    <t>SOUND_LIQUID_POUR_JUG</t>
  </si>
  <si>
    <t>SOUND_POWDER_POUR_JUG</t>
  </si>
  <si>
    <t>SOUND_MAINCHAR_COMMENT_PERFECT_MIX_LAB</t>
  </si>
  <si>
    <t>SOUND_MAINCHAR_COMMENT_PERFECT_MIX_LAB_SPANISH</t>
  </si>
  <si>
    <t>SOUND_MAINCHAR_NONSENSE_NOTYET</t>
  </si>
  <si>
    <t>SOUND_MAINCHAR_NONSENSE_NOTYET_SPANISH</t>
  </si>
  <si>
    <t>SOUND_TRY_USE_WITH_COMPLETE_JUG_MIX</t>
  </si>
  <si>
    <t>SOUND_TRY_USE_WITH_COMPLETE_JUG_MIX_SPANISH</t>
  </si>
  <si>
    <t>SOUND_MAINCHAR_NONSENSE_TOO_MUCH</t>
  </si>
  <si>
    <t>SOUND_MAINCHAR_NONSENSE_TOO_MUCH_SPANISH</t>
  </si>
  <si>
    <t>SOUND_OBSERVE_PERFECT_MIX_JAR</t>
  </si>
  <si>
    <t>SOUND_OBSERVE_PERFECT_MIX_JAR_SPANISH</t>
  </si>
  <si>
    <t>SOUND_OBSERVE_IMPERFECT_MIX_JAR</t>
  </si>
  <si>
    <t>SOUND_OBSERVE_IMPERFECT_MIX_JAR_SPANISH</t>
  </si>
  <si>
    <t>SOUND_MAINCHAR_TRY_AGAIN_LAB</t>
  </si>
  <si>
    <t>SOUND_MAINCHAR_TRY_AGAIN_LAB_SPANISH</t>
  </si>
  <si>
    <t>SOUND_MAINCHAR_MUST_RETURN_JUG</t>
  </si>
  <si>
    <t>SOUND_MAINCHAR_MUST_RETURN_JUG_SPANISH</t>
  </si>
  <si>
    <t>SOUND_MAINCHAR_LETS_FLEE_FROM_SRV_ROOM</t>
  </si>
  <si>
    <t>SOUND_MAINCHAR_LETS_FLEE_FROM_SRV_ROOM_SPANISH</t>
  </si>
  <si>
    <t>SOUND_ROACH_SWARM</t>
  </si>
  <si>
    <t>SOUND_REME_SCREAMING</t>
  </si>
  <si>
    <t>SOUND_SHOTGUN_RELOAD_AND_FIRE</t>
  </si>
  <si>
    <t>SOUND_MAINCHAR_AFTERMATH_ROACH_SWARM</t>
  </si>
  <si>
    <t>SOUND_MAINCHAR_AFTERMATH_ROACH_SWARM_SPANISH</t>
  </si>
  <si>
    <t>SOUND_REME_RUNNING_DOWNSTAIRS</t>
  </si>
  <si>
    <t>MUSIC_ROACH_SWARM</t>
  </si>
  <si>
    <t>SOUND_DIALOG_OBSERVE_ITEM_SQUAT_WC_AFTER_INCIDENT</t>
  </si>
  <si>
    <t>SOUND_DIALOG_OBSERVE_ITEM_SQUAT_WC_AFTER_INCIDENT_SPANISH</t>
  </si>
  <si>
    <t>SOUND_MAINCHAR_NOT_NEED_SLEEP</t>
  </si>
  <si>
    <t>SOUND_MAINCHAR_NOT_NEED_SLEEP_SPANISH</t>
  </si>
  <si>
    <t>SOUND_DIALOG_EXIT_HIVE1_HALL_1</t>
  </si>
  <si>
    <t>SOUND_DIALOG_EXIT_HIVE1_HALL_1_SPANISH</t>
  </si>
  <si>
    <t>SOUND_OBSERVE_HIVE1_AD_BOARD_1</t>
  </si>
  <si>
    <t>SOUND_OBSERVE_HIVE1_AD_BOARD_1_SPANISH</t>
  </si>
  <si>
    <t>SOUND_OBSERVE_MANYO_OWNER</t>
  </si>
  <si>
    <t>SOUND_OBSERVE_MANYO_OWNER_SPANISH</t>
  </si>
  <si>
    <t>SOUND_DIALOG_MANYO_INTRO_2</t>
  </si>
  <si>
    <t>SOUND_DIALOG_MANYO_INTRO_2_SPANISH</t>
  </si>
  <si>
    <t>SOUND_DIALOG_MANYO_INTRO_1</t>
  </si>
  <si>
    <t>SOUND_DIALOG_MANYO_INTRO_1_SPANISH</t>
  </si>
  <si>
    <t>SOUND_MANYO_OWNER_YAWN</t>
  </si>
  <si>
    <t>SOUND_MANYO_FOREHEAD</t>
  </si>
  <si>
    <t>SOUND_DIALOG_MANYO_MENU_DAY_6</t>
  </si>
  <si>
    <t>SOUND_DIALOG_MANYO_MENU_DAY_6_SPANISH</t>
  </si>
  <si>
    <t>SOUND_DIALOG_MANYO_MENU_DAY_5</t>
  </si>
  <si>
    <t>SOUND_DIALOG_MANYO_MENU_DAY_5_SPANISH</t>
  </si>
  <si>
    <t>SOUND_DIALOG_MANYO_MENU_DAY_4</t>
  </si>
  <si>
    <t>SOUND_DIALOG_MANYO_MENU_DAY_4_SPANISH</t>
  </si>
  <si>
    <t>SOUND_DIALOG_MANYO_MENU_DAY_3</t>
  </si>
  <si>
    <t>SOUND_DIALOG_MANYO_MENU_DAY_3_SPANISH</t>
  </si>
  <si>
    <t>SOUND_DIALOG_MANYO_MENU_DAY_2</t>
  </si>
  <si>
    <t>SOUND_DIALOG_MANYO_MENU_DAY_2_SPANISH</t>
  </si>
  <si>
    <t>SOUND_DIALOG_MANYO_MENU_DAY_1</t>
  </si>
  <si>
    <t>SOUND_DIALOG_MANYO_MENU_DAY_1_SPANISH</t>
  </si>
  <si>
    <t>SOUND_DIALOG_MANYO_BYE</t>
  </si>
  <si>
    <t>SOUND_DIALOG_MANYO_BYE_SPANISH</t>
  </si>
  <si>
    <t>SOUND_DIALOG_MANYO_WORK_NOTE_7</t>
  </si>
  <si>
    <t>SOUND_DIALOG_MANYO_WORK_NOTE_7_SPANISH</t>
  </si>
  <si>
    <t>SOUND_DIALOG_MANYO_WORK_NOTE_6</t>
  </si>
  <si>
    <t>SOUND_DIALOG_MANYO_WORK_NOTE_6_SPANISH</t>
  </si>
  <si>
    <t>SOUND_DIALOG_MANYO_WORK_NOTE_5</t>
  </si>
  <si>
    <t>SOUND_DIALOG_MANYO_WORK_NOTE_5_SPANISH</t>
  </si>
  <si>
    <t>SOUND_DIALOG_MANYO_WORK_NOTE_4</t>
  </si>
  <si>
    <t>SOUND_DIALOG_MANYO_WORK_NOTE_4_SPANISH</t>
  </si>
  <si>
    <t>SOUND_DIALOG_MANYO_WORK_NOTE_3</t>
  </si>
  <si>
    <t>SOUND_DIALOG_MANYO_WORK_NOTE_3_SPANISH</t>
  </si>
  <si>
    <t>SOUND_DIALOG_MANYO_WORK_NOTE_2</t>
  </si>
  <si>
    <t>SOUND_DIALOG_MANYO_WORK_NOTE_2_SPANISH</t>
  </si>
  <si>
    <t>SOUND_DIALOG_MANYO_WORK_NOTE_1</t>
  </si>
  <si>
    <t>SOUND_DIALOG_MANYO_WORK_NOTE_1_SPANISH</t>
  </si>
  <si>
    <t>SOUND_BULB_SQUEEZE</t>
  </si>
  <si>
    <t>SOUND_REME_YELLING_ASSASIN</t>
  </si>
  <si>
    <t>SOUND_REME_YELLING_ASSASIN_SPANISH</t>
  </si>
  <si>
    <t>SOUND_OBSERVE_REME_AND_PHARMACIST</t>
  </si>
  <si>
    <t>SOUND_OBSERVE_REME_AND_PHARMACIST_SPANISH</t>
  </si>
  <si>
    <t>SOUND_DIALOG_REME_AND_PHARMACIST_OPTION_BYE</t>
  </si>
  <si>
    <t>SOUND_DIALOG_REME_AND_PHARMACIST_OPTION_BYE_SPANISH</t>
  </si>
  <si>
    <t>SOUND_DIALOG_REME_AND_PHARMACIST_OPTION_RECIPE_5</t>
  </si>
  <si>
    <t>SOUND_DIALOG_REME_AND_PHARMACIST_OPTION_RECIPE_5_SPANISH</t>
  </si>
  <si>
    <t>SOUND_DIALOG_REME_AND_PHARMACIST_OPTION_RECIPE_4</t>
  </si>
  <si>
    <t>SOUND_DIALOG_REME_AND_PHARMACIST_OPTION_RECIPE_4_SPANISH</t>
  </si>
  <si>
    <t>SOUND_DIALOG_REME_AND_PHARMACIST_OPTION_RECIPE_3</t>
  </si>
  <si>
    <t>SOUND_DIALOG_REME_AND_PHARMACIST_OPTION_RECIPE_3_SPANISH</t>
  </si>
  <si>
    <t>SOUND_DIALOG_REME_AND_PHARMACIST_OPTION_RECIPE_2</t>
  </si>
  <si>
    <t>SOUND_DIALOG_REME_AND_PHARMACIST_OPTION_RECIPE_2_SPANISH</t>
  </si>
  <si>
    <t>SOUND_DIALOG_REME_AND_PHARMACIST_OPTION_RECIPE_1</t>
  </si>
  <si>
    <t>SOUND_DIALOG_REME_AND_PHARMACIST_OPTION_RECIPE_1_SPANISH</t>
  </si>
  <si>
    <t>SOUND_DIALOG_REME_AND_PHARMACIST_INTRO_1</t>
  </si>
  <si>
    <t>SOUND_DIALOG_REME_AND_PHARMACIST_INTRO_1_SPANISH</t>
  </si>
  <si>
    <t>MUSIC_SLUM_AND_FACTORY</t>
  </si>
  <si>
    <t>SOUND_MATRIARCH_INTRO_1</t>
  </si>
  <si>
    <t>SOUND_MATRIARCH_INTRO_1_SPANISH</t>
  </si>
  <si>
    <t>SOUND_MATRIARCH_BYE</t>
  </si>
  <si>
    <t>SOUND_MATRIARCH_BYE_SPANISH</t>
  </si>
  <si>
    <t>SOUND_MATRIARCH_RECIPE_2</t>
  </si>
  <si>
    <t>SOUND_MATRIARCH_RECIPE_2_SPANISH</t>
  </si>
  <si>
    <t>SOUND_MATRIARCH_RECIPE_1</t>
  </si>
  <si>
    <t>SOUND_MATRIARCH_RECIPE_1_SPANISH</t>
  </si>
  <si>
    <t>SOUND_MATRIARCH_WHATSCOOKING_2</t>
  </si>
  <si>
    <t>SOUND_MATRIARCH_WHATSCOOKING_2_SPANISH</t>
  </si>
  <si>
    <t>SOUND_MATRIARCH_WHATSCOOKING_1</t>
  </si>
  <si>
    <t>SOUND_MATRIARCH_WHATSCOOKING_1_SPANISH</t>
  </si>
  <si>
    <t>SOUND_OBSERVE_MATRIARCH</t>
  </si>
  <si>
    <t>SOUND_OBSERVE_MATRIARCH_SPANISH</t>
  </si>
  <si>
    <t>SOUND_LAST</t>
  </si>
  <si>
    <t>DIALOG_ID</t>
  </si>
  <si>
    <t>Options</t>
  </si>
  <si>
    <t>DIALOG_OPTION_SIMPLE</t>
  </si>
  <si>
    <t>DIALOG_OPTION_REME_INTRO</t>
  </si>
  <si>
    <t>DIALOG_OPTION_REME_1, DIALOG_OPTION_REME_2, DIALOG_REME_ROACHES_OPTION, DIALOG_OPTION_REME_3</t>
  </si>
  <si>
    <t>DIALOG_OPTION_REME_CARDS</t>
  </si>
  <si>
    <t>ITEM_PLAYER_MAIN, ITEM_PHARMACY_REME_ILL_AND_PHARM</t>
  </si>
  <si>
    <t>DIALOG_OPTION_PHARMACIST_WITH_REME_INTRO</t>
  </si>
  <si>
    <t>DIALOG_OPTION_PHARMACIST_WITH_REME_RECIPE, DIALOG_OPTION_PHARMACIST_WITH_REME_BYE</t>
  </si>
  <si>
    <t>DIALOG_OPTION_PHARMACIST_WITH_REME_ASSASIN</t>
  </si>
  <si>
    <t>ITEM_PLAYER_MAIN, ITEM_PHARMACY_NPC_OWNER</t>
  </si>
  <si>
    <t>DIALOG_OPTION_TRY_TALK_PHARMACIST</t>
  </si>
  <si>
    <t>DIALOG_TRY_TALK_PHARMACIST_2</t>
  </si>
  <si>
    <t>DIALOG_OPTION_PHARMACIST_BUSY</t>
  </si>
  <si>
    <t>ITEM_PLAYER_MAIN, ITEM_ELMANYO_OWNER</t>
  </si>
  <si>
    <t>DIALOG_OPTION_MANYO_ONWER_INTRO</t>
  </si>
  <si>
    <t>DIALOG_OPTION_MANYO_WORK_NOTE, DIALOG_OPTION_MANYO_MENU_DAY, DIALOG_OPTION_MANYO_BYE</t>
  </si>
  <si>
    <t>DIALOG_OPTION_MANYO_UMBRELLA</t>
  </si>
  <si>
    <t>DIALOG_OPTION_MANYO_BCKG_CROWD</t>
  </si>
  <si>
    <t>DIALOG_HIVE1_BCKG_POOR_MAN_WC_OPTIONS</t>
  </si>
  <si>
    <t>DIALOG_HIVE1_POOR_MAN_WC</t>
  </si>
  <si>
    <t>ITEM_PLAYER_MAIN, ITEM_HIVE1_POOR_MAN_WC</t>
  </si>
  <si>
    <t>DIALOG_HIVE1_POOR_MAN_WC_OPTION_0, DIALOG_HIVE1_POOR_MAN_WC_OPTION_1, DIALOG_HIVE1_POOR_MAN_WC_OPTION_2, DIALOG_HIVE1_POOR_MAN_WC_OPTION_3</t>
  </si>
  <si>
    <t>DIALOG_HIVE1_POOR_MAN_WC_OPTION_INTRO</t>
  </si>
  <si>
    <t>DIALOG_ARTURO_HALL_INN</t>
  </si>
  <si>
    <t>ITEM_PLAYER_MAIN, ITEM_HIVE1_MAN_WC_CURED</t>
  </si>
  <si>
    <t>DIALOG_ARTURO_HALL_INN_OPTION_0, DIALOG_ARTURO_HALL_INN_OPTION_1, DIALOG_ARTURO_HALL_INN_OPTION_2</t>
  </si>
  <si>
    <t>DIALOG_ARTURO_HALL_INN_OPTION_INTRO</t>
  </si>
  <si>
    <t>DIALOG_PHARMACIST_NOT_TAKE_INKWELL_OPTION_INTRO</t>
  </si>
  <si>
    <t>DIALOG_OPTION_USE_UMBRELLA_WITH_INKWELL</t>
  </si>
  <si>
    <t>DIALOG_USE_UMBRELLA_WITH_INKWELL_REACT</t>
  </si>
  <si>
    <t>DIALOG_OPTION_USE_UMBRELLA_WITH_INKWELL_REACT</t>
  </si>
  <si>
    <t>DIALOG_FIK_1</t>
  </si>
  <si>
    <t>ITEM_PLAYER_MAIN, ITEM_NPC_FIK</t>
  </si>
  <si>
    <t>DIALOG_FIK_1_OPTION_0, DIALOG_FIK_1_OPTION_1, DIALOG_FIK_1_OPTION_2, DIALOG_FIK_1_OPTION_3</t>
  </si>
  <si>
    <t>DIALOG_FIK_1_OPTION_INTRO</t>
  </si>
  <si>
    <t>DIALOG_FIK_2</t>
  </si>
  <si>
    <t>DIALOG_FIK_2_OPTION_0, DIALOG_FIK_2_OPTION_1, DIALOG_FIK_2_OPTION_2, DIALOG_FIK_2_OPTION_3</t>
  </si>
  <si>
    <t>DIALOG_FIK_NOT_CROSS_OPTION_0</t>
  </si>
  <si>
    <t>ITEM_PLAYER_MAIN, ITEM_NPC_WAITER</t>
  </si>
  <si>
    <t>DIALOG_WAITER_OPTION_INTRO_1</t>
  </si>
  <si>
    <t>DIALOG_WAITER_2_INTRO</t>
  </si>
  <si>
    <t>DIALOG_WAITER_OPTION_INTRO_2</t>
  </si>
  <si>
    <t>DIALOG_WAITER_OPTION_USE_OLD_INVITATION</t>
  </si>
  <si>
    <t>DIALOG_WAITER_OPTION_USE_NEW_INVITATION</t>
  </si>
  <si>
    <t>ITEM_PLAYER_MAIN, ITEM_NPC_UNKNOWN_WOMEN</t>
  </si>
  <si>
    <t>DIALOG_UNKNOWN_GIRLS_OPTION_INTRO_1</t>
  </si>
  <si>
    <t>DIALOG_ARTURO_EXTRAPERLO</t>
  </si>
  <si>
    <t>ITEM_PLAYER_MAIN, ITEM_NPC_ARTURO_EXTRAPERLO</t>
  </si>
  <si>
    <t>DIALOG_ARTURO_EXTRAPERLO_OPTION_0, DIALOG_ARTURO_EXTRAPERLO_OPTION_1, DIALOG_ARTURO_EXTRAPERLO_OPTION_2, DIALOG_FIK_1_OPTION_3</t>
  </si>
  <si>
    <t>DIALOG_ARTURO_EXTRAPERLO_OPTION_INTRO</t>
  </si>
  <si>
    <t>DIALOG_CLOWN_EXTRAPERLO</t>
  </si>
  <si>
    <t>ITEM_PLAYER_MAIN, ITEM_NPC_CLOWN</t>
  </si>
  <si>
    <t>DIALOG_CLOWN_EXTRAPERLO_OPTION_0, DIALOG_CLOWN_EXTRAPERLO_OPTION_1, DIALOG_CLOWN_EXTRAPERLO_OPTION_2, DIALOG_CLOWN_EXTRAPERLO_OPTION_3, DIALOG_FIK_1_OPTION_3</t>
  </si>
  <si>
    <t>DIALOG_CLOWN_EXTRAPERLO_OPTION_INTRO</t>
  </si>
  <si>
    <t>DIALOG_SILVANA_EXTRAPERLO</t>
  </si>
  <si>
    <t>ITEM_PLAYER_MAIN, ITEM_NPC_SILVANA_EXTRAPERLO, ITEM_NPC_CLOWN</t>
  </si>
  <si>
    <t>DIALOG_SILVANA_EXTRAPERLO_OPTION_0, DIALOG_SILVANA_EXTRAPERLO_OPTION_1, DIALOG_SILVANA_EXTRAPERLO_OPTION_2</t>
  </si>
  <si>
    <t>DIALOG_SILVANA_EXTRAPERLO_OPTION_INTRO</t>
  </si>
  <si>
    <t>DIALOG_WAITER_W_INVITATION</t>
  </si>
  <si>
    <t>DIALOG_WAITER_W_INVITATION_OPTION_0, DIALOG_WAITER_W_INVITATION_OPTION_1, DIALOG_WAITER_OPTION_TERRACE, DIALOG_WAITER_W_INVITATION_OPTION_2</t>
  </si>
  <si>
    <t>DIALOG_WAITER_W_INVITATION_OPTION_INTRO</t>
  </si>
  <si>
    <t>DIALOG_CLOWN_DRUNK_OPTION_0</t>
  </si>
  <si>
    <t>DIALOG_ARTURO_DRUNK</t>
  </si>
  <si>
    <t>DIALOG_ARTURO_DRUNK_OPTION_0, DIALOG_ARTURO_DRUNK_OPTION_1</t>
  </si>
  <si>
    <t>ITEM_PLAYER_MAIN, ITEM_NPC_SILVANA_EXTRAPERLO</t>
  </si>
  <si>
    <t>DIALOG_SILVANA_DRUNK_OPTION_0, DIALOG_SILVANA_DRUNK_OPTION_1</t>
  </si>
  <si>
    <t>DIALOG_SILVANA_OLIVE_OPTION_0</t>
  </si>
  <si>
    <t>DIALOG_MAINCHAR_PEE_OPTION_0</t>
  </si>
  <si>
    <t>DIALOG_SILVANA_OBSERVED_PEE_OPTION_0</t>
  </si>
  <si>
    <t>ITEM_PLAYER_MAIN, ITEM_NPC_SILVANA_EXTRAPERLO_GARD</t>
  </si>
  <si>
    <t>DIALOG_SILVANA_GARDEN_1_OPTION_0</t>
  </si>
  <si>
    <t>DIALOG_SILVANA_GARDEN_2</t>
  </si>
  <si>
    <t>ITEM_PLAYER_MAIN, ITEM_NPC_SILVANA_EXTRAPERLO_GARD_SEAT</t>
  </si>
  <si>
    <t>DIALOG_SILVANA_GARDEN_2_OPTION_0, DIALOG_SILVANA_GARDEN_2_OPTION_1, DIALOG_SILVANA_GARDEN_2_OPTION_2, DIALOG_SILVANA_GARDEN_2_OPTION_3, DIALOG_SILVANA_GARDEN_2_OPTION_4</t>
  </si>
  <si>
    <t>DIALOG_SILVANA_GARDEN_2_OPTION_INTRO</t>
  </si>
  <si>
    <t>ITEM_PAMFRY, ITEM_FIK_EXTRAPERLO_GARDEN</t>
  </si>
  <si>
    <t>DIALOG_PAMFRY_1_OPTION_0</t>
  </si>
  <si>
    <t>DIALOG_FIK_SHOOTING_OPTION_0</t>
  </si>
  <si>
    <t>DIALOG_GERMAN_SHOUTING_GARDEN_OPTION_0</t>
  </si>
  <si>
    <t>DIALOG_SILVANA_ASKING_BILL_OPTION_0</t>
  </si>
  <si>
    <t>DIALOG_MAINCHAR_RECAP_EXTRAPERLO_OPTION_0</t>
  </si>
  <si>
    <t>ITEM_MAINCHAR_DREAM, ITEM_NPC_SULTAN</t>
  </si>
  <si>
    <t>DIALOG_SULTAN_OPTION_0</t>
  </si>
  <si>
    <t>ITEM_MAINCHAR_DREAM, ITEM_NPC_PILAR_DREAM_1</t>
  </si>
  <si>
    <t>DIALOG_PILAR_DREAM_1_OPTION_0</t>
  </si>
  <si>
    <t>DIALOG_PILAR_BED_DREAM_1_OPTION_0</t>
  </si>
  <si>
    <t>ITEM_MAINCHAR_DREAM, ITEM_NPC_ALTER_EGO_1</t>
  </si>
  <si>
    <t>DIALOG_ALTER_EGO_DREAM_1_OPTION_0</t>
  </si>
  <si>
    <t>DIALOG_REME_BLOCKING_PATH_OPTION_0</t>
  </si>
  <si>
    <t>DIALOG_REME_SOAP_OPTION_0</t>
  </si>
  <si>
    <t>DIALOG_OBTAINED_GUMBALL_OPTION_0</t>
  </si>
  <si>
    <t>DIALOG_OBSERVE_SQUAT_WC_OPTION_0</t>
  </si>
  <si>
    <t>DIALOG_OPTION_OBSERVE_LAB_MAGAZINE_0</t>
  </si>
  <si>
    <t>ITEM_PLAYER_MAIN, ITEM_NPC_MATRIARCH</t>
  </si>
  <si>
    <t>DIALOG_OPTION_MATRIARCH_INTRO</t>
  </si>
  <si>
    <t>DIALOG_OPTION_MATRIARCH_RECIPE, DIALOG_OPTION_MATRIARCH_WHATSCOOKING, DIALOG_OPTION_MATRIARCH_BYE</t>
  </si>
  <si>
    <t>DIALOG_LAST</t>
  </si>
  <si>
    <t>DIALOG_OPTION_ID</t>
  </si>
  <si>
    <t>NeededMomentOfDay</t>
  </si>
  <si>
    <t>ActionsTriggered</t>
  </si>
  <si>
    <t>DialogTriggered</t>
  </si>
  <si>
    <t>IsRandomized</t>
  </si>
  <si>
    <t>Phrases</t>
  </si>
  <si>
    <t>PHRASE_DIALOG_REME_INTRO_1, PHRASE_DIALOG_REME_INTRO_2, PHRASE_DIALOG_REME_INTRO_3</t>
  </si>
  <si>
    <t>DIALOG_OPTION_REME_1</t>
  </si>
  <si>
    <t>PHRASE_DIALOG_REME_1_1, PHRASE_DIALOG_REME_1_2, PHRASE_DIALOG_REME_1_3</t>
  </si>
  <si>
    <t>DIALOG_OPTION_REME_2</t>
  </si>
  <si>
    <t>PHRASE_DIALOG_REME_2_1, PHRASE_DIALOG_REME_2_2</t>
  </si>
  <si>
    <t>DIALOG_OPTION_REME_3</t>
  </si>
  <si>
    <t>PHRASE_DIALOG_REME_3_1</t>
  </si>
  <si>
    <t>PHRASE_USE_CARDS_REME_1, PHRASE_USE_CARDS_REME_2</t>
  </si>
  <si>
    <t>PHRASE_TRY_TALK_PHARMACIST_BUSY</t>
  </si>
  <si>
    <t>PHRASE_REME_YELLING_ASSASIN</t>
  </si>
  <si>
    <t>PHRASE_DIALOG_REME_AND_PHARMACIST_INTRO_1</t>
  </si>
  <si>
    <t>ACTION_EVENT_PHARMACIST_GAVE_RECIPE_CLUE, ACTION_MEMENTO_RECIPE_MISSION_2</t>
  </si>
  <si>
    <t>PHRASE_DIALOG_REME_AND_PHARMACIST_OPTION_RECIPE_1, PHRASE_DIALOG_REME_AND_PHARMACIST_OPTION_RECIPE_2, PHRASE_DIALOG_REME_AND_PHARMACIST_OPTION_RECIPE_3, PHRASE_DIALOG_REME_AND_PHARMACIST_OPTION_RECIPE_4, PHRASE_DIALOG_REME_AND_PHARMACIST_OPTION_RECIPE_5</t>
  </si>
  <si>
    <t>DIALOG_OPTION_PHARMACIST_WITH_REME_BYE</t>
  </si>
  <si>
    <t>ACTION_ANIMATE_MAINCHAR_SET_STEADY_NORMAL, ACTION_ANIMATE_SET_STEADY_PHARMACIST_AND_REME_STEADY, ACTION_ANIMATE_PHARMACIST_AND_REME_LISTEN_TO_STEADY</t>
  </si>
  <si>
    <t>PHRASE_DIALOG_REME_AND_PHARMACIST_OPTION_BYE</t>
  </si>
  <si>
    <t>PHRASE_PHARMACIST_BUSY_1, PHRASE_PHARMACIST_BUSY_2</t>
  </si>
  <si>
    <t>PHRASE_DIALOG_MANYO_INTRO_1, PHRASE_DIALOG_MANYO_INTRO_2</t>
  </si>
  <si>
    <t>ACTION_MEMENTO_JOB_FIND_1_3, ACTION_MEMENTO_RECEIPT_MISSION, ACTION_EVENT_MANYO_LOOK_FOR_RECIPE_MISSION</t>
  </si>
  <si>
    <t>PHRASE_DIALOG_MANYO_WORK_NOTE_1, PHRASE_DIALOG_MANYO_WORK_NOTE_2, PHRASE_DIALOG_MANYO_WORK_NOTE_3, PHRASE_DIALOG_MANYO_WORK_NOTE_4, PHRASE_DIALOG_MANYO_WORK_NOTE_5, PHRASE_DIALOG_MANYO_WORK_NOTE_6, PHRASE_DIALOG_MANYO_WORK_NOTE_7</t>
  </si>
  <si>
    <t>DIALOG_OPTION_MANYO_MENU_DAY</t>
  </si>
  <si>
    <t>PHRASE_DIALOG_MANYO_MENU_DAY_1, PHRASE_DIALOG_MANYO_MENU_DAY_2, PHRASE_DIALOG_MANYO_MENU_DAY_3, PHRASE_DIALOG_MANYO_MENU_DAY_4, PHRASE_DIALOG_MANYO_MENU_DAY_5, PHRASE_DIALOG_MANYO_MENU_DAY_6</t>
  </si>
  <si>
    <t>DIALOG_OPTION_MANYO_BYE</t>
  </si>
  <si>
    <t>ACTION_ANIMATE_MANYO_LEAN_STEADY, ACTION_ANIMATE_MANYO_LISTEN_TO_LEAN</t>
  </si>
  <si>
    <t>PHRASE_DIALOG_MANYO_BYE_1</t>
  </si>
  <si>
    <t>PHRASE_DIALOG_MANYO_UMBRELLA_NOT_1</t>
  </si>
  <si>
    <t>PHRASE_DIALOG_MANYO_BCKG_CROWD_1, PHRASE_DIALOG_MANYO_BCKG_CROWD_2, PHRASE_DIALOG_MANYO_BCKG_CROWD_3</t>
  </si>
  <si>
    <t>PHRASE_DIALOG_HIVE1_BCKG_POOR_MAN_WC_OPTION_0_0, PHRASE_DIALOG_HIVE1_BCKG_POOR_MAN_WC_OPTION_1_0, PHRASE_DIALOG_HIVE1_BCKG_POOR_MAN_WC_OPTION_2_0, PHRASE_DIALOG_HIVE1_BCKG_POOR_MAN_WC_OPTION_3_0</t>
  </si>
  <si>
    <t>DIALOG_HIVE1_POOR_MAN_WC_OPTION_0</t>
  </si>
  <si>
    <t>PHRASE_DIALOG_HIVE1_POOR_MAN_WC_OPTION_0_0, PHRASE_DIALOG_HIVE1_POOR_MAN_WC_OPTION_0_1, PHRASE_DIALOG_HIVE1_POOR_MAN_WC_OPTION_0_2, PHRASE_DIALOG_HIVE1_POOR_MAN_WC_OPTION_0_3</t>
  </si>
  <si>
    <t>DIALOG_HIVE1_POOR_MAN_WC_OPTION_1</t>
  </si>
  <si>
    <t>PHRASE_DIALOG_HIVE1_POOR_MAN_WC_OPTION_1_0, PHRASE_DIALOG_HIVE1_POOR_MAN_WC_OPTION_1_1</t>
  </si>
  <si>
    <t>DIALOG_HIVE1_POOR_MAN_WC_OPTION_2</t>
  </si>
  <si>
    <t>ACTION_EVENT_POOR_MAN_WC_NEEDS_WATER, ACTION_MEMENTO_POOR_MAN_WC_1</t>
  </si>
  <si>
    <t>PHRASE_DIALOG_HIVE1_POOR_MAN_WC_OPTION_2_0, PHRASE_DIALOG_HIVE1_POOR_MAN_WC_OPTION_2_1, PHRASE_DIALOG_HIVE1_POOR_MAN_WC_OPTION_2_2, PHRASE_DIALOG_HIVE1_POOR_MAN_WC_OPTION_2_3, PHRASE_DIALOG_HIVE1_POOR_MAN_WC_OPTION_2_4</t>
  </si>
  <si>
    <t>DIALOG_HIVE1_POOR_MAN_WC_OPTION_3</t>
  </si>
  <si>
    <t>PHRASE_DIALOG_HIVE1_POOR_MAN_WC_OPTION_3_0</t>
  </si>
  <si>
    <t>PHRASE_DIALOG_HIVE1_POOR_MAN_WC_INTRO_0, PHRASE_DIALOG_HIVE1_POOR_MAN_WC_INTRO_1, PHRASE_DIALOG_HIVE1_POOR_MAN_WC_INTRO_2</t>
  </si>
  <si>
    <t>DIALOG_ARTURO_HALL_INN_OPTION_0</t>
  </si>
  <si>
    <t>PHRASE_DIALOG_ARTURO_HALL_INN_OPTION_0_0, PHRASE_DIALOG_ARTURO_HALL_INN_OPTION_0_1, PHRASE_DIALOG_ARTURO_HALL_INN_OPTION_0_2, PHRASE_DIALOG_ARTURO_HALL_INN_OPTION_0_3</t>
  </si>
  <si>
    <t>DIALOG_ARTURO_HALL_INN_OPTION_1</t>
  </si>
  <si>
    <t>ACTION_EVENT_TALKED_ARTURO_HALL_COMPLETED, ACTION_EVENT_INVITATION_PICKABLE_TAKEN, ACTION_OBTAIN_EXTRAPERLO_INVITATION</t>
  </si>
  <si>
    <t>PHRASE_DIALOG_ARTURO_HALL_INN_OPTION_1_0, PHRASE_DIALOG_ARTURO_HALL_INN_OPTION_1_1, PHRASE_DIALOG_ARTURO_HALL_INN_OPTION_1_2, PHRASE_DIALOG_ARTURO_HALL_INN_OPTION_1_3, PHRASE_DIALOG_ARTURO_HALL_INN_OPTION_1_4, PHRASE_DIALOG_ARTURO_HALL_INN_OPTION_1_5, PHRASE_DIALOG_ARTURO_HALL_INN_OPTION_1_6</t>
  </si>
  <si>
    <t>DIALOG_ARTURO_HALL_INN_OPTION_2</t>
  </si>
  <si>
    <t>PHRASE_DIALOG_ARTURO_HALL_INN_OPTION_2_0</t>
  </si>
  <si>
    <t>PHRASE_DIALOG_ARTURO_HALL_INN_INTRO_0, PHRASE_DIALOG_ARTURO_HALL_INN_INTRO_1</t>
  </si>
  <si>
    <t>PHRASE_DIALOG_PHARMACIST_NOT_TAKE_INKWELL_INTRO</t>
  </si>
  <si>
    <t>PHRASE_DIALOG_USE_UMBRELLA_WITH_INKWELL</t>
  </si>
  <si>
    <t>PHRASE_DIALOG_USE_UMBRELLA_WITH_INKWELL_OWNER, PHRASE_DIALOG_USE_UMBRELLA_WITH_INKWELL_OWNER_2</t>
  </si>
  <si>
    <t>DIALOG_FIK_1_OPTION_0</t>
  </si>
  <si>
    <t>PHRASE_DIALOG_FIK_1_OPTION_0_0, PHRASE_DIALOG_FIK_1_OPTION_0_1</t>
  </si>
  <si>
    <t>DIALOG_FIK_1_OPTION_1</t>
  </si>
  <si>
    <t>PHRASE_DIALOG_FIK_1_OPTION_1_0, PHRASE_DIALOG_FIK_1_OPTION_1_1, PHRASE_DIALOG_FIK_1_OPTION_1_2, PHRASE_DIALOG_FIK_1_OPTION_1_3</t>
  </si>
  <si>
    <t>DIALOG_FIK_1_OPTION_2</t>
  </si>
  <si>
    <t>PHRASE_DIALOG_FIK_1_OPTION_2_0, PHRASE_DIALOG_FIK_1_OPTION_2_1, PHRASE_DIALOG_FIK_1_OPTION_2_2</t>
  </si>
  <si>
    <t>DIALOG_FIK_1_OPTION_3</t>
  </si>
  <si>
    <t>PHRASE_DIALOG_FIK_1_OPTION_3_0</t>
  </si>
  <si>
    <t>PHRASE_DIALOG_FIK_1_INTRO_0, PHRASE_DIALOG_FIK_1_INTRO_1</t>
  </si>
  <si>
    <t>DIALOG_FIK_2_OPTION_0</t>
  </si>
  <si>
    <t>PHRASE_DIALOG_FIK_2_OPTION_0_0, PHRASE_DIALOG_FIK_2_OPTION_0_1</t>
  </si>
  <si>
    <t>DIALOG_FIK_2_OPTION_1</t>
  </si>
  <si>
    <t>PHRASE_DIALOG_FIK_2_OPTION_1_0, PHRASE_DIALOG_FIK_2_OPTION_1_1</t>
  </si>
  <si>
    <t>DIALOG_FIK_2_OPTION_2</t>
  </si>
  <si>
    <t>PHRASE_DIALOG_FIK_2_OPTION_2_0, PHRASE_DIALOG_FIK_2_OPTION_2_1</t>
  </si>
  <si>
    <t>DIALOG_FIK_2_OPTION_3</t>
  </si>
  <si>
    <t>PHRASE_DIALOG_FIK_2_OPTION_3_0, PHRASE_DIALOG_FIK_2_OPTION_3_1</t>
  </si>
  <si>
    <t>PHRASE_DIALOG_FIK_NOT_CROSS</t>
  </si>
  <si>
    <t>PHRASE_DIALOG_WAITER_INTRO_1_0, PHRASE_DIALOG_WAITER_INTRO_1_1, PHRASE_DIALOG_WAITER_INTRO_1_2, PHRASE_DIALOG_WAITER_INTRO_1_3</t>
  </si>
  <si>
    <t>PHRASE_DIALOG_WAITER_USE_OLD_INV_0, PHRASE_DIALOG_WAITER_USE_OLD_INV_1, PHRASE_DIALOG_WAITER_USE_OLD_INV_2</t>
  </si>
  <si>
    <t>PHRASE_DIALOG_WAITER_USE_NEW_INV_0, PHRASE_DIALOG_WAITER_USE_NEW_INV_1</t>
  </si>
  <si>
    <t>PHRASE_DIALOG_UNKNOWN_GIRLS_INTRO_1_0, PHRASE_DIALOG_UNKNOWN_GIRLS_INTRO_1_1, PHRASE_DIALOG_UNKNOWN_GIRLS_INTRO_1_2</t>
  </si>
  <si>
    <t>DIALOG_ARTURO_EXTRAPERLO_OPTION_0</t>
  </si>
  <si>
    <t>PHRASE_DIALOG_ARTURO_EXTRAPERLO_OPTION_0_0, PHRASE_DIALOG_ARTURO_EXTRAPERLO_OPTION_0_1, PHRASE_DIALOG_ARTURO_EXTRAPERLO_OPTION_0_2, PHRASE_DIALOG_ARTURO_EXTRAPERLO_OPTION_0_3</t>
  </si>
  <si>
    <t>DIALOG_ARTURO_EXTRAPERLO_OPTION_1</t>
  </si>
  <si>
    <t>PHRASE_DIALOG_ARTURO_EXTRAPERLO_OPTION_1_0, PHRASE_DIALOG_ARTURO_EXTRAPERLO_OPTION_1_1, PHRASE_DIALOG_ARTURO_EXTRAPERLO_OPTION_1_2, PHRASE_DIALOG_ARTURO_EXTRAPERLO_OPTION_1_3, PHRASE_DIALOG_ARTURO_EXTRAPERLO_OPTION_1_4</t>
  </si>
  <si>
    <t>DIALOG_ARTURO_EXTRAPERLO_OPTION_2</t>
  </si>
  <si>
    <t>PHRASE_DIALOG_ARTURO_EXTRAPERLO_OPTION_2_0, PHRASE_DIALOG_ARTURO_EXTRAPERLO_OPTION_2_1, PHRASE_DIALOG_ARTURO_EXTRAPERLO_OPTION_2_2, PHRASE_DIALOG_ARTURO_EXTRAPERLO_OPTION_2_3, PHRASE_DIALOG_ARTURO_EXTRAPERLO_OPTION_2_4, PHRASE_DIALOG_ARTURO_EXTRAPERLO_OPTION_2_5, PHRASE_DIALOG_ARTURO_EXTRAPERLO_OPTION_2_6, PHRASE_DIALOG_ARTURO_EXTRAPERLO_OPTION_2_7</t>
  </si>
  <si>
    <t>PHRASE_DIALOG_ARTURO_EXTRAPERLO_INTRO</t>
  </si>
  <si>
    <t>DIALOG_CLOWN_EXTRAPERLO_OPTION_0</t>
  </si>
  <si>
    <t>PHRASE_DIALOG_CLOWN_EXTRAPERLO_OPTION_1_0, PHRASE_DIALOG_CLOWN_EXTRAPERLO_OPTION_1_1, PHRASE_DIALOG_CLOWN_EXTRAPERLO_OPTION_1_2, PHRASE_DIALOG_CLOWN_EXTRAPERLO_OPTION_1_3, PHRASE_DIALOG_CLOWN_EXTRAPERLO_OPTION_1_4</t>
  </si>
  <si>
    <t>DIALOG_CLOWN_EXTRAPERLO_OPTION_1</t>
  </si>
  <si>
    <t>PHRASE_DIALOG_CLOWN_EXTRAPERLO_OPTION_2_0, PHRASE_DIALOG_CLOWN_EXTRAPERLO_OPTION_2_1</t>
  </si>
  <si>
    <t>DIALOG_CLOWN_EXTRAPERLO_OPTION_2</t>
  </si>
  <si>
    <t>PHRASE_DIALOG_CLOWN_EXTRAPERLO_OPTION_3_0, PHRASE_DIALOG_CLOWN_EXTRAPERLO_OPTION_3_2, PHRASE_DIALOG_CLOWN_EXTRAPERLO_OPTION_3_4, PHRASE_DIALOG_CLOWN_EXTRAPERLO_OPTION_3_5, PHRASE_DIALOG_CLOWN_EXTRAPERLO_OPTION_3_6, PHRASE_DIALOG_CLOWN_EXTRAPERLO_OPTION_3_7, PHRASE_DIALOG_CLOWN_EXTRAPERLO_OPTION_3_8, PHRASE_DIALOG_CLOWN_EXTRAPERLO_OPTION_3_9</t>
  </si>
  <si>
    <t>DIALOG_CLOWN_EXTRAPERLO_OPTION_3</t>
  </si>
  <si>
    <t>PHRASE_DIALOG_CLOWN_EXTRAPERLO_OPTION_4_0, PHRASE_DIALOG_CLOWN_EXTRAPERLO_OPTION_4_1, PHRASE_DIALOG_CLOWN_EXTRAPERLO_OPTION_4_2, PHRASE_DIALOG_CLOWN_EXTRAPERLO_OPTION_4_3</t>
  </si>
  <si>
    <t>PHRASE_DIALOG_CLOWN_EXTRAPERLO_INTRO</t>
  </si>
  <si>
    <t>DIALOG_SILVANA_EXTRAPERLO_OPTION_0</t>
  </si>
  <si>
    <t>ACTION_EVENT_SILVANA_REFUSED_MAINCHAR, ACTION_ANIMATE_SILVANA_OPENING_BOOK_1, ACTION_ANIMATE_SILVANA_OPENING_BOOK_2</t>
  </si>
  <si>
    <t>PHRASE_DIALOG_SILVANA_EXTRAPERLO_OPTION_0_0, PHRASE_DIALOG_SILVANA_EXTRAPERLO_OPTION_0_0_LAUGH, PHRASE_DIALOG_SILVANA_EXTRAPERLO_OPTION_0_1, PHRASE_DIALOG_SILVANA_EXTRAPERLO_OPTION_0_2, PHRASE_DIALOG_SILVANA_EXTRAPERLO_OPTION_0_3</t>
  </si>
  <si>
    <t>DIALOG_SILVANA_EXTRAPERLO_OPTION_1</t>
  </si>
  <si>
    <t>PHRASE_DIALOG_SILVANA_EXTRAPERLO_OPTION_1_0, PHRASE_DIALOG_SILVANA_EXTRAPERLO_OPTION_1_1</t>
  </si>
  <si>
    <t>DIALOG_SILVANA_EXTRAPERLO_OPTION_2</t>
  </si>
  <si>
    <t>ACTION_ANIMATE_SILVANA_OPENING_BOOK_1, ACTION_ANIMATE_SILVANA_OPENING_BOOK_2</t>
  </si>
  <si>
    <t>PHRASE_DIALOG_SILVANA_EXTRAPERLO_OPTION_2_0</t>
  </si>
  <si>
    <t>PHRASE_DIALOG_SILVANA_EXTRAPERLO_INTRO_0, PHRASE_DIALOG_SILVANA_EXTRAPERLO_INTRO_1</t>
  </si>
  <si>
    <t>DIALOG_WAITER_W_INVITATION_OPTION_0</t>
  </si>
  <si>
    <t>(NOT)EVENT_BEER_JAR_READY, (NOT)EVENT_BEER_THIRD_ROUND</t>
  </si>
  <si>
    <t>ACTION_ANIMATE_WAITER_SERVE_JAR, ACTION_PLAY_SOUND_DISH, ACTION_EVENT_BEER_PLACED</t>
  </si>
  <si>
    <t>PHRASE_DIALOG_WAITER_W_INVITATION_OPTION_0_0, PHRASE_DIALOG_WAITER_W_INVITATION_OPTION_0_1</t>
  </si>
  <si>
    <t>DIALOG_WAITER_W_INVITATION_OPTION_1</t>
  </si>
  <si>
    <t>(NOT)EVENT_WAITER_EXTRAPERLO_GAVE_OLIVES</t>
  </si>
  <si>
    <t>ACTION_ANIMATE_WAITER_SERVE_OLIVES, ACTION_PLAY_SOUND_DISH, ACTION_EVENT_OLIVES_PLACED</t>
  </si>
  <si>
    <t>PHRASE_DIALOG_WAITER_W_INVITATION_OPTION_1_0, PHRASE_DIALOG_WAITER_W_INVITATION_OPTION_1_1</t>
  </si>
  <si>
    <t>DIALOG_WAITER_W_INVITATION_OPTION_2</t>
  </si>
  <si>
    <t>PHRASE_DIALOG_WAITER_W_INVITATION_OPTION_2_0</t>
  </si>
  <si>
    <t>PHRASE_DIALOG_WAITER_W_INVITATION_INTRO_0, PHRASE_DIALOG_WAITER_W_INVITATION_INTRO_1</t>
  </si>
  <si>
    <t>PHRASE_DIALOG_CLOWN_DRUNK_INTRO_1, PHRASE_DIALOG_CLOWN_DRUNK_INTRO_2</t>
  </si>
  <si>
    <t>PHRASE_DIALOG_ARTURO_DRUNK_INTRO_1, PHRASE_DIALOG_ARTURO_DRUNK_INTRO_2</t>
  </si>
  <si>
    <t>DIALOG_ARTURO_DRUNK_OPTION_0</t>
  </si>
  <si>
    <t>PHRASE_DIALOG_ARTURO_DRUNK_OPTION_0_0</t>
  </si>
  <si>
    <t>DIALOG_ARTURO_DRUNK_OPTION_1</t>
  </si>
  <si>
    <t>PHRASE_MAINCHAR_GOOD_NIGHT_DRUNK</t>
  </si>
  <si>
    <t>DIALOG_SILVANA_DRUNK_OPTION_0</t>
  </si>
  <si>
    <t>PHRASE_DIALOG_SILVANA_DRUNK_OPTION_0_0, PHRASE_DIALOG_SILVANA_DRUNK_OPTION_0_1, PHRASE_DIALOG_SILVANA_DRUNK_OPTION_0_2, PHRASE_DIALOG_SILVANA_DRUNK_OPTION_0_3, PHRASE_DIALOG_SILVANA_DRUNK_OPTION_0_4</t>
  </si>
  <si>
    <t>DIALOG_SILVANA_DRUNK_OPTION_1</t>
  </si>
  <si>
    <t>ACTION_EVENT_OLIVE_OFFERED, ACTION_ANIMATE_SILVANA_OPENING_BOOK_1, ACTION_ANIMATE_SILVANA_OPENING_BOOK_2</t>
  </si>
  <si>
    <t>PHRASE_DIALOG_SILVANA_OLIVE_OPTION_0_0, PHRASE_DIALOG_SILVANA_OLIVE_OPTION_0_1, PHRASE_DIALOG_SILVANA_OLIVE_OPTION_0_2, PHRASE_DIALOG_SILVANA_OLIVE_OPTION_0_3</t>
  </si>
  <si>
    <t>DIALOG_WAITER_OPTION_TERRACE</t>
  </si>
  <si>
    <t>ACTION_MOVE_WAYPOINT_WAITER_TERRACE, ACTION_EVENT_DRUNK_STATE_REMOVE, ACTION_SCENE_EXTRAPERLO_TERRACE</t>
  </si>
  <si>
    <t>PHRASE_DIALOG_WAITER_TERRACE_OPTION_0_0, PHRASE_DIALOG_WAITER_TERRACE_OPTION_0_1, PHRASE_DIALOG_WAITER_TERRACE_OPTION_0_2, PHRASE_DIALOG_WAITER_TERRACE_OPTION_0_3, PHRASE_DIALOG_WAITER_TERRACE_OPTION_0_4</t>
  </si>
  <si>
    <t>ACTION_MOVE_AFTER_PEE, ACTION_ZOOM_SILVANA_SHOCKED_ZONE, ACTION_ANIMATE_SILVANA_SHOCKED_ANGRY, ACTION_DIALOGUE_SILVANA_OBSERVE_PEE</t>
  </si>
  <si>
    <t>PHRASE_ABOUT_PEE_PLANT, PHRASE_BLANK_PEE_SOUND</t>
  </si>
  <si>
    <t>ACTION_SET_GAME_ANIMATION_MODE, ACTION_ZOOM_GARDEN_OUT, ACTION_MOVE_SILVANA_GARDEN_TALK_APROACH, ACTION_TALK_DIALOG_SILVANA_GARDEN_1</t>
  </si>
  <si>
    <t>PHRASE_SILVANA_OBSERVED_PEE</t>
  </si>
  <si>
    <t>PHRASE_DIALOG_SILVANA_GARDEN_1_OPTION_0_0, PHRASE_DIALOG_SILVANA_GARDEN_1_OPTION_0_1, PHRASE_DIALOG_SILVANA_GARDEN_1_OPTION_0_2, PHRASE_DIALOG_SILVANA_GARDEN_1_OPTION_0_3, PHRASE_DIALOG_SILVANA_GARDEN_1_OPTION_0_4</t>
  </si>
  <si>
    <t>DIALOG_SILVANA_GARDEN_2_OPTION_0</t>
  </si>
  <si>
    <t>PHRASE_DIALOG_SILVANA_GARDEN_2_OPTION_0_0, PHRASE_DIALOG_SILVANA_GARDEN_2_OPTION_0_1, PHRASE_DIALOG_SILVANA_GARDEN_2_OPTION_0_2, PHRASE_DIALOG_SILVANA_GARDEN_2_OPTION_0_3, PHRASE_DIALOG_SILVANA_GARDEN_2_OPTION_0_4, PHRASE_DIALOG_SILVANA_GARDEN_2_OPTION_0_5, PHRASE_DIALOG_SILVANA_GARDEN_2_OPTION_0_6, PHRASE_DIALOG_SILVANA_GARDEN_2_OPTION_0_7, PHRASE_DIALOG_SILVANA_GARDEN_2_OPTION_0_8, PHRASE_DIALOG_SILVANA_GARDEN_2_OPTION_0_9, PHRASE_DIALOG_SILVANA_GARDEN_2_OPTION_0_10, PHRASE_DIALOG_SILVANA_GARDEN_2_OPTION_0_11, PHRASE_DIALOG_SILVANA_GARDEN_2_OPTION_0_12, PHRASE_DIALOG_SILVANA_GARDEN_2_OPTION_0_13, PHRASE_DIALOG_SILVANA_GARDEN_2_OPTION_0_14, PHRASE_DIALOG_SILVANA_GARDEN_2_OPTION_0_15, PHRASE_DIALOG_SILVANA_GARDEN_2_OPTION_0_16, PHRASE_DIALOG_SILVANA_GARDEN_2_OPTION_0_17, PHRASE_DIALOG_SILVANA_GARDEN_2_OPTION_0_18</t>
  </si>
  <si>
    <t>DIALOG_SILVANA_GARDEN_2_OPTION_1</t>
  </si>
  <si>
    <t>PHRASE_DIALOG_SILVANA_GARDEN_2_OPTION_1_0, PHRASE_DIALOG_SILVANA_GARDEN_2_OPTION_1_1, PHRASE_DIALOG_SILVANA_GARDEN_2_OPTION_1_2, PHRASE_DIALOG_SILVANA_GARDEN_2_OPTION_1_3, PHRASE_DIALOG_SILVANA_GARDEN_2_OPTION_1_4, PHRASE_DIALOG_SILVANA_GARDEN_2_OPTION_1_5, PHRASE_DIALOG_SILVANA_GARDEN_2_OPTION_1_6, PHRASE_DIALOG_SILVANA_GARDEN_2_OPTION_1_7, PHRASE_DIALOG_SILVANA_GARDEN_2_OPTION_1_8, PHRASE_DIALOG_SILVANA_GARDEN_2_OPTION_1_9, PHRASE_DIALOG_SILVANA_GARDEN_2_OPTION_1_10, PHRASE_DIALOG_SILVANA_GARDEN_2_OPTION_1_11</t>
  </si>
  <si>
    <t>DIALOG_SILVANA_GARDEN_2_OPTION_2</t>
  </si>
  <si>
    <t>PHRASE_DIALOG_SILVANA_GARDEN_2_OPTION_2_0, PHRASE_DIALOG_SILVANA_GARDEN_2_OPTION_2_1, PHRASE_DIALOG_SILVANA_GARDEN_2_OPTION_2_2, PHRASE_DIALOG_SILVANA_GARDEN_2_OPTION_2_3, PHRASE_DIALOG_SILVANA_GARDEN_2_OPTION_2_4, PHRASE_DIALOG_SILVANA_GARDEN_2_OPTION_2_5, PHRASE_DIALOG_SILVANA_GARDEN_2_OPTION_2_6, PHRASE_DIALOG_SILVANA_GARDEN_2_OPTION_2_7, PHRASE_DIALOG_SILVANA_GARDEN_2_OPTION_2_8, PHRASE_DIALOG_SILVANA_GARDEN_2_OPTION_2_9, PHRASE_DIALOG_SILVANA_GARDEN_2_OPTION_2_10, PHRASE_DIALOG_SILVANA_GARDEN_2_OPTION_2_11</t>
  </si>
  <si>
    <t>DIALOG_SILVANA_GARDEN_2_OPTION_3</t>
  </si>
  <si>
    <t>PHRASE_DIALOG_SILVANA_GARDEN_2_OPTION_3_0, PHRASE_DIALOG_SILVANA_GARDEN_2_OPTION_3_1</t>
  </si>
  <si>
    <t>DIALOG_SILVANA_GARDEN_2_OPTION_4</t>
  </si>
  <si>
    <t>ACTION_SET_GAME_ANIMATION_MODE, ACTION_MOVE_PAMFRY_APPEAR, ACTION_TALK_DIALOG_PAMFRY_1</t>
  </si>
  <si>
    <t>PHRASE_DIALOG_SILVANA_GARDEN_2_OPTION_4_0, PHRASE_DIALOG_SILVANA_GARDEN_2_OPTION_4_1, PHRASE_DIALOG_SILVANA_GARDEN_2_OPTION_4_2, PHRASE_DIALOG_SILVANA_GARDEN_2_OPTION_4_3, PHRASE_DIALOG_SILVANA_GARDEN_2_OPTION_4_4, PHRASE_DIALOG_SILVANA_GARDEN_2_OPTION_4_5, PHRASE_DIALOG_SILVANA_GARDEN_2_OPTION_4_6</t>
  </si>
  <si>
    <t>PHRASE_DIALOG_SILVANA_GARDEN_2_INTRO_0, PHRASE_DIALOG_SILVANA_GARDEN_2_INTRO_1, PHRASE_DIALOG_SILVANA_GARDEN_2_INTRO_2</t>
  </si>
  <si>
    <t>ACTION_SET_GAME_ANIMATION_MODE, ACTION_MOVE_PAMFRY_FLIP, ACTION_ANIMATE_PAMFRY_RUNNING, ACTION_MOVE_PAMFRY_RUN, ACTION_ZOOM_PAMFRY_DEATH, ACTION_MOVE_FIK_TO_SHOT, ACTION_ANIMATE_PAMFRY_CLIMBING, ACTION_PLAY_SOUND_GUNSHOT, ACTION_ANIMATE_PAMFRY_DIE_1, ACTION_ANIMATE_PAMFRY_DIE_2, ACTION_ZOOM_FIK_SHOOTING, ACTION_DIALOGUE_FIK_SHOOTING</t>
  </si>
  <si>
    <t>PHRASE_DIALOG_PAMFRY_1_OPTION_0_0</t>
  </si>
  <si>
    <t>PHRASE_SHOOT_SOUND, PHRASE_DIALOG_PAMFRY_1_OPTION_0_1</t>
  </si>
  <si>
    <t>PHRASE_DIALOG_PAMFRY_1_OPTION_0_2</t>
  </si>
  <si>
    <t>ACTION_ZOOM_ALL_END_GARDEN_SCENE, ACTION_OBTAIN_HIVE1_CARDS, ACTION_EVENT_CARDS_PICKABLE_TAKEN, ACTION_EVENT_PENDING_RECAP_EXTRAPERLO_GARDEN, ACTION_EVENT_PENDING_DREAM_1, ACTION_SCENE_BACK_TO_HIVE1_ROOM</t>
  </si>
  <si>
    <t>PHRASE_SILVANA_ASKING_BILL</t>
  </si>
  <si>
    <t>PHRASE_MAINCHAR_RECAP_EXTRAPERLO_1, PHRASE_MAINCHAR_RECAP_EXTRAPERLO_2</t>
  </si>
  <si>
    <t>PHRASE_DIALOG_SULTAN_1_0, PHRASE_DIALOG_SULTAN_1_1</t>
  </si>
  <si>
    <t>ACTION_SET_GAME_ANIMATION_MODE, ACTION_ANIMATE_PILAR_STEADY, ACTION_MAINCHAR_DREAM_INVISIBLE, ACTION_ANIMATE_PILAR_KISSING, ACTION_SCENE_DREAM1_BEDROOM_NIGHT</t>
  </si>
  <si>
    <t>PHRASE_DIALOG_PILAR_DREAM_1_OPTION_0_0, PHRASE_DIALOG_PILAR_DREAM_1_OPTION_0_1, PHRASE_DIALOG_PILAR_DREAM_1_OPTION_0_2, PHRASE_DIALOG_PILAR_DREAM_1_OPTION_0_3, PHRASE_DIALOG_PILAR_DREAM_1_OPTION_0_4, PHRASE_DIALOG_PILAR_DREAM_1_OPTION_0_5</t>
  </si>
  <si>
    <t>ACTION_SET_GAME_ANIMATION_MODE, ACTION_ZOOM_WINDOW, ACTION_SCENE_DREAM1_CORRIDOR_NIGHT</t>
  </si>
  <si>
    <t>PHRASE_DIALOG_PILAR_BED_DREAM_1_OPTION_0_0, PHRASE_DIALOG_PILAR_BED_DREAM_1_OPTION_0_1, PHRASE_DIALOG_PILAR_BED_DREAM_1_OPTION_0_2, PHRASE_DIALOG_PILAR_BED_DREAM_1_OPTION_0_3, PHRASE_DIALOG_PILAR_BED_DREAM_1_OPTION_0_3_2, PHRASE_DIALOG_PILAR_BED_DREAM_1_OPTION_0_4, PHRASE_DIALOG_PILAR_BED_DREAM_1_OPTION_0_4_2, PHRASE_DIALOG_PILAR_BED_DREAM_1_OPTION_0_5, PHRASE_DIALOG_PILAR_BED_DREAM_1_OPTION_0_6</t>
  </si>
  <si>
    <t>ACTION_ANIMATE_ALTER_EGO_DISAPPEAR, ACTION_EVENT_ALTER_EGO_DREAM_1_TALKED, ACTION_DESPAWN_ALTER_EGO</t>
  </si>
  <si>
    <t>PHRASE_DIALOG_ALTER_EGO_DREAM_1_OPTION_0_0, PHRASE_DIALOG_ALTER_EGO_DREAM_1_OPTION_0_1, PHRASE_DIALOG_ALTER_EGO_DREAM_1_OPTION_0_2, PHRASE_DIALOG_ALTER_EGO_DREAM_1_OPTION_0_3, PHRASE_DIALOG_ALTER_EGO_DREAM_1_OPTION_0_4, PHRASE_DIALOG_ALTER_EGO_DREAM_1_OPTION_0_5, PHRASE_DIALOG_ALTER_EGO_DREAM_1_OPTION_0_6, PHRASE_DIALOG_ALTER_EGO_DREAM_1_OPTION_0_7, PHRASE_DIALOG_ALTER_EGO_DREAM_1_OPTION_0_8, PHRASE_DIALOG_ALTER_EGO_DREAM_1_OPTION_0_9, PHRASE_DIALOG_ALTER_EGO_DREAM_1_OPTION_0_10</t>
  </si>
  <si>
    <t>PHRASE_DIALOG_REME_BLOCKING_PATH_OPTION_0_0, PHRASE_DIALOG_REME_BLOCKING_PATH_OPTION_0_1</t>
  </si>
  <si>
    <t>PHRASE_DIALOG_REME_SOAP_1, PHRASE_DIALOG_REME_SOAP_2</t>
  </si>
  <si>
    <t>ACTION_SET_GAME_ANIMATION_MODE, ACTION_ZOOM_COIN_ROLL, ACTION_ANIMATE_CLATTERING_COIN, ACTION_EVENT_COIN_IN_CRACK, ACTION_DESTROY_CLATTERING_COIN, ACTION_SPAWN_COIN_IN_CRACK, ACTION_WAIT_0p5S, ACTION_ZOOM_ALL_END_GARDEN_SCENE, ACTION_REMOVE_GAME_ANIMATION_MODE, ACTION_DIALOGUE_OBSERVED_CLATTERING_COIN_ROLL</t>
  </si>
  <si>
    <t>PHRASE_OBTAINED_GUMBALL</t>
  </si>
  <si>
    <t>PHRASE_OBSERVE_ITEM_SQUAT_WC, PHRASE_OBSERVE_ITEM_SQUAT_WC_2</t>
  </si>
  <si>
    <t>ACTION_PLAY_SOUND_ROACH_GROWL, ACTION_ANIMATE_GIANT_ROACH_CLIMB, ACTION_MEMENTO_REME_2, ACTION_EVENT_REME_SAID_SCARED_ROACHES</t>
  </si>
  <si>
    <t>PHRASE_DIALOG_REME_ROACHES_1, PHRASE_DIALOG_REME_ROACHES_2, PHRASE_DIALOG_REME_ROACHES_3, PHRASE_DIALOG_REME_ROACHES_4</t>
  </si>
  <si>
    <t>PHRASE_OBSERVE_LAB_MAGAZINE_1, PHRASE_OBSERVE_LAB_MAGAZINE_2, PHRASE_OBSERVE_LAB_MAGAZINE_3, PHRASE_OBSERVE_LAB_MAGAZINE_4, PHRASE_OBSERVE_LAB_MAGAZINE_5</t>
  </si>
  <si>
    <t>PHRASE_MATRIARCH_INTRO_1</t>
  </si>
  <si>
    <t>PHRASE_MATRIARCH_RECIPE_1, PHRASE_MATRIARCH_RECIPE_2</t>
  </si>
  <si>
    <t>DIALOG_OPTION_MATRIARCH_WHATSCOOKING</t>
  </si>
  <si>
    <t>PHRASE_MATRIARCH_WHATSCOOKING_1, PHRASE_MATRIARCH_WHATSCOOKING_2</t>
  </si>
  <si>
    <t>DIALOG_OPTION_MATRIARCH_BYE</t>
  </si>
  <si>
    <t>ACTION_ANIMATE_MATRIARCH_SET_STEADY_STEADY, ACTION_ANIMATE_MATRIARCH_LISTEN_TO_STEADY</t>
  </si>
  <si>
    <t>PHRASE_MATRIARCH_BYE</t>
  </si>
  <si>
    <t>DIALOG_OPTION_LAST</t>
  </si>
  <si>
    <t>DECISION_ID</t>
  </si>
  <si>
    <t>OPTIONS</t>
  </si>
  <si>
    <t>DECISION_OPTION_NONE</t>
  </si>
  <si>
    <t>DECISION_OPTION_NOT_SLEEP, DECISION_OPTION_SLEEP_DAY, DECISION_OPTION_SLEEP_NIGHT</t>
  </si>
  <si>
    <t>DECISION_ID_LAST</t>
  </si>
  <si>
    <t>DECISION_OPTION_LAST</t>
  </si>
  <si>
    <t>DECISION_OPTION_ID</t>
  </si>
  <si>
    <t>Phrase</t>
  </si>
  <si>
    <t>DECISION_OPTION_NOT_SLEEP</t>
  </si>
  <si>
    <t>PHRASE_DECISION_NOT_SLEEP</t>
  </si>
  <si>
    <t>DECISION_OPTION_SLEEP_DAY</t>
  </si>
  <si>
    <t>PHRASE_DECISION_SLEEP_DAY</t>
  </si>
  <si>
    <t>DECISION_OPTION_SLEEP_NIGHT</t>
  </si>
  <si>
    <t>PHRASE_DECISION_SLEEP_NIGHT</t>
  </si>
  <si>
    <t>NAME_ID</t>
  </si>
  <si>
    <t>Name_English</t>
  </si>
  <si>
    <t>Name_Spanish</t>
  </si>
  <si>
    <t>Constantino</t>
  </si>
  <si>
    <t>NAME_INTERACTION_TALK</t>
  </si>
  <si>
    <t>Talk</t>
  </si>
  <si>
    <t>Hablar</t>
  </si>
  <si>
    <t>NAME_INTERACTION_OBSERVE</t>
  </si>
  <si>
    <t>Observe</t>
  </si>
  <si>
    <t>Observar</t>
  </si>
  <si>
    <t>NAME_INTERACTION_TAKE</t>
  </si>
  <si>
    <t>Take</t>
  </si>
  <si>
    <t>Tomar</t>
  </si>
  <si>
    <t>Secretary desk</t>
  </si>
  <si>
    <t>Cajonera</t>
  </si>
  <si>
    <t>Remedios</t>
  </si>
  <si>
    <t>Perfum</t>
  </si>
  <si>
    <t>Perfume</t>
  </si>
  <si>
    <t>Card set</t>
  </si>
  <si>
    <t>Baraja naipes</t>
  </si>
  <si>
    <t>NAME_ITEM_MATCHES</t>
  </si>
  <si>
    <t>Matches</t>
  </si>
  <si>
    <t>Cerillas</t>
  </si>
  <si>
    <t>NAME_ITEM_DOPP</t>
  </si>
  <si>
    <t>Dopp kit</t>
  </si>
  <si>
    <t>Bolsa de aseo</t>
  </si>
  <si>
    <t>Wardrobe</t>
  </si>
  <si>
    <t>Armario</t>
  </si>
  <si>
    <t>Cross</t>
  </si>
  <si>
    <t>Cruzar</t>
  </si>
  <si>
    <t>Find job</t>
  </si>
  <si>
    <t>Encontrar trabajo</t>
  </si>
  <si>
    <t>Ad board</t>
  </si>
  <si>
    <t>Tablón de anuncios</t>
  </si>
  <si>
    <t>Basin</t>
  </si>
  <si>
    <t>Lavabo</t>
  </si>
  <si>
    <t>Soap</t>
  </si>
  <si>
    <t>Jabón</t>
  </si>
  <si>
    <t>Bed</t>
  </si>
  <si>
    <t>Cama</t>
  </si>
  <si>
    <t>South neighborhood</t>
  </si>
  <si>
    <t>Barrio sur</t>
  </si>
  <si>
    <t>City center</t>
  </si>
  <si>
    <t>Centro de la ciudad</t>
  </si>
  <si>
    <t>City periphery</t>
  </si>
  <si>
    <t>Barrio periferia</t>
  </si>
  <si>
    <t>Pharmacy</t>
  </si>
  <si>
    <t>Botica</t>
  </si>
  <si>
    <t>Pharmacist and Reme</t>
  </si>
  <si>
    <t>Boticario y Reme</t>
  </si>
  <si>
    <t>Pharmacist</t>
  </si>
  <si>
    <t>Boticario</t>
  </si>
  <si>
    <t>Umbrella</t>
  </si>
  <si>
    <t>Paraguas</t>
  </si>
  <si>
    <t>Restaurant El Maño</t>
  </si>
  <si>
    <t>Restaurante El Maño</t>
  </si>
  <si>
    <t>Owner</t>
  </si>
  <si>
    <t>Propietario</t>
  </si>
  <si>
    <t>Stuffed deer</t>
  </si>
  <si>
    <t>Ciervo disecado</t>
  </si>
  <si>
    <t>New recipe for El Maño</t>
  </si>
  <si>
    <t>Nueva receta para El Maño</t>
  </si>
  <si>
    <t>Crowd</t>
  </si>
  <si>
    <t>Gentío</t>
  </si>
  <si>
    <t>Poor man in WC</t>
  </si>
  <si>
    <t>Pobre hombre en letrina</t>
  </si>
  <si>
    <t>NAME_MEMENTO_PARENT_POOR_MAN_WC</t>
  </si>
  <si>
    <t>Un pobre hombre en la letrina</t>
  </si>
  <si>
    <t>Cockroach</t>
  </si>
  <si>
    <t>Cucaracha</t>
  </si>
  <si>
    <t>Pipe</t>
  </si>
  <si>
    <t>Tubería</t>
  </si>
  <si>
    <t>Valve box</t>
  </si>
  <si>
    <t>Caja de válvula</t>
  </si>
  <si>
    <t>Shoelace</t>
  </si>
  <si>
    <t>Cordón de bota</t>
  </si>
  <si>
    <t>Valve</t>
  </si>
  <si>
    <t>Válvula</t>
  </si>
  <si>
    <t>Arturo Minglanilla</t>
  </si>
  <si>
    <t>Invitation</t>
  </si>
  <si>
    <t>Invitación</t>
  </si>
  <si>
    <t>Annotation</t>
  </si>
  <si>
    <t>Anotación</t>
  </si>
  <si>
    <t>Inkwell</t>
  </si>
  <si>
    <t>Bote de tinta</t>
  </si>
  <si>
    <t>Tinta</t>
  </si>
  <si>
    <t>Fik</t>
  </si>
  <si>
    <t>Water flowing</t>
  </si>
  <si>
    <t>Agua cayendo</t>
  </si>
  <si>
    <t>Neighbor</t>
  </si>
  <si>
    <t>Vecino</t>
  </si>
  <si>
    <t>Waiter</t>
  </si>
  <si>
    <t>Camarero</t>
  </si>
  <si>
    <t>Unknown women</t>
  </si>
  <si>
    <t>Señoras desconocidas</t>
  </si>
  <si>
    <t>Clown</t>
  </si>
  <si>
    <t>Payaso</t>
  </si>
  <si>
    <t>Silvana</t>
  </si>
  <si>
    <t>Corner</t>
  </si>
  <si>
    <t>Esquina</t>
  </si>
  <si>
    <t>Olives</t>
  </si>
  <si>
    <t>Olivas</t>
  </si>
  <si>
    <t>Beer</t>
  </si>
  <si>
    <t>Cerveza</t>
  </si>
  <si>
    <t>Oliva</t>
  </si>
  <si>
    <t>A plant whcih did nothing wrong</t>
  </si>
  <si>
    <t>Una planta que no ha hecho nada malo</t>
  </si>
  <si>
    <t>Full bladder</t>
  </si>
  <si>
    <t>Vegiga llena</t>
  </si>
  <si>
    <t>Client</t>
  </si>
  <si>
    <t>Cliente</t>
  </si>
  <si>
    <t>Radio</t>
  </si>
  <si>
    <t>NAME_DENIAL</t>
  </si>
  <si>
    <t>Home</t>
  </si>
  <si>
    <t>Hogar</t>
  </si>
  <si>
    <t>Portrait</t>
  </si>
  <si>
    <t>Retrato</t>
  </si>
  <si>
    <t>Clock</t>
  </si>
  <si>
    <t>Reloj</t>
  </si>
  <si>
    <t>Sultan</t>
  </si>
  <si>
    <t>Pilar</t>
  </si>
  <si>
    <t>???</t>
  </si>
  <si>
    <t>Fig</t>
  </si>
  <si>
    <t>Higo</t>
  </si>
  <si>
    <t>Actual position</t>
  </si>
  <si>
    <t>Posición actual</t>
  </si>
  <si>
    <t>Under bed</t>
  </si>
  <si>
    <t>Bajo la cama</t>
  </si>
  <si>
    <t>Inn key</t>
  </si>
  <si>
    <t>Llave de pensión</t>
  </si>
  <si>
    <t>25 cents coin</t>
  </si>
  <si>
    <t>Moneda de 25 céntimos</t>
  </si>
  <si>
    <t>Service room</t>
  </si>
  <si>
    <t>Habitación de servicio</t>
  </si>
  <si>
    <t>Gumball machine</t>
  </si>
  <si>
    <t>Máquina de pelotas</t>
  </si>
  <si>
    <t>Mixing jar</t>
  </si>
  <si>
    <t>Jarra de mezclas</t>
  </si>
  <si>
    <t>Tar can</t>
  </si>
  <si>
    <t>Lata de betún</t>
  </si>
  <si>
    <t>Broken key</t>
  </si>
  <si>
    <t>Llave rota</t>
  </si>
  <si>
    <t>Squat WC</t>
  </si>
  <si>
    <t>Placa turca</t>
  </si>
  <si>
    <t>Gumball</t>
  </si>
  <si>
    <t>Pelota de goma</t>
  </si>
  <si>
    <t>Giant roach</t>
  </si>
  <si>
    <t>Cucaracha gigante</t>
  </si>
  <si>
    <t>A problem with Reme</t>
  </si>
  <si>
    <t>Un problema con Reme</t>
  </si>
  <si>
    <t>Roach infest</t>
  </si>
  <si>
    <t>Infestación de cucarachas</t>
  </si>
  <si>
    <t>Women home magazine</t>
  </si>
  <si>
    <t>Revista hogar mujeres</t>
  </si>
  <si>
    <t>Experiment table</t>
  </si>
  <si>
    <t>Mesa de experimentos</t>
  </si>
  <si>
    <t>Floorwasher</t>
  </si>
  <si>
    <t>Lava-suelos</t>
  </si>
  <si>
    <t>Detergent</t>
  </si>
  <si>
    <t>Detergente</t>
  </si>
  <si>
    <t>Insecticide</t>
  </si>
  <si>
    <t>Insecticida</t>
  </si>
  <si>
    <t>Varnish</t>
  </si>
  <si>
    <t>Barniz</t>
  </si>
  <si>
    <t>Rusty spring</t>
  </si>
  <si>
    <t>Muelle oxidado</t>
  </si>
  <si>
    <t>Rust powder</t>
  </si>
  <si>
    <t>Virutas de óxido</t>
  </si>
  <si>
    <t>NAME_MEMENTO_HIVE_LAB</t>
  </si>
  <si>
    <t>Insecticide experiment</t>
  </si>
  <si>
    <t>Experimento insecticida</t>
  </si>
  <si>
    <t>Failed experiment</t>
  </si>
  <si>
    <t>Experimento fallido</t>
  </si>
  <si>
    <t>Mass insecticide weapon</t>
  </si>
  <si>
    <t>Arma de insecticidio masivo</t>
  </si>
  <si>
    <t>Factory and nearby</t>
  </si>
  <si>
    <t>Fábrica y aledaños</t>
  </si>
  <si>
    <t>Matriarch</t>
  </si>
  <si>
    <t>Matriarca</t>
  </si>
  <si>
    <t>Urchins</t>
  </si>
  <si>
    <t>Zagales</t>
  </si>
  <si>
    <t>Last</t>
  </si>
  <si>
    <t>Ultimo</t>
  </si>
  <si>
    <t>PHRASE_ID</t>
  </si>
  <si>
    <t>TalkerIndex</t>
  </si>
  <si>
    <t>Sound</t>
  </si>
  <si>
    <t>AnimationTriggerTalker1</t>
  </si>
  <si>
    <t>AnimationTriggerTalker2</t>
  </si>
  <si>
    <t>AnimationTriggerTalker3</t>
  </si>
  <si>
    <t>Text_English</t>
  </si>
  <si>
    <t>Text_Spanish</t>
  </si>
  <si>
    <t>ANIMATION_TRIGGER_TALK_TWO</t>
  </si>
  <si>
    <t>That has no sense!</t>
  </si>
  <si>
    <t>¡Eso no tiene sentido!</t>
  </si>
  <si>
    <t>That has nothing outstanding</t>
  </si>
  <si>
    <t>No tiene nada del otro mundo</t>
  </si>
  <si>
    <t>Nothing to tell</t>
  </si>
  <si>
    <t>Nada que decir</t>
  </si>
  <si>
    <t>I see no reason for doing that</t>
  </si>
  <si>
    <t>No veo razón para hacer eso</t>
  </si>
  <si>
    <t>PHRASE_NONSENSE_COMBI</t>
  </si>
  <si>
    <t>I don't get it - Too complicated</t>
  </si>
  <si>
    <t>No lo pillo - Es demasiado complicado</t>
  </si>
  <si>
    <t>PHRASE_ALREADY_COMBI</t>
  </si>
  <si>
    <t>I already thought that</t>
  </si>
  <si>
    <t>Ya le di una vuelta a aquello</t>
  </si>
  <si>
    <t>PHRASE_GREAT_IDEA_COMBI</t>
  </si>
  <si>
    <t>That is a great idea!</t>
  </si>
  <si>
    <t>Es una genial idea!</t>
  </si>
  <si>
    <t>PHRASE_DIALOG_REME_INTRO_1</t>
  </si>
  <si>
    <t>ANIMATION_TRIGGER_TALK_ONE</t>
  </si>
  <si>
    <t>Good morning Reme</t>
  </si>
  <si>
    <t>Buenos días Reme</t>
  </si>
  <si>
    <t>PHRASE_DIALOG_REME_INTRO_2</t>
  </si>
  <si>
    <t>ANIMATION_TRIGGER_CYCLE_ONE</t>
  </si>
  <si>
    <t>Be careful! It's just cleaned</t>
  </si>
  <si>
    <t>Me vas a pisar lo fregado!</t>
  </si>
  <si>
    <t>PHRASE_DIALOG_REME_INTRO_3</t>
  </si>
  <si>
    <t>(Oh... pretty clean)</t>
  </si>
  <si>
    <t>(Limpísimo está)</t>
  </si>
  <si>
    <t>PHRASE_DIALOG_REME_1_1</t>
  </si>
  <si>
    <t>Do you know if WC is usable today?</t>
  </si>
  <si>
    <t>Sabes si el aseo está usable hoy?</t>
  </si>
  <si>
    <t>PHRASE_DIALOG_REME_1_2</t>
  </si>
  <si>
    <t>It always works. It's you and all the scum living here who think you are highborn</t>
  </si>
  <si>
    <t>Claro que funciona. Tú y toda la morralla que vivís aquí os pensáis que sois marqueses</t>
  </si>
  <si>
    <t>PHRASE_DIALOG_REME_1_3</t>
  </si>
  <si>
    <t>It's downstairs as always! Be fast. Now there is nobody using it</t>
  </si>
  <si>
    <t>Está en el piso de abajo como siempre! Sé rápido. Ahora mismo no hay nadie usándolo</t>
  </si>
  <si>
    <t>PHRASE_DIALOG_REME_2_1</t>
  </si>
  <si>
    <t>¿Sabes si te queda mucho para terminar y que se seque? Tengo que hacer algunas llamadas.</t>
  </si>
  <si>
    <t>PHRASE_DIALOG_REME_2_2</t>
  </si>
  <si>
    <t>Tardaré lo que tenga que tardar. A saber qué tiene un piltrafilla como tú entre manos. ¡Haber madrugado!</t>
  </si>
  <si>
    <t>Well! Have a nice day Reme!</t>
  </si>
  <si>
    <t>Bueno! Que tengas un florido día Reme!</t>
  </si>
  <si>
    <t>PHRASE_MEMENTO_FIND_JOB_1</t>
  </si>
  <si>
    <t>I moved to find a job. It is important to find something as soon as possible</t>
  </si>
  <si>
    <t>Me trasladé aquí para encontrar trabajo. Es importante encontrar algo tan pronto como sea</t>
  </si>
  <si>
    <t>They are offering cooker job in center of city. I don't know how this offer came here. I could try! It's called 'El maño'</t>
  </si>
  <si>
    <t>Se necesita cocinero en el centro de la ciudad. No sé ni cómo este anuncio ha llegado hasta aquí. Se podría intentar! El lugar se llama 'El maño'</t>
  </si>
  <si>
    <t>Primero necesito saber a dónde voy antes de salir.</t>
  </si>
  <si>
    <t>Now that's actually good smelling! My father gifted it to me</t>
  </si>
  <si>
    <t>Esto sí que es oler bien! Mi padre me lo regaló</t>
  </si>
  <si>
    <t>Using perfume not being washed is a pig fact. Not my style</t>
  </si>
  <si>
    <t>Echarse perfume sin estar limpio es muy cerdo. No es mi estilo</t>
  </si>
  <si>
    <t>It's a matter of making it last as long as possible. I already used it</t>
  </si>
  <si>
    <t>Lo suyo es que el perfume me dure. Ya me he echado</t>
  </si>
  <si>
    <t>PHRASE_USE_CARDS_REME_1</t>
  </si>
  <si>
    <t>Do you want to play with cards?</t>
  </si>
  <si>
    <t>Quiere usted jugar una partidilla de cartas?</t>
  </si>
  <si>
    <t>PHRASE_USE_CARDS_REME_2</t>
  </si>
  <si>
    <t>WHO did you think I am? Card games is pure evil</t>
  </si>
  <si>
    <t>QUIEN se ha creido que soy? Los juegos de naipes son el mismísimo demonio</t>
  </si>
  <si>
    <t>Don't sleep</t>
  </si>
  <si>
    <t>No dormir</t>
  </si>
  <si>
    <t>Sleep until next morning</t>
  </si>
  <si>
    <t>Dormir hasta la mañana siguiente</t>
  </si>
  <si>
    <t>Sleep until night</t>
  </si>
  <si>
    <t>Dormir hasta la noche</t>
  </si>
  <si>
    <t>That neighborhood is dangerous. Don't need to go there</t>
  </si>
  <si>
    <t>Ese barrio es muy peligroso. No necesito pasar por ahí</t>
  </si>
  <si>
    <t>Excuse me sir. It will be only one second</t>
  </si>
  <si>
    <t>Disculpe. Solo será un segundo</t>
  </si>
  <si>
    <t>PHRASE_PHARMACIST_BUSY_1</t>
  </si>
  <si>
    <t>Young! Don't you see I'm busy?</t>
  </si>
  <si>
    <t>Joven! No ves que estoy ocupado?</t>
  </si>
  <si>
    <t>PHRASE_PHARMACIST_BUSY_2</t>
  </si>
  <si>
    <t>Please go to queue if you want something</t>
  </si>
  <si>
    <t>Por favor. A la cola si quieres algo</t>
  </si>
  <si>
    <t>Hello!</t>
  </si>
  <si>
    <t>Hola!</t>
  </si>
  <si>
    <t>PHRASE_DIALOG_MANYO_INTRO_1</t>
  </si>
  <si>
    <t>Buenos días caballero</t>
  </si>
  <si>
    <t>PHRASE_DIALOG_MANYO_INTRO_2</t>
  </si>
  <si>
    <t>¿Qué se cuece jovencito?</t>
  </si>
  <si>
    <t>PHRASE_DIALOG_MANYO_WORK_NOTE_1</t>
  </si>
  <si>
    <t>Vi una nota. Buscábais un camarero para trabajar aquí. ¿No es así?</t>
  </si>
  <si>
    <t>PHRASE_DIALOG_MANYO_WORK_NOTE_2</t>
  </si>
  <si>
    <t>Sí% eso fue hace un año o así% no sé donde la habrás leído. Vino una chica y la tuvimos que echar porque su estilo de cocina era bastante lamentable.</t>
  </si>
  <si>
    <t>PHRASE_DIALOG_MANYO_WORK_NOTE_3</t>
  </si>
  <si>
    <t>Seguimos necesitando camarero% pero% amigo% te aviso. Últimamente no estamos bien de clientela. Tendrás que trabajar en principio sin salario.</t>
  </si>
  <si>
    <t>PHRASE_DIALOG_MANYO_WORK_NOTE_4</t>
  </si>
  <si>
    <t>¿Sin salario? Eso atenta contra el Fuero del trabajo. Se lo diré a mis camaradas de la CNT ¡Abajo la patronal!</t>
  </si>
  <si>
    <t>PHRASE_DIALOG_MANYO_WORK_NOTE_5</t>
  </si>
  <si>
    <t>¡No me vengas con esas mierdas tú también! ¿Quieres el trabajo o no?</t>
  </si>
  <si>
    <t>PHRASE_DIALOG_MANYO_WORK_NOTE_6</t>
  </si>
  <si>
    <t>Mañana mismo es la feria de la cocina ibérica. Conocida en el mundo entero. Dime que tienes una buena receta% y la pondremos a marchar. Si ganamos clientela% te llevas el jornal</t>
  </si>
  <si>
    <t>PHRASE_DIALOG_MANYO_WORK_NOTE_7</t>
  </si>
  <si>
    <t>Bien pues% ¡le pegaré una pensada! Voy a... asegurarme de la mejor receta y enseguida vuelvo y te digo algo</t>
  </si>
  <si>
    <t>PHRASE_DIALOG_MANYO_MENU_DAY_1</t>
  </si>
  <si>
    <t>What are you cooking today?</t>
  </si>
  <si>
    <t>Qué cocináis para hoy?</t>
  </si>
  <si>
    <t>PHRASE_DIALOG_MANYO_MENU_DAY_2</t>
  </si>
  <si>
    <t>How good is you are asking for it!</t>
  </si>
  <si>
    <t>Qué bueno que lo preguntes!</t>
  </si>
  <si>
    <t>PHRASE_DIALOG_MANYO_MENU_DAY_3</t>
  </si>
  <si>
    <t>We have boar from La Mancha with potatoes. Also carrot for dessert</t>
  </si>
  <si>
    <t>Tenemos jabalí manchego con patatas. Y de postre zanahoria</t>
  </si>
  <si>
    <t>PHRASE_DIALOG_MANYO_MENU_DAY_4</t>
  </si>
  <si>
    <t>Yuuk</t>
  </si>
  <si>
    <t>Puaj</t>
  </si>
  <si>
    <t>PHRASE_DIALOG_MANYO_MENU_DAY_5</t>
  </si>
  <si>
    <t>Are you eating here today?</t>
  </si>
  <si>
    <t>Comerás aquí hoy?</t>
  </si>
  <si>
    <t>PHRASE_DIALOG_MANYO_MENU_DAY_6</t>
  </si>
  <si>
    <t>Nope</t>
  </si>
  <si>
    <t>No</t>
  </si>
  <si>
    <t>Have a nice day!</t>
  </si>
  <si>
    <t>Que tenga un buen día!</t>
  </si>
  <si>
    <t>PHRASE_MEMENTO_RECIPE_MISSION_1</t>
  </si>
  <si>
    <t>Restaurant owner needs a new recipe to have new customers. He promises a reward</t>
  </si>
  <si>
    <t>El dueño del restaurante necesita una nueva receta para tener nuevos clientes. Él promete una recompensa</t>
  </si>
  <si>
    <t>PHRASE_MEMENTO_FIND_JOB_3</t>
  </si>
  <si>
    <t>De momento en El Maño hay una pequeña posibilidad si doy la talla como cocinero en la feria</t>
  </si>
  <si>
    <t>Is this umbrella yours? Somebody left it days ago. God people don't take what doesn't belong to them</t>
  </si>
  <si>
    <t>Es tuyo el paraguas? Alguien se lo dejó hace días. La gente de Dios no se apropia de lo que no es suyo</t>
  </si>
  <si>
    <t>I'll give you back some day!</t>
  </si>
  <si>
    <t>Te lo traeré de vuelta algún día!</t>
  </si>
  <si>
    <t>ANIMATION_TRIGGER_CYCLE_FOUR</t>
  </si>
  <si>
    <t>¡¡ASESINO!!</t>
  </si>
  <si>
    <t>Es el boticario con Reme. Que parece que por algún tipo de susto ha tenido una bajadilla de tensión</t>
  </si>
  <si>
    <t>Ahora estoy con una paciente. ¿Qué necesita usted?</t>
  </si>
  <si>
    <t>PHRASE_DIALOG_REME_AND_PHARMACIST_OPTION_RECIPE_1</t>
  </si>
  <si>
    <t>ANIMATION_TRIGGER_TALK_THREE</t>
  </si>
  <si>
    <t>¿Conocéis alguna receta familiar sabrosa? Necesito impresionar al dueño de 'El Maño'</t>
  </si>
  <si>
    <t>PHRASE_DIALOG_REME_AND_PHARMACIST_OPTION_RECIPE_2</t>
  </si>
  <si>
    <t>Esta mujer a la que casi matas preparaba unas lentejas de p*ta madre</t>
  </si>
  <si>
    <t>PHRASE_DIALOG_REME_AND_PHARMACIST_OPTION_RECIPE_3</t>
  </si>
  <si>
    <t>No creo que fuera para tanto. Hay gente aprensiva a los bichos% y a veces pues pasan cosas</t>
  </si>
  <si>
    <t>PHRASE_DIALOG_REME_AND_PHARMACIST_OPTION_RECIPE_4</t>
  </si>
  <si>
    <t>Quizá si vas a la barriada te puedan enseñar algo. Está al lado de la fábrica de harinas. Y de paso% que se te quite un poco la tontería con un golpe de realidad chaval</t>
  </si>
  <si>
    <t>PHRASE_DIALOG_REME_AND_PHARMACIST_OPTION_RECIPE_5</t>
  </si>
  <si>
    <t>Bien% muchas gracias</t>
  </si>
  <si>
    <t>PHRASE_DIALOG_MANYO_BCKG_CROWD_1</t>
  </si>
  <si>
    <t>You must try the wine</t>
  </si>
  <si>
    <t>Tienes que probar el vino!</t>
  </si>
  <si>
    <t>PHRASE_DIALOG_MANYO_BCKG_CROWD_2</t>
  </si>
  <si>
    <t>For sure! I'm getting dry with this meat</t>
  </si>
  <si>
    <t>Desde luego! Me estoy quedando seco con esta carne</t>
  </si>
  <si>
    <t>PHRASE_DIALOG_MANYO_BCKG_CROWD_3</t>
  </si>
  <si>
    <t>Card match is promising this night</t>
  </si>
  <si>
    <t>La partida de naipes esta noche va a ser de cine</t>
  </si>
  <si>
    <t>It was a poor man suffering of a bad dinner</t>
  </si>
  <si>
    <t>Era un pobre hombre sufriendo de una mala cena</t>
  </si>
  <si>
    <t>PHRASE_DIALOG_HIVE1_BCKG_POOR_MAN_WC_OPTION_0_0</t>
  </si>
  <si>
    <t>(Prrrrr)</t>
  </si>
  <si>
    <t>PHRASE_DIALOG_HIVE1_BCKG_POOR_MAN_WC_OPTION_1_0</t>
  </si>
  <si>
    <t>Is this going to end somewhen?</t>
  </si>
  <si>
    <t>Esto va a acabar algún día?</t>
  </si>
  <si>
    <t>PHRASE_DIALOG_HIVE1_BCKG_POOR_MAN_WC_OPTION_2_0</t>
  </si>
  <si>
    <t>This is torture</t>
  </si>
  <si>
    <t>Esto es una tortura</t>
  </si>
  <si>
    <t>PHRASE_DIALOG_HIVE1_BCKG_POOR_MAN_WC_OPTION_3_0</t>
  </si>
  <si>
    <t>I should have never eat that dinner</t>
  </si>
  <si>
    <t>Nunca debí cenar allí</t>
  </si>
  <si>
    <t>PHRASE_DIALOG_HIVE1_POOR_MAN_WC_OPTION_0_0</t>
  </si>
  <si>
    <t>Terrible night. Ah?</t>
  </si>
  <si>
    <t>Terrible noche. No?</t>
  </si>
  <si>
    <t>PHRASE_DIALOG_HIVE1_POOR_MAN_WC_OPTION_0_1</t>
  </si>
  <si>
    <t>It was that Maño restaurant. Boar was terrible</t>
  </si>
  <si>
    <t>Era el restaurante del Maño. El jabalí estaba horrible</t>
  </si>
  <si>
    <t>PHRASE_DIALOG_HIVE1_POOR_MAN_WC_OPTION_0_2</t>
  </si>
  <si>
    <t>I saw it full of people. Don't think it was in bad state</t>
  </si>
  <si>
    <t>Lo vi a reventar de gente. No creo que estuviera precisamente malo</t>
  </si>
  <si>
    <t>PHRASE_DIALOG_HIVE1_POOR_MAN_WC_OPTION_0_3</t>
  </si>
  <si>
    <t>Well. Maybe my stomach is not in mood!</t>
  </si>
  <si>
    <t>Bueno. Mi estómago no está por la labor</t>
  </si>
  <si>
    <t>PHRASE_DIALOG_HIVE1_POOR_MAN_WC_OPTION_1_0</t>
  </si>
  <si>
    <t>Are you going to end today?</t>
  </si>
  <si>
    <t>Piensas terminar algún día?</t>
  </si>
  <si>
    <t>PHRASE_DIALOG_HIVE1_POOR_MAN_WC_OPTION_1_1</t>
  </si>
  <si>
    <t>Haha. Very funny. If I could. I would be out there. Night is young</t>
  </si>
  <si>
    <t>Jaja. Muy gracioso. Si pudiera. Estaría por allí. La noche es joven</t>
  </si>
  <si>
    <t>PHRASE_DIALOG_HIVE1_POOR_MAN_WC_OPTION_2_0</t>
  </si>
  <si>
    <t>How can I help you?</t>
  </si>
  <si>
    <t>Como podría ayudarte?</t>
  </si>
  <si>
    <t>PHRASE_DIALOG_HIVE1_POOR_MAN_WC_OPTION_2_1</t>
  </si>
  <si>
    <t>This nasty Inn is cutting water at night. I cannot let this in this state</t>
  </si>
  <si>
    <t>Esta asquerosa pocilga está cortando el agua por las noches. No puedo dejar esto así</t>
  </si>
  <si>
    <t>PHRASE_DIALOG_HIVE1_POOR_MAN_WC_OPTION_2_2</t>
  </si>
  <si>
    <t>Ahh. I see...</t>
  </si>
  <si>
    <t>Ahh. Ya veo..</t>
  </si>
  <si>
    <t>PHRASE_DIALOG_HIVE1_POOR_MAN_WC_OPTION_2_3</t>
  </si>
  <si>
    <t>Could you please talk to someone to bring water again?</t>
  </si>
  <si>
    <t>Podrías por favor hablar con alguien para que vuelva el agua?</t>
  </si>
  <si>
    <t>PHRASE_DIALOG_HIVE1_POOR_MAN_WC_OPTION_2_4</t>
  </si>
  <si>
    <t>I will see what can I do. But personnel is absent during day. Even worse at night</t>
  </si>
  <si>
    <t>Veré lo que puedo hacer. Pero si ya el personal está ausente durante el día. Imagina por la noche</t>
  </si>
  <si>
    <t>I need to go. Sorry for your situation!</t>
  </si>
  <si>
    <t>Necesito irme. Lamento la situación!</t>
  </si>
  <si>
    <t>PHRASE_DIALOG_HIVE1_POOR_MAN_WC_INTRO_0</t>
  </si>
  <si>
    <t>Did you come to laugh at my disgrace?</t>
  </si>
  <si>
    <t>Viniste a reirte de mi desgracia?</t>
  </si>
  <si>
    <t>PHRASE_DIALOG_HIVE1_POOR_MAN_WC_INTRO_1</t>
  </si>
  <si>
    <t>Did I wake you up?</t>
  </si>
  <si>
    <t>Te desperté?</t>
  </si>
  <si>
    <t>PHRASE_DIALOG_HIVE1_POOR_MAN_WC_INTRO_2</t>
  </si>
  <si>
    <t>Are you from health department?</t>
  </si>
  <si>
    <t>Eres del ministerio de sanidad?</t>
  </si>
  <si>
    <t>PHRASE_MEMENTO_POOR_MAN_WC_1</t>
  </si>
  <si>
    <t>A poor man can't leave WC because there is no water in toilet system</t>
  </si>
  <si>
    <t>El pobre hombre no puede irse porque no hay agua en las cisternas de los inodoros</t>
  </si>
  <si>
    <t>PHRASE_MEMENTO_POOR_MAN_WC_2</t>
  </si>
  <si>
    <t>It seems to be a valve in back alley but is closed</t>
  </si>
  <si>
    <t>Parece haber una válvula en el callejón de atrás pero está cerrada</t>
  </si>
  <si>
    <t>PHRASE_MEMENTO_POOR_MAN_WC_3</t>
  </si>
  <si>
    <t>When water came back. This man gave me an invitation to a Pub where I could meet someone for a job</t>
  </si>
  <si>
    <t>Cuando el agua volvió. Este hombre me dio una invitación a un Pub donde podría conocer a alguien para un trabajo</t>
  </si>
  <si>
    <t>It is a tiny cockroach! The only living being human is terrified of</t>
  </si>
  <si>
    <t>Es una cucarachita pequeña! El único ser vivo al que el ser humano teme</t>
  </si>
  <si>
    <t>This pipe may bring water to toilets and is comming from outside</t>
  </si>
  <si>
    <t>It squeezed! I need to try it again or be smarter</t>
  </si>
  <si>
    <t>Se escapó! Necesito volver a intentarlo o ser más listo que ella</t>
  </si>
  <si>
    <t>It seems like a closed box for some mechanism</t>
  </si>
  <si>
    <t>Parece una caja de control de algún mecanismo</t>
  </si>
  <si>
    <t>Its a normal pipe</t>
  </si>
  <si>
    <t>Es una tubería normal</t>
  </si>
  <si>
    <t>This is the next part of toilets pipe. Therefore Its valve should be in that box</t>
  </si>
  <si>
    <t>Esta es la continuación de la tubería de los aseos. Por lo que la válvula debería estar en ese cuadro</t>
  </si>
  <si>
    <t>Valve to activate water should be inside that box</t>
  </si>
  <si>
    <t>La válvula para abrir el agua debería estar dentro de ese cuadro</t>
  </si>
  <si>
    <t>Door is unlocked. But its hard to open. I can't put my fingers inside and open</t>
  </si>
  <si>
    <t>La cerradura está abierta. Pero es difícil de abrir. No me caben los dedos en la rendija para abrir</t>
  </si>
  <si>
    <t>I don't want to be seen manipulating things at this hour</t>
  </si>
  <si>
    <t>No quiero que me vean manipulando cosas a esta hora del día</t>
  </si>
  <si>
    <t>It's a shoelace lost from some guest</t>
  </si>
  <si>
    <t>Es el cordón de bota de algún huesped</t>
  </si>
  <si>
    <t>I don't have a reason to take it</t>
  </si>
  <si>
    <t>No tengo razón para cogerlo</t>
  </si>
  <si>
    <t>Maybe it could be useful to open things</t>
  </si>
  <si>
    <t>Podría ser útil para abrir cosas</t>
  </si>
  <si>
    <t>This valve seems to control water flow to Inn building</t>
  </si>
  <si>
    <t>Esta válvula parece controlar el flujo de agua a la pensión</t>
  </si>
  <si>
    <t>Much easier with lace help!</t>
  </si>
  <si>
    <t>Mucho mejor con ayuda del cordón!</t>
  </si>
  <si>
    <t>Water should be flowing now inside!</t>
  </si>
  <si>
    <t>El agua ahora debería fluir hacia la pensión</t>
  </si>
  <si>
    <t>I am not manipulating that thing again</t>
  </si>
  <si>
    <t>No pienso volver a manipular eso</t>
  </si>
  <si>
    <t>He was the man suffering in WC. Now in a better and less embarrassing state</t>
  </si>
  <si>
    <t>Era el hombre que sufría en el aseo. Ahora en un mejor y menos lamentable estado</t>
  </si>
  <si>
    <t>PHRASE_DIALOG_ARTURO_HALL_INN_OPTION_0_0</t>
  </si>
  <si>
    <t>So. Isn't it the end of the night for you?</t>
  </si>
  <si>
    <t>Entonces. La noche no acaba aquí?</t>
  </si>
  <si>
    <t>PHRASE_DIALOG_ARTURO_HALL_INN_OPTION_0_1</t>
  </si>
  <si>
    <t>Nope. As I told you night is so young</t>
  </si>
  <si>
    <t>No. Como te dije la noche es joven</t>
  </si>
  <si>
    <t>PHRASE_DIALOG_ARTURO_HALL_INN_OPTION_0_2</t>
  </si>
  <si>
    <t>Where are you facing to?</t>
  </si>
  <si>
    <t>A dónde irás ahora?</t>
  </si>
  <si>
    <t>PHRASE_DIALOG_ARTURO_HALL_INN_OPTION_0_3</t>
  </si>
  <si>
    <t xml:space="preserve">There is a club in the south neighborhood </t>
  </si>
  <si>
    <t>Hay un club en el barrio sur</t>
  </si>
  <si>
    <t>PHRASE_DIALOG_ARTURO_HALL_INN_OPTION_1_0</t>
  </si>
  <si>
    <t>This pub you mentioned...</t>
  </si>
  <si>
    <t>Este club que comentas...</t>
  </si>
  <si>
    <t>PHRASE_DIALOG_ARTURO_HALL_INN_OPTION_1_1</t>
  </si>
  <si>
    <t>Aha?</t>
  </si>
  <si>
    <t>PHRASE_DIALOG_ARTURO_HALL_INN_OPTION_1_2</t>
  </si>
  <si>
    <t>You think I could meet people there or ask for job?</t>
  </si>
  <si>
    <t>Crees que puedo conocer a gente allí o encontrar trabajo?</t>
  </si>
  <si>
    <t>PHRASE_DIALOG_ARTURO_HALL_INN_OPTION_1_3</t>
  </si>
  <si>
    <t>For sure gentleman. Even if it's in south neighborhood. Some business are running well there. You should go some day</t>
  </si>
  <si>
    <t>Por supuesto caballero. Incluso siendo el barrio sur. Algunos negocios están yendo bien. Deberías pasarte un día</t>
  </si>
  <si>
    <t>PHRASE_DIALOG_ARTURO_HALL_INN_OPTION_1_4</t>
  </si>
  <si>
    <t>I would be pleased</t>
  </si>
  <si>
    <t>Me encantaría</t>
  </si>
  <si>
    <t>PHRASE_DIALOG_ARTURO_HALL_INN_OPTION_1_5</t>
  </si>
  <si>
    <t>For sure. Take this invitation. It's kind of private and they won't let strangers go inside</t>
  </si>
  <si>
    <t>Por supuesto. Toma esta invitación. Es un poco privado y no dejan entrar a desconocidos</t>
  </si>
  <si>
    <t>PHRASE_DIALOG_ARTURO_HALL_INN_OPTION_1_6</t>
  </si>
  <si>
    <t>Thank you!</t>
  </si>
  <si>
    <t>Gracias!</t>
  </si>
  <si>
    <t>Well. See you there!</t>
  </si>
  <si>
    <t>Bueno. Nos vemos pronto!</t>
  </si>
  <si>
    <t>PHRASE_DIALOG_ARTURO_HALL_INN_INTRO_0</t>
  </si>
  <si>
    <t>I'm happy to see you in a better state!</t>
  </si>
  <si>
    <t>Me alegro de verte en mejor estado</t>
  </si>
  <si>
    <t>PHRASE_DIALOG_ARTURO_HALL_INN_INTRO_1</t>
  </si>
  <si>
    <t>I really appreciate your help this night</t>
  </si>
  <si>
    <t>Agradezco en verdad tu ayuda esta noche</t>
  </si>
  <si>
    <t>It seems something was written over the invitation and a relief remains. Maybe I could guess what was written</t>
  </si>
  <si>
    <t>Parece que se escribió algo sobre la invitación y queda algo de relieve. Quizá pudiera averiguar qué se escribió</t>
  </si>
  <si>
    <t>An annotation which said &lt;&lt;Less tales and more bread&gt;&gt;. Maybe it was only a coloquialism</t>
  </si>
  <si>
    <t>Una inscripción que decía &lt;&lt;Menos cuento y más pan&gt;&gt;. Quizá solo sea una frase dicha</t>
  </si>
  <si>
    <t>It's an inkwell which pharmacist uses</t>
  </si>
  <si>
    <t>Es un bote de tinta que usa el farmacéutico</t>
  </si>
  <si>
    <t>When inkwell flipped left a drop of ink</t>
  </si>
  <si>
    <t>El bote al volcar dejó un charco de tinta</t>
  </si>
  <si>
    <t>Don't annoy and don't lift my things!</t>
  </si>
  <si>
    <t>No molestes ni cojas cosas que no son tuyas!</t>
  </si>
  <si>
    <t>Maybe if I reach it from far with umbrella...</t>
  </si>
  <si>
    <t>Quizá si lo alcanzo de lejos con el paraguas...</t>
  </si>
  <si>
    <t>PHRASE_DIALOG_USE_UMBRELLA_WITH_INKWELL_OWNER</t>
  </si>
  <si>
    <t>Stop doing things! IDIOT</t>
  </si>
  <si>
    <t>Estate quieto! IMBÉCIL</t>
  </si>
  <si>
    <t>PHRASE_DIALOG_USE_UMBRELLA_WITH_INKWELL_OWNER_2</t>
  </si>
  <si>
    <t>Are you swipping this?</t>
  </si>
  <si>
    <t>Lo vas a fregar tú?</t>
  </si>
  <si>
    <t>Maybe ink could reveal that annotation</t>
  </si>
  <si>
    <t>Quizá la tinta revele la anotación</t>
  </si>
  <si>
    <t>It has enough ink</t>
  </si>
  <si>
    <t>Ya tiene suficiente tinta</t>
  </si>
  <si>
    <t>PHRASE_DIALOG_FIK_1_OPTION_0_0</t>
  </si>
  <si>
    <t>Conoces a un tal Arturo Minglanilla?</t>
  </si>
  <si>
    <t>PHRASE_DIALOG_FIK_1_OPTION_0_1</t>
  </si>
  <si>
    <t>No sé quien es el Arturo piltrafilla ese</t>
  </si>
  <si>
    <t>PHRASE_DIALOG_FIK_1_OPTION_1_0</t>
  </si>
  <si>
    <t>Me dejas pasar ya?</t>
  </si>
  <si>
    <t>PHRASE_DIALOG_FIK_1_OPTION_1_1</t>
  </si>
  <si>
    <t>Mira. Aquí solo entra gente de confianza. Y tú no tienes pinta de conocer a nadie dentro</t>
  </si>
  <si>
    <t>PHRASE_DIALOG_FIK_1_OPTION_1_2</t>
  </si>
  <si>
    <t>Soy hombre de confianza. Además vengo aquí invitado por alguien de dentro</t>
  </si>
  <si>
    <t>PHRASE_DIALOG_FIK_1_OPTION_1_3</t>
  </si>
  <si>
    <t>A ver chulo. Dime la frase para que te deje pasar</t>
  </si>
  <si>
    <t>PHRASE_DIALOG_FIK_1_OPTION_2_0</t>
  </si>
  <si>
    <t>Quiero hablar con el encargado</t>
  </si>
  <si>
    <t>PHRASE_DIALOG_FIK_1_OPTION_2_1</t>
  </si>
  <si>
    <t>El que tengo aquí colgado</t>
  </si>
  <si>
    <t>PHRASE_DIALOG_FIK_1_OPTION_2_2</t>
  </si>
  <si>
    <t>...</t>
  </si>
  <si>
    <t>Have a good night</t>
  </si>
  <si>
    <t>Que tengas buena noche</t>
  </si>
  <si>
    <t>PHRASE_DIALOG_FIK_1_INTRO_0</t>
  </si>
  <si>
    <t>Que dices chiquillo! Dónde vas con esas pintas? Es que quieres entrar en el pub?</t>
  </si>
  <si>
    <t>PHRASE_DIALOG_FIK_1_INTRO_1</t>
  </si>
  <si>
    <t>Pero qué gente más rara está viniendo esta noche al pub. Ojo que esto es solo para gente divertida</t>
  </si>
  <si>
    <t>PHRASE_DIALOG_FIK_2_OPTION_0_0</t>
  </si>
  <si>
    <t>Más vale calvo en mano que ciento volando</t>
  </si>
  <si>
    <t>PHRASE_DIALOG_FIK_2_OPTION_0_1</t>
  </si>
  <si>
    <t>Mira graciosillo. Te voy a clavar un tenedor en el ojo como sigas con el cachondeo</t>
  </si>
  <si>
    <t>PHRASE_DIALOG_FIK_2_OPTION_1_0</t>
  </si>
  <si>
    <t>Bajo el río amarillo. No hay quien encienda un pitillo</t>
  </si>
  <si>
    <t>PHRASE_DIALOG_FIK_2_OPTION_1_1</t>
  </si>
  <si>
    <t>Ja. Esa es de Mortadelo y Filemón</t>
  </si>
  <si>
    <t>PHRASE_DIALOG_FIK_2_OPTION_2_0</t>
  </si>
  <si>
    <t>Si lloras por no ver el Sol. Las lágrimas no te dejarán ver las estrellas</t>
  </si>
  <si>
    <t>PHRASE_DIALOG_FIK_2_OPTION_2_1</t>
  </si>
  <si>
    <t>Qué dices zumbado</t>
  </si>
  <si>
    <t>PHRASE_DIALOG_FIK_2_OPTION_3_0</t>
  </si>
  <si>
    <t>Menos cuento y más pan</t>
  </si>
  <si>
    <t>PHRASE_DIALOG_FIK_2_OPTION_3_1</t>
  </si>
  <si>
    <t>Mira chiquillo. No sé cómo. Pero te voy a dejar entrar. No la líes dentro anda</t>
  </si>
  <si>
    <t>Ni se te ocurra entrar</t>
  </si>
  <si>
    <t>PHRASE_DIALOG_WAITER_INTRO_1_0</t>
  </si>
  <si>
    <t>Buenas noches. Los que venís sin invitación se os cobrará por adelantado. Aquí no fiamos</t>
  </si>
  <si>
    <t>PHRASE_DIALOG_WAITER_INTRO_1_1</t>
  </si>
  <si>
    <t>Y cuánto cuesta una pinta o unas aceitunas?</t>
  </si>
  <si>
    <t>PHRASE_DIALOG_WAITER_INTRO_1_2</t>
  </si>
  <si>
    <t>90 céntimos el quinto. Y 50 céntimos el vino. Las olivas con cada vaso</t>
  </si>
  <si>
    <t>PHRASE_DIALOG_WAITER_INTRO_1_3</t>
  </si>
  <si>
    <t>Dios! Vaya clavo</t>
  </si>
  <si>
    <t>PHRASE_DIALOG_WAITER_USE_OLD_INV_0</t>
  </si>
  <si>
    <t>Muy bien don avaricias. Aquí está la invitación. Espero que me invites a probar toda tu bodega</t>
  </si>
  <si>
    <t>PHRASE_DIALOG_WAITER_USE_OLD_INV_1</t>
  </si>
  <si>
    <t>Me temo que esa invitación es de la fiesta semana. Las de esta semana tienen los bordes doblados. Es una medida infalsificable</t>
  </si>
  <si>
    <t>PHRASE_DIALOG_WAITER_USE_OLD_INV_2</t>
  </si>
  <si>
    <t>Conseguiré la original sin duda. Por nada del mundo manipularía una de la semana pasada</t>
  </si>
  <si>
    <t>PHRASE_DIALOG_UNKNOWN_GIRLS_INTRO_1_0</t>
  </si>
  <si>
    <t>Buenas noches! Qué brusco es el portero ¿no?</t>
  </si>
  <si>
    <t>PHRASE_DIALOG_UNKNOWN_GIRLS_INTRO_1_1</t>
  </si>
  <si>
    <t>Qué miras? A tu casa payaso</t>
  </si>
  <si>
    <t>PHRASE_DIALOG_UNKNOWN_GIRLS_INTRO_1_2</t>
  </si>
  <si>
    <t>La mujer es intangible. No se puede poseer</t>
  </si>
  <si>
    <t>Era Arturo. En mejor estado que cuando lo conocí</t>
  </si>
  <si>
    <t>PHRASE_DIALOG_ARTURO_EXTRAPERLO_OPTION_0_0</t>
  </si>
  <si>
    <t>En qué andas metido ahora?</t>
  </si>
  <si>
    <t>PHRASE_DIALOG_ARTURO_EXTRAPERLO_OPTION_0_1</t>
  </si>
  <si>
    <t>Nada del otro mundo! Espero la llegada del amor. Pero parece estar retrasándose</t>
  </si>
  <si>
    <t>PHRASE_DIALOG_ARTURO_EXTRAPERLO_OPTION_0_2</t>
  </si>
  <si>
    <t>Si no haces por que venga...</t>
  </si>
  <si>
    <t>PHRASE_DIALOG_ARTURO_EXTRAPERLO_OPTION_0_3</t>
  </si>
  <si>
    <t>Ahora lo que se lleva es la brisca</t>
  </si>
  <si>
    <t>PHRASE_DIALOG_ARTURO_EXTRAPERLO_OPTION_1_0</t>
  </si>
  <si>
    <t>Háblame de la brisca esa. Qué es eso?</t>
  </si>
  <si>
    <t>PHRASE_DIALOG_ARTURO_EXTRAPERLO_OPTION_1_1</t>
  </si>
  <si>
    <t>Es un juego de cartas nuestro. Pata negra nacional</t>
  </si>
  <si>
    <t>PHRASE_DIALOG_ARTURO_EXTRAPERLO_OPTION_1_2</t>
  </si>
  <si>
    <t>Y en qué consiste?</t>
  </si>
  <si>
    <t>PHRASE_DIALOG_ARTURO_EXTRAPERLO_OPTION_1_3</t>
  </si>
  <si>
    <t>Conoces los palos? Copas. Bastos. Espadas. Oros. Todo es una estrategia para conseguir más puntos que el otro</t>
  </si>
  <si>
    <t>PHRASE_DIALOG_ARTURO_EXTRAPERLO_OPTION_1_4</t>
  </si>
  <si>
    <t>Suena bien. Me enseñas?</t>
  </si>
  <si>
    <t>PHRASE_DIALOG_ARTURO_EXTRAPERLO_OPTION_2_0</t>
  </si>
  <si>
    <t>Ahora que ya nos hemos divertido. Sabes de algún contacto que pueda darme trabajo en esta ciudad?</t>
  </si>
  <si>
    <t>PHRASE_DIALOG_ARTURO_EXTRAPERLO_OPTION_2_1</t>
  </si>
  <si>
    <t>Bueno... A alguien conozco. Pero no sé si te va a gustar</t>
  </si>
  <si>
    <t>PHRASE_DIALOG_ARTURO_EXTRAPERLO_OPTION_2_2</t>
  </si>
  <si>
    <t>Conoces la fábrica de harinas? Pues están contratando gente. Quieren mantenedores y también peones para llevar la vía del tren hasta la factoría</t>
  </si>
  <si>
    <t>PHRASE_DIALOG_ARTURO_EXTRAPERLO_OPTION_2_3</t>
  </si>
  <si>
    <t>Y con quién tendría que hablar?</t>
  </si>
  <si>
    <t>PHRASE_DIALOG_ARTURO_EXTRAPERLO_OPTION_2_4</t>
  </si>
  <si>
    <t>Ese es el problema amigo. Que muchos ya están enchufados porque conocen al jefe de turno</t>
  </si>
  <si>
    <t>PHRASE_DIALOG_ARTURO_EXTRAPERLO_OPTION_2_5</t>
  </si>
  <si>
    <t>Y no está por aquí verdad?</t>
  </si>
  <si>
    <t>PHRASE_DIALOG_ARTURO_EXTRAPERLO_OPTION_2_6</t>
  </si>
  <si>
    <t>Él no. Pero su hija sí</t>
  </si>
  <si>
    <t>PHRASE_DIALOG_ARTURO_EXTRAPERLO_OPTION_2_7</t>
  </si>
  <si>
    <t>Bien. Suficiente por hoy</t>
  </si>
  <si>
    <t>Hey por fin te veo!</t>
  </si>
  <si>
    <t>PHRASE_CARDS1_ARTURO_TAUNT_1</t>
  </si>
  <si>
    <t>Te falta calle! Como tiras esa carta ahora?</t>
  </si>
  <si>
    <t>PHRASE_CARDS1_ARTURO_TAUNT_2</t>
  </si>
  <si>
    <t>Madre mía qué jugadón</t>
  </si>
  <si>
    <t>PHRASE_CARDS1_ARTURO_TAUNT_3</t>
  </si>
  <si>
    <t>Me llevo la muestra</t>
  </si>
  <si>
    <t>PHRASE_CARDS1_ARTURO_TAUNT_4</t>
  </si>
  <si>
    <t>Me lo estás poniendo facilísimo!</t>
  </si>
  <si>
    <t>PHRASE_CARDS1_ARTURO_TAUNT_5</t>
  </si>
  <si>
    <t>Deja de sacar cartas basura. Porque así no vamos</t>
  </si>
  <si>
    <t>PHRASE_CARDS1_ARTURO_TAUNT_6</t>
  </si>
  <si>
    <t>Menos da una piedra</t>
  </si>
  <si>
    <t>PHRASE_CARDS1_ARTURO_TAUNT_WIN</t>
  </si>
  <si>
    <t>Creo que tienes que practicar más. Si me estaba dejando ganar tirando cartas al azar</t>
  </si>
  <si>
    <t>PHRASE_CARDS1_MAINCHAR_TAUNT_1</t>
  </si>
  <si>
    <t>Boum! En tu cara! A ver si remontas eso!</t>
  </si>
  <si>
    <t>PHRASE_CARDS1_MAINCHAR_TAUNT_2</t>
  </si>
  <si>
    <t>Por mi cara bonita</t>
  </si>
  <si>
    <t>PHRASE_CARDS1_MAINCHAR_TAUNT_3</t>
  </si>
  <si>
    <t>Recolector oficial de basura</t>
  </si>
  <si>
    <t>PHRASE_CARDS1_MAINCHAR_TAUNT_4</t>
  </si>
  <si>
    <t>A ver si te voy a tener que enseñar yo a jugar a ti</t>
  </si>
  <si>
    <t>PHRASE_CARDS1_MAINCHAR_TAUNT_5</t>
  </si>
  <si>
    <t>¡Chúpate esa!</t>
  </si>
  <si>
    <t>PHRASE_CARDS1_MAINCHAR_TAUNT_WIN</t>
  </si>
  <si>
    <t>Qué partidaza! El aprendiz superó al maestro. Gané!</t>
  </si>
  <si>
    <t>PHRASE_DIALOG_CLOWN_EXTRAPERLO_OPTION_1_0</t>
  </si>
  <si>
    <t>Eres empleado del local?</t>
  </si>
  <si>
    <t>PHRASE_DIALOG_CLOWN_EXTRAPERLO_OPTION_1_1</t>
  </si>
  <si>
    <t>No hombre no... El payaso se lleva dentro. No hay nada más lamentable de ver a un profesional despojado de su hábito. Haciendo la compra y cosas mundanas. La gente te pierde el respeto.</t>
  </si>
  <si>
    <t>PHRASE_DIALOG_CLOWN_EXTRAPERLO_OPTION_1_2</t>
  </si>
  <si>
    <t>Un payaso fumando tampoco ayuda a la imagen que quieres dar</t>
  </si>
  <si>
    <t>PHRASE_DIALOG_CLOWN_EXTRAPERLO_OPTION_1_3</t>
  </si>
  <si>
    <t xml:space="preserve"> Y tu? Te has preguntado qué imagen estás dando ahora? Es la que querrías dar? Que crees que han pensado los aquí presentes cuando has llegado?</t>
  </si>
  <si>
    <t>PHRASE_DIALOG_CLOWN_EXTRAPERLO_OPTION_1_4</t>
  </si>
  <si>
    <t>Ni me lo he planteado. La verdad</t>
  </si>
  <si>
    <t>PHRASE_DIALOG_CLOWN_EXTRAPERLO_OPTION_2_0</t>
  </si>
  <si>
    <t>Se rumorea que prohibirán fumar en los locales dentro de poco. Dicen que no es sano!</t>
  </si>
  <si>
    <t>PHRASE_DIALOG_CLOWN_EXTRAPERLO_OPTION_2_1</t>
  </si>
  <si>
    <t>Eso dicen? Aja... ¿Entonces sugieres que el mismo gobierno que te invita a comprar cigarrillos te prohibe fumártelos? ¡Qué ironía...!</t>
  </si>
  <si>
    <t>PHRASE_DIALOG_CLOWN_EXTRAPERLO_OPTION_3_0</t>
  </si>
  <si>
    <t>Pareces un tío culto misterioso y lleno de experiencia! Hay algo que puedas contarme de tus hazañas en el mundo?</t>
  </si>
  <si>
    <t>PHRASE_DIALOG_CLOWN_EXTRAPERLO_OPTION_3_2</t>
  </si>
  <si>
    <t>Poca cosa que debas saber. Y cuanto menos sepas de mí mejor para mí. ¿Qué hay de ti andarín?</t>
  </si>
  <si>
    <t>PHRASE_DIALOG_CLOWN_EXTRAPERLO_OPTION_3_4</t>
  </si>
  <si>
    <t>Vine aquí a ver a un conocido. Acabo de mudarme a esta ciudad y desearía conocer gente nueva y encontrar trabajo!</t>
  </si>
  <si>
    <t>PHRASE_DIALOG_CLOWN_EXTRAPERLO_OPTION_3_5</t>
  </si>
  <si>
    <t>¿Y dónde te hospedas? ¿O acaso eres de esos que su papá les compró una casita para que no hubiera imprevistos?</t>
  </si>
  <si>
    <t>PHRASE_DIALOG_CLOWN_EXTRAPERLO_OPTION_3_6</t>
  </si>
  <si>
    <t>Me hospedo en la pensión más hecha polvo de toda la ciudad. En el barrio de la periferia. Y respecto a lo otro... Noo! No soy muy cayetano.</t>
  </si>
  <si>
    <t>PHRASE_DIALOG_CLOWN_EXTRAPERLO_OPTION_3_7</t>
  </si>
  <si>
    <t>Te das cuenta de que con todo lo que me has contado ya conozco tus debilidades? Que sé donde vives y cuáles son tus intenciones. ¿No te das cuenta de que no puedes ir regalando información por ahí?</t>
  </si>
  <si>
    <t>PHRASE_DIALOG_CLOWN_EXTRAPERLO_OPTION_3_8</t>
  </si>
  <si>
    <t>Pensaba que con tu aspecto de payaso eras inofensivo. De todas formas no creo que esa información le solucione la vida a nadie. Si todos pensásemos como tú. No existirían las amistades ni el buen hacer</t>
  </si>
  <si>
    <t>PHRASE_DIALOG_CLOWN_EXTRAPERLO_OPTION_3_9</t>
  </si>
  <si>
    <t>¿Ves el libro que lee esa chica al lado de la chimenea? El príncipe de Maquiavelo. No hay fuente más basta de sabiduría que esa. Chica a la que por cierto no le has quitado ojo desde que has entrado</t>
  </si>
  <si>
    <t>PHRASE_DIALOG_CLOWN_EXTRAPERLO_OPTION_4_0</t>
  </si>
  <si>
    <t>Respecto a la chica que mencionas...</t>
  </si>
  <si>
    <t>PHRASE_DIALOG_CLOWN_EXTRAPERLO_OPTION_4_1</t>
  </si>
  <si>
    <t>Te he visto caer en picado. Tremenda calabaza te has llevado. Se ha oído el batacazo desde lo más profundo de Extremadura. Pero no porque no tengas posibilidad. Sino porque no sabes jugar tus cartas</t>
  </si>
  <si>
    <t>PHRASE_DIALOG_CLOWN_EXTRAPERLO_OPTION_4_2</t>
  </si>
  <si>
    <t>¿Es que le he dicho algo malo? Intentaba ser cortés con ella</t>
  </si>
  <si>
    <t>PHRASE_DIALOG_CLOWN_EXTRAPERLO_OPTION_4_3</t>
  </si>
  <si>
    <t>Vas directo como una flecha. Se te ve venir a leguas. Un buen estratega prepara primero sus batallas. Pero en tu caso y dada la situación. ¡BEBE! ¡Bebe como un cosaco! Es la única forma de que te sueltes</t>
  </si>
  <si>
    <t>Qué te atormenta compañero?</t>
  </si>
  <si>
    <t>PHRASE_DIALOG_SILVANA_EXTRAPERLO_OPTION_0_0</t>
  </si>
  <si>
    <t>¿Qué haces en un sitio como este leyendo un libro?</t>
  </si>
  <si>
    <t>PHRASE_DIALOG_SILVANA_EXTRAPERLO_OPTION_0_0_LAUGH</t>
  </si>
  <si>
    <t>Hahahaha</t>
  </si>
  <si>
    <t>Jajajajajaja</t>
  </si>
  <si>
    <t>PHRASE_DIALOG_SILVANA_EXTRAPERLO_OPTION_0_1</t>
  </si>
  <si>
    <t>¿En serio vas a entrarme con esa mmm... basura de pregunta?</t>
  </si>
  <si>
    <t>PHRASE_DIALOG_SILVANA_EXTRAPERLO_OPTION_0_2</t>
  </si>
  <si>
    <t>Te lo preguntaba en serio</t>
  </si>
  <si>
    <t>PHRASE_DIALOG_SILVANA_EXTRAPERLO_OPTION_0_3</t>
  </si>
  <si>
    <t>Lamentaaable...</t>
  </si>
  <si>
    <t>PHRASE_DIALOG_SILVANA_EXTRAPERLO_OPTION_1_0</t>
  </si>
  <si>
    <t>¿Tú conoces la fábrica de harina de las afueras?</t>
  </si>
  <si>
    <t>PHRASE_DIALOG_SILVANA_EXTRAPERLO_OPTION_1_1</t>
  </si>
  <si>
    <t>Mira. No vayas por ahí. Los problemas que tengas con mi padre ¡Los hablas con mi padre!. Y como sigas me voy de aquí</t>
  </si>
  <si>
    <t>¡Que tengas una buena noche!</t>
  </si>
  <si>
    <t>PHRASE_DIALOG_SILVANA_EXTRAPERLO_INTRO_0</t>
  </si>
  <si>
    <t>¿Os podéis cortar un poco de mirarme tú y el payaso ese?</t>
  </si>
  <si>
    <t>PHRASE_DIALOG_SILVANA_EXTRAPERLO_INTRO_1</t>
  </si>
  <si>
    <t>¡Ya sabes que el fin justifica los medios!</t>
  </si>
  <si>
    <t>Si doblase estas esquinas. dejaría la invitación como la de esta semana. ¡Podría colar!</t>
  </si>
  <si>
    <t>Y luego. aún con las esquinas dobladas. Me vendrá con que si la abuela fuma</t>
  </si>
  <si>
    <t>PHRASE_DIALOG_WAITER_USE_NEW_INV_0</t>
  </si>
  <si>
    <t>He recordado que también tenía la invitación de esta semana. Estaba escondida en un hueco muy muy pequeño del bolsillo. ¡Qué despistado!</t>
  </si>
  <si>
    <t>PHRASE_DIALOG_WAITER_USE_NEW_INV_1</t>
  </si>
  <si>
    <t>Oh cielos! Es la auténtica sin duda! Para nada es una falsificación! En fin. Lo prometido es deuda. Estás invitado a todo</t>
  </si>
  <si>
    <t>PHRASE_DIALOG_WAITER_W_INVITATION_OPTION_0_0</t>
  </si>
  <si>
    <t>Tomaré una pinta bien fresquita</t>
  </si>
  <si>
    <t>PHRASE_DIALOG_WAITER_W_INVITATION_OPTION_0_1</t>
  </si>
  <si>
    <t>¡Marchando una cerveza del tiempo</t>
  </si>
  <si>
    <t>PHRASE_DIALOG_WAITER_W_INVITATION_OPTION_1_0</t>
  </si>
  <si>
    <t>Tomaré unas olivas del pacífico</t>
  </si>
  <si>
    <t>PHRASE_DIALOG_WAITER_W_INVITATION_OPTION_1_1</t>
  </si>
  <si>
    <t>Ojo con este plato. Solo te lo puedo servir una vez. Nos quedan poquitas ya. Que las disfrutes!</t>
  </si>
  <si>
    <t>No quiero nada más. Gracias</t>
  </si>
  <si>
    <t>PHRASE_DIALOG_WAITER_W_INVITATION_INTRO_0</t>
  </si>
  <si>
    <t>Bueno Bueno Bueno Bueno!! Cuales son los manjares que le ofrece el Club Extraperlo a un invitado cansado y sediento?</t>
  </si>
  <si>
    <t>PHRASE_DIALOG_WAITER_W_INVITATION_INTRO_1</t>
  </si>
  <si>
    <t>¿Qué vas a tomar esta noche?</t>
  </si>
  <si>
    <t>Un buen cuenco lleno de olivas</t>
  </si>
  <si>
    <t>Una buena cerveza fresquita</t>
  </si>
  <si>
    <t>Espero que quien da las órdenes sepa lo que está haciendo</t>
  </si>
  <si>
    <t>Creo que empiezo a notar todo girando</t>
  </si>
  <si>
    <t>PHRASE_DIALOG_CLOWN_DRUNK_INTRO_1</t>
  </si>
  <si>
    <t>Voy cocidísimo. Y estoy armado de valor para hablar con ella</t>
  </si>
  <si>
    <t>PHRASE_DIALOG_CLOWN_DRUNK_INTRO_2</t>
  </si>
  <si>
    <t>Te deseo la mejor de las suertes compañero</t>
  </si>
  <si>
    <t>PHRASE_DIALOG_ARTURO_DRUNK_INTRO_1</t>
  </si>
  <si>
    <t>¡¡Arturoo!! Viejo amigo. hoy va a ser nuestra noche. Nada nos parará. Ni siquiera Franco ni Adolf</t>
  </si>
  <si>
    <t>PHRASE_DIALOG_ARTURO_DRUNK_INTRO_2</t>
  </si>
  <si>
    <t>¡¡Haz el favor de callarte!! Vas a hacer que nos llevén al paredón esta misma noche. Mira. No quiero saber nada de tu estado de embriaguez. Me das vergüenza</t>
  </si>
  <si>
    <t>Qué tal una partidita de cartas?</t>
  </si>
  <si>
    <t>ANIMATION_TRIGGER_AUTO_STEADY</t>
  </si>
  <si>
    <t>Que tengas una buena noche</t>
  </si>
  <si>
    <t>PHRASE_CARDS2_MAINCHAR_TAUNT_1</t>
  </si>
  <si>
    <t>Pero si yo he echado la primera carta. ¿Por qué te la llevas?</t>
  </si>
  <si>
    <t>PHRASE_CARDS2_MAINCHAR_TAUNT_2</t>
  </si>
  <si>
    <t>Eh.. Estás haciendo trampa. Yo solo digo eso</t>
  </si>
  <si>
    <t>PHRASE_CARDS2_MAINCHAR_TAUNT_3</t>
  </si>
  <si>
    <t>Te estás llevando toda la basura!</t>
  </si>
  <si>
    <t>PHRASE_CARDS2_MAINCHAR_TAUNT_4</t>
  </si>
  <si>
    <t>Siii! Toma! Gané! Soy el mejor</t>
  </si>
  <si>
    <t>PHRASE_CARDS2_MAINCHAR_TAUNT_5</t>
  </si>
  <si>
    <t>Noo! No puede ser que haya perdido!</t>
  </si>
  <si>
    <t>Una oliva suelta. Manjar de dioses</t>
  </si>
  <si>
    <t>No quiero más</t>
  </si>
  <si>
    <t>PHRASE_DIALOG_SILVANA_DRUNK_OPTION_0_0</t>
  </si>
  <si>
    <t>Tengo una duda existencial que me come por dentro</t>
  </si>
  <si>
    <t>PHRASE_DIALOG_SILVANA_DRUNK_OPTION_0_1</t>
  </si>
  <si>
    <t>A ver ¿qué tontería vas a decir ahora?</t>
  </si>
  <si>
    <t>PHRASE_DIALOG_SILVANA_DRUNK_OPTION_0_2</t>
  </si>
  <si>
    <t>¿Por qué los tomates son rojos redondos y pequeños? Porque si fuesen verdes grandes y alargados serían cocodrilos!</t>
  </si>
  <si>
    <t>PHRASE_DIALOG_SILVANA_DRUNK_OPTION_0_3</t>
  </si>
  <si>
    <t>Ja jaja. Me parto la caja. Es el peor chiste del mundo pero me ha hecho gracia</t>
  </si>
  <si>
    <t>PHRASE_DIALOG_SILVANA_DRUNK_OPTION_0_4</t>
  </si>
  <si>
    <t>Bueno. Ya veo que alguien ha empezado la fiesta sin mí. No me traes nada para picar?</t>
  </si>
  <si>
    <t>PHRASE_DIALOG_SILVANA_OLIVE_OPTION_0_0</t>
  </si>
  <si>
    <t>Te traigo la aceituna de la conquista! Un manjar de los dioses</t>
  </si>
  <si>
    <t>PHRASE_DIALOG_SILVANA_OLIVE_OPTION_0_1</t>
  </si>
  <si>
    <t>Cielo santo! Está usando artes prohibidas. Subestimé al muchacho</t>
  </si>
  <si>
    <t>PHRASE_DIALOG_SILVANA_OLIVE_OPTION_0_2</t>
  </si>
  <si>
    <t>¿Has traído una sola oliva para invitarme a cenar? Tío Cutre. Anda que..</t>
  </si>
  <si>
    <t>PHRASE_DIALOG_SILVANA_OLIVE_OPTION_0_3</t>
  </si>
  <si>
    <t>Mira. Ve a hablar con el camarero y pídele la terraza. Que aquí hay mucho jaleo</t>
  </si>
  <si>
    <t>PHRASE_DIALOG_WAITER_TERRACE_OPTION_0_0</t>
  </si>
  <si>
    <t>¿Puedo usar la terraza? Es para un propósito muy noble</t>
  </si>
  <si>
    <t>PHRASE_DIALOG_WAITER_TERRACE_OPTION_0_1</t>
  </si>
  <si>
    <t>Me temo que pides demasiado. Normalmente es un detalle que tenemos con clientes asiduos cuando está vacía</t>
  </si>
  <si>
    <t>PHRASE_DIALOG_WAITER_TERRACE_OPTION_0_2</t>
  </si>
  <si>
    <t>Voy con la chica que está sentada al lado de la chimenea con un libro. Es ella en verdad quien lo pide</t>
  </si>
  <si>
    <t>PHRASE_DIALOG_WAITER_TERRACE_OPTION_0_3</t>
  </si>
  <si>
    <t>Ahh! Silvana! Ella sí que me cae bien. No como tú</t>
  </si>
  <si>
    <t>PHRASE_DIALOG_WAITER_TERRACE_OPTION_0_4</t>
  </si>
  <si>
    <t>Os preparo la terraza enseguida y os la abro. Espérame aquí y entráis</t>
  </si>
  <si>
    <t>Por fin he recuperado la compostura. ya no me da vueltas todo. Pero a cambio creo que necesito urgentemente miccionar todo lo que he bebido. ¡Antes de que venga Silvana!</t>
  </si>
  <si>
    <t>Una planta que está creciendo. En el momento más bonito de su vida. Un momento clave en el que hidratación. Sol. Y terreno. Decidirán si va hacia adelante o perece</t>
  </si>
  <si>
    <t>Mi vejiga llena. Tengo que vaciarla cuanto antes</t>
  </si>
  <si>
    <t>PHRASE_ABOUT_PEE_PLANT</t>
  </si>
  <si>
    <t>Me siento fatal por la bella planta</t>
  </si>
  <si>
    <t>PHRASE_BLANK_PEE_SOUND</t>
  </si>
  <si>
    <t>Eres un cuadro de persona</t>
  </si>
  <si>
    <t>PHRASE_DIALOG_SILVANA_GARDEN_1_OPTION_0_0</t>
  </si>
  <si>
    <t>No sabía que una persona podía tener tanto dentro</t>
  </si>
  <si>
    <t>PHRASE_DIALOG_SILVANA_GARDEN_1_OPTION_0_1</t>
  </si>
  <si>
    <t>¿Qué hubieras hecho tú?</t>
  </si>
  <si>
    <t>PHRASE_DIALOG_SILVANA_GARDEN_1_OPTION_0_2</t>
  </si>
  <si>
    <t>Desde luego no la cerdada que has hecho tú. Como empiece a oler me voy de aquí</t>
  </si>
  <si>
    <t>PHRASE_DIALOG_SILVANA_GARDEN_1_OPTION_0_3</t>
  </si>
  <si>
    <t>Vaya... ya lo siento</t>
  </si>
  <si>
    <t>PHRASE_DIALOG_SILVANA_GARDEN_1_OPTION_0_4</t>
  </si>
  <si>
    <t>Vente a la mesa y me cuentas más. Pareces un personaje divertido</t>
  </si>
  <si>
    <t>PHRASE_DIALOG_SILVANA_GARDEN_2_OPTION_0_0</t>
  </si>
  <si>
    <t>Háblame del libro que te estás leyendo</t>
  </si>
  <si>
    <t>PHRASE_DIALOG_SILVANA_GARDEN_2_OPTION_0_1</t>
  </si>
  <si>
    <t>¿El principe? Es la tercera vez que me lo leo.. Mi padre me lo regaló cuando era pequeña</t>
  </si>
  <si>
    <t>PHRASE_DIALOG_SILVANA_GARDEN_2_OPTION_0_2</t>
  </si>
  <si>
    <t>¿No hubiera sido mejor algún cuento popular?</t>
  </si>
  <si>
    <t>PHRASE_DIALOG_SILVANA_GARDEN_2_OPTION_0_3</t>
  </si>
  <si>
    <t>Jaja. Bueno.. Cuanto antes se aprende mejor. Al principio no lo entendía. Es ahora cuando empiezo a entenderlo más o menos</t>
  </si>
  <si>
    <t>PHRASE_DIALOG_SILVANA_GARDEN_2_OPTION_0_4</t>
  </si>
  <si>
    <t>Al final son cosas de cajón que ya sabes. Prudencia. Rodearte de gente que te vaya a hacer bien. No confiar ciegamente en nadie. Anticiparse a malas jugadas de tus cercanos. Et cétera..</t>
  </si>
  <si>
    <t>PHRASE_DIALOG_SILVANA_GARDEN_2_OPTION_0_5</t>
  </si>
  <si>
    <t>El payaso hablaba de algo de eso. Me dijo que contaba demasiado sobre mí</t>
  </si>
  <si>
    <t>PHRASE_DIALOG_SILVANA_GARDEN_2_OPTION_0_6</t>
  </si>
  <si>
    <t>Eso no lo dudo. Eres un transistor con patas</t>
  </si>
  <si>
    <t>PHRASE_DIALOG_SILVANA_GARDEN_2_OPTION_0_7</t>
  </si>
  <si>
    <t>Por cierto... ¿Por qué no iban a quererte de maestro cuando construyeran otra escuela?</t>
  </si>
  <si>
    <t>PHRASE_DIALOG_SILVANA_GARDEN_2_OPTION_0_8</t>
  </si>
  <si>
    <t>Por el tema religioso supongo..</t>
  </si>
  <si>
    <t>PHRASE_DIALOG_SILVANA_GARDEN_2_OPTION_0_9</t>
  </si>
  <si>
    <t>¿Es que no crees en Dios?</t>
  </si>
  <si>
    <t>PHRASE_DIALOG_SILVANA_GARDEN_2_OPTION_0_10</t>
  </si>
  <si>
    <t>No digo que no exista. Pero tengo mi propia forma de ver el asunto. Y eso.. cuando te piden que prácticamente prediques en tus enseñanzas. Pues se te acaba viendo el plumero. No me la quiero jugar</t>
  </si>
  <si>
    <t>PHRASE_DIALOG_SILVANA_GARDEN_2_OPTION_0_11</t>
  </si>
  <si>
    <t>Interesante. ¿Y me puedes decir en qué crees exactamente?</t>
  </si>
  <si>
    <t>PHRASE_DIALOG_SILVANA_GARDEN_2_OPTION_0_12</t>
  </si>
  <si>
    <t>No lo entenderías. Y es un poco pronto para hablar de eso tú y yo. Básicamente. Si ves esta mesa por encima. ¿Qué ves?</t>
  </si>
  <si>
    <t>PHRASE_DIALOG_SILVANA_GARDEN_2_OPTION_0_13</t>
  </si>
  <si>
    <t>Un cuadrado supongo</t>
  </si>
  <si>
    <t>PHRASE_DIALOG_SILVANA_GARDEN_2_OPTION_0_14</t>
  </si>
  <si>
    <t xml:space="preserve"> ¿Y si la ves de lado?</t>
  </si>
  <si>
    <t>PHRASE_DIALOG_SILVANA_GARDEN_2_OPTION_0_15</t>
  </si>
  <si>
    <t>Una mesa</t>
  </si>
  <si>
    <t>PHRASE_DIALOG_SILVANA_GARDEN_2_OPTION_0_16</t>
  </si>
  <si>
    <t>¿Y en la cabeza de quien la diseñó?</t>
  </si>
  <si>
    <t>PHRASE_DIALOG_SILVANA_GARDEN_2_OPTION_0_17</t>
  </si>
  <si>
    <t>Algo perfecto sin fisuras</t>
  </si>
  <si>
    <t>PHRASE_DIALOG_SILVANA_GARDEN_2_OPTION_0_18</t>
  </si>
  <si>
    <t>Pues eso.. un concepto multi entidad. Ya sabes que no hay solo una verdad en ninguna historia</t>
  </si>
  <si>
    <t>PHRASE_DIALOG_SILVANA_GARDEN_2_OPTION_1_0</t>
  </si>
  <si>
    <t>¿Eres mujer trabajadora?</t>
  </si>
  <si>
    <t>PHRASE_DIALOG_SILVANA_GARDEN_2_OPTION_1_1</t>
  </si>
  <si>
    <t>Jaja ni parecido. Por suerte puedo permitirme no trabajar de momento. Es verdad que ya me han encasquetado al buen chico porque necesariamente tengo que casarme</t>
  </si>
  <si>
    <t>PHRASE_DIALOG_SILVANA_GARDEN_2_OPTION_1_2</t>
  </si>
  <si>
    <t>Mujer florero entonces!</t>
  </si>
  <si>
    <t>PHRASE_DIALOG_SILVANA_GARDEN_2_OPTION_1_3</t>
  </si>
  <si>
    <t>Oye. No te pases ni un pelo</t>
  </si>
  <si>
    <t>PHRASE_DIALOG_SILVANA_GARDEN_2_OPTION_1_4</t>
  </si>
  <si>
    <t>No te lo tomes a mal. Es solo que estoy cansado de ver mujeres que se les llena la boca diciendo que su marido es teniente o alcalde</t>
  </si>
  <si>
    <t>PHRASE_DIALOG_SILVANA_GARDEN_2_OPTION_1_5</t>
  </si>
  <si>
    <t>Coincido totalmente. Pues a mí me han encasquetado a un calvo alopécico que hace trajes a medida o no se qué historia para bodas</t>
  </si>
  <si>
    <t>PHRASE_DIALOG_SILVANA_GARDEN_2_OPTION_1_6</t>
  </si>
  <si>
    <t>Un partidazo. ¿Al menos lo conoces?</t>
  </si>
  <si>
    <t>PHRASE_DIALOG_SILVANA_GARDEN_2_OPTION_1_7</t>
  </si>
  <si>
    <t>Lo trajeron a cenar una noche. Vino con flores. Todo muy ensayado. Es totalmente absurdo. ¿Y qué voy a hacer? Si no te casas antes de los 24 eres algo así como una bruja proscrita y ya te miran mal</t>
  </si>
  <si>
    <t>PHRASE_DIALOG_SILVANA_GARDEN_2_OPTION_1_8</t>
  </si>
  <si>
    <t>Y Leyendo a Maquiavelo. ¿Te importa lo que piensen de ti?</t>
  </si>
  <si>
    <t>PHRASE_DIALOG_SILVANA_GARDEN_2_OPTION_1_9</t>
  </si>
  <si>
    <t>Precisamente el efecto en los demás depende de la sensación que transmites. Y sinceramente. No está la cosa en el país y en la sociedad como para que te pisen o te acaben marginando</t>
  </si>
  <si>
    <t>PHRASE_DIALOG_SILVANA_GARDEN_2_OPTION_1_10</t>
  </si>
  <si>
    <t>Pues mucha suerte con el calvo semental</t>
  </si>
  <si>
    <t>PHRASE_DIALOG_SILVANA_GARDEN_2_OPTION_1_11</t>
  </si>
  <si>
    <t>Jajajaja</t>
  </si>
  <si>
    <t>PHRASE_DIALOG_SILVANA_GARDEN_2_OPTION_2_0</t>
  </si>
  <si>
    <t>Necesito empezar a trabajar en esta ciudad</t>
  </si>
  <si>
    <t>PHRASE_DIALOG_SILVANA_GARDEN_2_OPTION_2_1</t>
  </si>
  <si>
    <t>Que sí. Pesado. Que si mi padre tiene una fábrica de harinas. Vas por ahí. ¿Verdad? Arturito Minglanilla es un bocazas. Eso sí es un fracasado ¿ves?</t>
  </si>
  <si>
    <t>PHRASE_DIALOG_SILVANA_GARDEN_2_OPTION_2_2</t>
  </si>
  <si>
    <t>Ojo con Arturito. Me cae bastante bien la verdad</t>
  </si>
  <si>
    <t>PHRASE_DIALOG_SILVANA_GARDEN_2_OPTION_2_3</t>
  </si>
  <si>
    <t>Mira.. me voy a ahorrar el comentario. Él y su mujer.. En fin. Para qué</t>
  </si>
  <si>
    <t>PHRASE_DIALOG_SILVANA_GARDEN_2_OPTION_2_4</t>
  </si>
  <si>
    <t>Me interesa. Cuéntame</t>
  </si>
  <si>
    <t>PHRASE_DIALOG_SILVANA_GARDEN_2_OPTION_2_5</t>
  </si>
  <si>
    <t>Si te cae bien. Confía si lo ves oportuno. Es que no te puedo decir más</t>
  </si>
  <si>
    <t>PHRASE_DIALOG_SILVANA_GARDEN_2_OPTION_2_6</t>
  </si>
  <si>
    <t>Bueno... ¿Crees que podría hablar con tu padre?</t>
  </si>
  <si>
    <t>PHRASE_DIALOG_SILVANA_GARDEN_2_OPTION_2_7</t>
  </si>
  <si>
    <t>Mi padre... Es especialito. Tiene un ojo para la gente. Solo un vistazo y ya sabe de qué pie cojeas. Y viendo lo que acabas de hacer con la planta. Creo que eres una bomba con patas. El riesgo es alto. Es mejor que no te vea directamente</t>
  </si>
  <si>
    <t>PHRASE_DIALOG_SILVANA_GARDEN_2_OPTION_2_8</t>
  </si>
  <si>
    <t>Igual es mejor que me presente directamente en la fábrica</t>
  </si>
  <si>
    <t>PHRASE_DIALOG_SILVANA_GARDEN_2_OPTION_2_9</t>
  </si>
  <si>
    <t>Corres el riesgo de que te pongan a currar y encima luego no cobres jaja. Ya pensaré algo. Lo que no sé es qué gano yo en todo esto</t>
  </si>
  <si>
    <t>PHRASE_DIALOG_SILVANA_GARDEN_2_OPTION_2_10</t>
  </si>
  <si>
    <t>Una noche fogosa sin duda</t>
  </si>
  <si>
    <t>PHRASE_DIALOG_SILVANA_GARDEN_2_OPTION_2_11</t>
  </si>
  <si>
    <t>No me creo lo que estoy escuchando..</t>
  </si>
  <si>
    <t>PHRASE_DIALOG_SILVANA_GARDEN_2_OPTION_3_0</t>
  </si>
  <si>
    <t>Te propongo una cosa. ¿Tienes baraja de cartas? Nos lo jugamos todo a una buena brisca. Si te gano. Me prometes que me echas un cable</t>
  </si>
  <si>
    <t>PHRASE_DIALOG_SILVANA_GARDEN_2_OPTION_3_1</t>
  </si>
  <si>
    <t>Es tan ridículo que hasta me emociona</t>
  </si>
  <si>
    <t>PHRASE_DIALOG_SILVANA_GARDEN_2_INTRO_0</t>
  </si>
  <si>
    <t>¿Y Cómo dices que llegaste aquí?</t>
  </si>
  <si>
    <t>PHRASE_DIALOG_SILVANA_GARDEN_2_INTRO_1</t>
  </si>
  <si>
    <t>Bueno. Se juntaron varias cosas. Ya sabes. La guerra justo había terminado y el colegio donde yo era maestro estaba destrozado</t>
  </si>
  <si>
    <t>PHRASE_DIALOG_SILVANA_GARDEN_2_INTRO_2</t>
  </si>
  <si>
    <t>Al escuchar que estaban muy selectos eligiendo personal para ser maestro decidí algo menos expuesto. Por ejemplo una fábrica de las que están construyendo ahora</t>
  </si>
  <si>
    <t>PHRASE_DIALOG_SILVANA_GARDEN_2_OPTION_4_0</t>
  </si>
  <si>
    <t>Y gané! Lo prometido es deuda. Prométeme que intentarás echarme un cable</t>
  </si>
  <si>
    <t>PHRASE_DIALOG_SILVANA_GARDEN_2_OPTION_4_1</t>
  </si>
  <si>
    <t>Muy bien vaquero. Tú ganas. Pero solo una pregunta más.. Tú tenías novia. Verdad? Eres un tío muy sonriente. Pero noto algo de melancolía. Se te cuela por las grietas</t>
  </si>
  <si>
    <t>PHRASE_DIALOG_SILVANA_GARDEN_2_OPTION_4_2</t>
  </si>
  <si>
    <t>Cómo lo sabes? Puuues siii... Teníamos algo. Mira.. en definitiva la guerra sacó lo peor de cada uno... Me da vergüenza admitirlo. Pero.. no me presenté a filas. Y eso para ella fue una deshonra</t>
  </si>
  <si>
    <t>PHRASE_DIALOG_SILVANA_GARDEN_2_OPTION_4_3</t>
  </si>
  <si>
    <t>Alucino contigo... No sé si levantarme ahora mismo y marcharme o admirar la valentía dentro de tu cobardía. ¿Entiendo que se marchó y no la volviste a ver?</t>
  </si>
  <si>
    <t>PHRASE_DIALOG_SILVANA_GARDEN_2_OPTION_4_4</t>
  </si>
  <si>
    <t>Se marchó con su familia a su pueblo. A Belchite</t>
  </si>
  <si>
    <t>PHRASE_DIALOG_SILVANA_GARDEN_2_OPTION_4_5</t>
  </si>
  <si>
    <t>Belchite dices... ¿No lo has visitado últimamente verdad? Bueno.. da igual. No quiero meterme donde no me llaman. Ha sido una noche muy agradable la verdad. Que por cierto. ¿Cómo te llamas?</t>
  </si>
  <si>
    <t>PHRASE_DIALOG_SILVANA_GARDEN_2_OPTION_4_6</t>
  </si>
  <si>
    <t>Constantino Llopis para servirle</t>
  </si>
  <si>
    <t>Vamonos de aquí sin pagar! El Panfri dice que el alcohol de aquí no coloca! Nos hacemos un simpa!</t>
  </si>
  <si>
    <t>PHRASE_DIALOG_PAMFRY_1_OPTION_0_1</t>
  </si>
  <si>
    <t>¡¡Me cago en mis muertos!! ¡De aquí no se va nadie sin pagar!</t>
  </si>
  <si>
    <t>¡¡Me tenéis hasta los cojones!! ¡Todas las noches igual con el maldito pub! ¡Conozco al alcalde! ¡Voy a hacer que lo cierren!</t>
  </si>
  <si>
    <t>PHRASE_SHOOT_SOUND</t>
  </si>
  <si>
    <t>¿La cuenta por favor?</t>
  </si>
  <si>
    <t>PHRASE_MAINCHAR_RECAP_EXTRAPERLO_1</t>
  </si>
  <si>
    <t>Si por lo que sea pensabas que Silvana iba a venirse a la habitación: te lo resumo. No. Dijo que esta pensión es una pocilga y que mejor como amigos. eso sí. ¡Me ha regalado una baraja de naipes!</t>
  </si>
  <si>
    <t>PHRASE_MAINCHAR_RECAP_EXTRAPERLO_2</t>
  </si>
  <si>
    <t>El hecho de contar cómo llegué hasta aquí. Mi antigua pareja y demás; me ha removido un poco las memorias. Tengo un poco de mal cuerpo.</t>
  </si>
  <si>
    <t>Una radio Tombstone. Costó una leña y se oye muy bien</t>
  </si>
  <si>
    <t>Estoy en mi casa. todo parece estar en su sitio. Tengo la extraña calma de que todo ha vuelto a su sitio. donde debería estar</t>
  </si>
  <si>
    <t>La promoción de 1934. Un batiburrillo de niños.  Niñas y algún adulto de la comarca que quiso aprender a leer. Fueron muy buenos tiempos. así lo recuerdo.</t>
  </si>
  <si>
    <t>El tiempo% detenido en un recuerdo para siempre. Dicen que cada vez que evocas un recuerdo% corres el riesgo de distorsionarlo cada vez más.</t>
  </si>
  <si>
    <t>Era mi despacho% un remanso de paz donde concentrarme% preparar lecciones y hacer algunas cuentas. En esta habitación YO mandaba</t>
  </si>
  <si>
    <t>Nuestro perro sultán. Cuantísimo lo he echado de menos</t>
  </si>
  <si>
    <t>Pilar. Tan guapa como la recordaba</t>
  </si>
  <si>
    <t>PHRASE_DIALOG_SULTAN_1_0</t>
  </si>
  <si>
    <t>¿Cómo estás granuja?? ¿Has vuelto a mearte en la cocina?? ¡Ese es mi chico!</t>
  </si>
  <si>
    <t>PHRASE_DIALOG_SULTAN_1_1</t>
  </si>
  <si>
    <t>(Perro feliz)</t>
  </si>
  <si>
    <t>PHRASE_DIALOG_PILAR_DREAM_1_OPTION_0_0</t>
  </si>
  <si>
    <t>Te he estado esperando tantísimo tiempo que no sé ni por dónde empezar% Constantino</t>
  </si>
  <si>
    <t>PHRASE_DIALOG_PILAR_DREAM_1_OPTION_0_1</t>
  </si>
  <si>
    <t>Fui un cobarde% lo siento. Y el orgullo después hizo el resto</t>
  </si>
  <si>
    <t>PHRASE_DIALOG_PILAR_DREAM_1_OPTION_0_2</t>
  </si>
  <si>
    <t>No... No te disculpes% yo creía que ir a combatir era algo honorable% y me morí de vergüenza por qué pensarían% y no quise verme involucrada</t>
  </si>
  <si>
    <t>PHRASE_DIALOG_PILAR_DREAM_1_OPTION_0_3</t>
  </si>
  <si>
    <t>Por eso tenías ya de pretendiente alternativo a Don Félix% ese tendero del partido que% por lo que sea% estaba exento de ir al frente% pero lo suyo era honorable</t>
  </si>
  <si>
    <t>PHRASE_DIALOG_PILAR_DREAM_1_OPTION_0_4</t>
  </si>
  <si>
    <t>Constantino% haz el favor% deja el sarcasmo% no tenemos mucho tiempo% y no estamos aquí ahora para discutir por una cosa que ya pasó% ahora estamos bien. Todo ha vuelto a su sitio</t>
  </si>
  <si>
    <t>PHRASE_DIALOG_PILAR_DREAM_1_OPTION_0_5</t>
  </si>
  <si>
    <t>Tienes razón% siento mucha calma volviendo aquí. Todo ahí fuera: buscarse la vida% la gente pasando hambre después de la guerra% ha sido todo un mal sueño</t>
  </si>
  <si>
    <t>PHRASE_DIALOG_PILAR_BED_DREAM_1_OPTION_0_0</t>
  </si>
  <si>
    <t>Y... cuéntame más de las cosas que estás haciendo por la ciudad</t>
  </si>
  <si>
    <t>PHRASE_DIALOG_PILAR_BED_DREAM_1_OPTION_0_1</t>
  </si>
  <si>
    <t>Bueno% parece que la cosa va encaminándose. He conocido a una chica que se llama Silvana% y su padre podría conseguirme un trabajo en una fábrica en las afueras</t>
  </si>
  <si>
    <t>PHRASE_DIALOG_PILAR_BED_DREAM_1_OPTION_0_2</t>
  </si>
  <si>
    <t>Silvana% eh? Me enfadaría si pudiera% pero es tan absurdo si quiera plantearlo... No sé% hay algo que no cuadra en tu historia% parece demasiado optimista. Está muy mal todo. Apenas hay para comer% ¿y ya están construyendo fábricas?</t>
  </si>
  <si>
    <t>PHRASE_DIALOG_PILAR_BED_DREAM_1_OPTION_0_3</t>
  </si>
  <si>
    <t>Como lo oyes% Jabaloyes! Y tengo un nuevo amigo que se llama Arturo Minglanilla% lo conocí yéndose por la patilla por una cena que le sentó mal. Hice de héroe% devolví el agua a la pensión y el pobre hombre pudo tirar de la cadena!</t>
  </si>
  <si>
    <t>PHRASE_DIALOG_PILAR_BED_DREAM_1_OPTION_0_3_2</t>
  </si>
  <si>
    <t>Además% luego fui a un pub un tanto peculiar% hubo un tiroteo% se cargaron a uno por irse sin pagar% y ... bueno con Silvana no hubo suerte</t>
  </si>
  <si>
    <t>PHRASE_DIALOG_PILAR_BED_DREAM_1_OPTION_0_4</t>
  </si>
  <si>
    <t>No me gusta que hagas rimas con mi apellido% tonto! La Silvana esa... esa historia va a acabar como yo te diga. Ya me irás contando. Mmm.. no sé% Constantino</t>
  </si>
  <si>
    <t>PHRASE_DIALOG_PILAR_BED_DREAM_1_OPTION_0_4_2</t>
  </si>
  <si>
    <t>Creo que estás un poco en los mundos de yupi% yo no he vivido buenas experiencias desde que nos separamos% pero no quiero aburrirte con historias que ... ya son historia...</t>
  </si>
  <si>
    <t>PHRASE_DIALOG_PILAR_BED_DREAM_1_OPTION_0_5</t>
  </si>
  <si>
    <t>Ya me contarás% volveré pronto% cuando los caminos me lleven aquí otra vez. Sintiéndolo mucho% ya me tengo que marchar</t>
  </si>
  <si>
    <t>PHRASE_DIALOG_PILAR_BED_DREAM_1_OPTION_0_6</t>
  </si>
  <si>
    <t>Aquí estaré esperándote siempre% este es nuestro lugar% aquí no pasa el tiempo. Que vaya bien amor mío% y por favor ¡cuídate mucho...!</t>
  </si>
  <si>
    <t>Me gustaría despedirme de Sultán primero. Le gusta que le dé algo de comida cuando se pone cerca de la puerta</t>
  </si>
  <si>
    <t>PHRASE_DIALOG_ALTER_EGO_DREAM_1_OPTION_0_0</t>
  </si>
  <si>
    <t>No deberías estar aquí% esta realidad no te pertenece</t>
  </si>
  <si>
    <t>PHRASE_DIALOG_ALTER_EGO_DREAM_1_OPTION_0_1</t>
  </si>
  <si>
    <t>¿Quién eres?% ¿Y qué haces aquí?</t>
  </si>
  <si>
    <t>PHRASE_DIALOG_ALTER_EGO_DREAM_1_OPTION_0_2</t>
  </si>
  <si>
    <t>¿Acaso no la has oído? En el fondo no le gusta que vengas. ¿Tanto te cuesta entender que te rechazó y te cambió por otro?</t>
  </si>
  <si>
    <t>PHRASE_DIALOG_ALTER_EGO_DREAM_1_OPTION_0_3</t>
  </si>
  <si>
    <t>Y lo peor de todo es que aún pudiste pelearlo y poner los puntos sobre las íes. ¡PERO NO! Preferiste huír como un cobarde% no sin antes faltarle al respeto. ¿Qué arreglo crees que tiene eso?</t>
  </si>
  <si>
    <t>PHRASE_DIALOG_ALTER_EGO_DREAM_1_OPTION_0_4</t>
  </si>
  <si>
    <t>Lo que hice o dejara de hacer.. qué más te da. Ella y yo estamos bien ahora. Hacía años que no me sentía tan bien</t>
  </si>
  <si>
    <t>PHRASE_DIALOG_ALTER_EGO_DREAM_1_OPTION_0_5</t>
  </si>
  <si>
    <t>¿Crees que te la mereces? ¿Crees que te mereces a ese perro que está esperándote en la puerta? ¿Y esta casa? Ni en el mejor de tus sueños. No perteneces a este mundo</t>
  </si>
  <si>
    <t>PHRASE_DIALOG_ALTER_EGO_DREAM_1_OPTION_0_6</t>
  </si>
  <si>
    <t>Tu lugar está en la pensión roñosa. ¿Y qué me dices de tus ganas de trabajar en la fábrica? ¿Cuánto tiempo crees que tus camaradas tardarán en darse cuenta de lo que eres y de lo que has hecho? Piensa muy bien lo que haces% porque el camino que has dejado está sembrado de enemigos</t>
  </si>
  <si>
    <t>PHRASE_DIALOG_ALTER_EGO_DREAM_1_OPTION_0_7</t>
  </si>
  <si>
    <t>No me vas a convencer. Y no% ¡No vas a volver!</t>
  </si>
  <si>
    <t>PHRASE_DIALOG_ALTER_EGO_DREAM_1_OPTION_0_8</t>
  </si>
  <si>
    <t>Te hago falta más de lo que crees. Me necesitas más a mí que yo a ti. Todo tendría una salida más rápida si me dejas ser</t>
  </si>
  <si>
    <t>PHRASE_DIALOG_ALTER_EGO_DREAM_1_OPTION_0_9</t>
  </si>
  <si>
    <t>Ni lo sueñes...</t>
  </si>
  <si>
    <t>PHRASE_DIALOG_ALTER_EGO_DREAM_1_OPTION_0_10</t>
  </si>
  <si>
    <t>No tardará en caérsete esa máscara de chico majo% y allí estaré para decirte: Te avisé.</t>
  </si>
  <si>
    <t>Definitivamente no es un fantasma. Es más... Creo que es un viejo conocido</t>
  </si>
  <si>
    <t>Un higo. A Sultan le encantan los higos</t>
  </si>
  <si>
    <t>Ojalá volver a veros pronto</t>
  </si>
  <si>
    <t>Esto que acaba de pasar.. no son más que tormentas del pasado.. Pero me pregunto qué fue de Pilar</t>
  </si>
  <si>
    <t>PHRASE_DIALOG_REME_BLOCKING_PATH_OPTION_0_0</t>
  </si>
  <si>
    <t>Ni se te ocurra pasar% hasta que no me vaya y se seque% nada</t>
  </si>
  <si>
    <t>PHRASE_DIALOG_REME_BLOCKING_PATH_OPTION_0_1</t>
  </si>
  <si>
    <t>¡No% no% no! Por nada del mundo querría ENSUCIAR el suelo</t>
  </si>
  <si>
    <t>PHRASE_DIALOG_REME_SOAP_1</t>
  </si>
  <si>
    <t>¿Si te regalo un jabón me dejas pasar?</t>
  </si>
  <si>
    <t>PHRASE_DIALOG_REME_SOAP_2</t>
  </si>
  <si>
    <t>ANIMATION_TRIGGER_SEVEN</t>
  </si>
  <si>
    <t>Espero que lo uses para limpiarte bien el culo</t>
  </si>
  <si>
    <t>Una llave prácticamente idéntica a la que se me dio para abrir mi habitación. Me pregunto qué hará ahí escondida. ¿Quizá el antiguo huésped?</t>
  </si>
  <si>
    <t>Una moneda de 25 céntimos. Es de la tirada de hace casi 15 años que sigue valiendo</t>
  </si>
  <si>
    <t>Sinceramente no sé si se me cayó a mí o al huésped anterior</t>
  </si>
  <si>
    <t>La puerta de servicio. Quizá haya alguna cosa interesante dentro</t>
  </si>
  <si>
    <t>La puerta está cerrada con llave. ¿Qué misterios habrá dentro que podrían solucionarme la papeleta?</t>
  </si>
  <si>
    <t>La llave para nada era la de la puerta% pero con un poco de esfuerzo tengo la llave rota y la puerta abierta</t>
  </si>
  <si>
    <t>Una máquina de juguetitos antigua. Parece que esta pensión esperó que llegaran familias con niños algún día</t>
  </si>
  <si>
    <t>Una jarra de mezclas. Supongo que la habrán usado para todo tipo de cosas</t>
  </si>
  <si>
    <t>Una lata de betún</t>
  </si>
  <si>
    <t>La llave que usé en la pensión% rota y sin dientes</t>
  </si>
  <si>
    <t>PHRASE_OBSERVE_ITEM_SQUAT_WC</t>
  </si>
  <si>
    <t>Una placa turca con algunas manchitas alrededor. La joya de la corona de esta habitación</t>
  </si>
  <si>
    <t>PHRASE_OBSERVE_ITEM_SQUAT_WC_2</t>
  </si>
  <si>
    <t>Que por cierto% en el fondo% a parte de restos... mmm.. fecales. Veo mucho movimiento de bichitos</t>
  </si>
  <si>
    <t>Una pelota de goma! Qué bien nos lo vamos a pasar!</t>
  </si>
  <si>
    <t>Ahora tengo una pelota de goma. ¡Y tú no! (Bueno en el fondo tú también)</t>
  </si>
  <si>
    <t>Ahora entiendo por qué quitaron la máquina</t>
  </si>
  <si>
    <t>La moneda que usé para la máquina% cayó de algún agujero que tendría en la caja y rodó hasta esta grieta. Está bastante bien encajada</t>
  </si>
  <si>
    <t>Está apretada y no me caben bien los dedos para sacar la moneda</t>
  </si>
  <si>
    <t>Betún tun turuntún!</t>
  </si>
  <si>
    <t>PHRASE_DIALOG_REME_ROACHES_1</t>
  </si>
  <si>
    <t>Tengo la firme sospecha de que hay cucarachas en este edificio</t>
  </si>
  <si>
    <t>PHRASE_DIALOG_REME_ROACHES_2</t>
  </si>
  <si>
    <t>¡IMPOSIBLE! Este edificio es un ejemplo de sanidad total. Me paso el día limpiándolo</t>
  </si>
  <si>
    <t>PHRASE_DIALOG_REME_ROACHES_3</t>
  </si>
  <si>
    <t>¡NO HAY NI UNA SOLA!</t>
  </si>
  <si>
    <t>PHRASE_DIALOG_REME_ROACHES_4</t>
  </si>
  <si>
    <t>A decir verdad me dan pánico. Si veo una sola me muero!</t>
  </si>
  <si>
    <t>PHRASE_MEMENTO_REME_1</t>
  </si>
  <si>
    <t>Reme no me dejará pasar hasta que no haya fregado. ¡Y no puedo esperar tantos meses a que eso ocurra!</t>
  </si>
  <si>
    <t>PHRASE_PUSH_OBTAIN_MEMENTO</t>
  </si>
  <si>
    <t>¡Nueva información en el Memento!</t>
  </si>
  <si>
    <t>PHRASE_PUSH_COMPLETE_MEMENTO</t>
  </si>
  <si>
    <t>¡Entrada completada en el Memento!</t>
  </si>
  <si>
    <t>PHRASE_PUSH_OBTAIN_ITEM</t>
  </si>
  <si>
    <t>¡Nuevo item en el inventario!</t>
  </si>
  <si>
    <t>PHRASE_PUSH_LOSE_ITEM</t>
  </si>
  <si>
    <t>Item usado</t>
  </si>
  <si>
    <t>PHRASE_MEMENTO_ROACHES_1</t>
  </si>
  <si>
    <t>Una terrible plaga de cucarachas asola la pensión</t>
  </si>
  <si>
    <t>PHRASE_MEMENTO_REME_2</t>
  </si>
  <si>
    <t>Parece ser que Reme tiene pánico a las cucarachas. Cosa que podría ser útil</t>
  </si>
  <si>
    <t>¡Es una idea macabramente divertida! Quizá hacer que Reme huya de las cucaraches haga que me deje pasar</t>
  </si>
  <si>
    <t>PHRASE_MEMENTO_ROACHES_2</t>
  </si>
  <si>
    <t>Quizá pudiera hacer Reme acabe viendo las cucarachas y huya. ¡Experimentemos!</t>
  </si>
  <si>
    <t>No tiene nada que ver una cosa con la otra</t>
  </si>
  <si>
    <t>No termino yo de verle la relación a eso</t>
  </si>
  <si>
    <t>PHRASE_OBSERVE_LAB_MAGAZINE_1</t>
  </si>
  <si>
    <t>La revista de moda habla de soluciones de limpieza para el hogar. En un anexo cuenta un método eficaz para eliminar plagas</t>
  </si>
  <si>
    <t>PHRASE_OBSERVE_LAB_MAGAZINE_2</t>
  </si>
  <si>
    <t>Punto 1. Mezclar dos partes de insecticida por cada tres partes de abrasivo.</t>
  </si>
  <si>
    <t>PHRASE_OBSERVE_LAB_MAGAZINE_3</t>
  </si>
  <si>
    <t>Punto 2. Añada una cucharadilla de detergente en polvo. Eso intensificará el efecto y además dejará una fragancia duradera en el escondite de la plaga.</t>
  </si>
  <si>
    <t>PHRASE_OBSERVE_LAB_MAGAZINE_4</t>
  </si>
  <si>
    <t>Punto 3. EVITE A TODA COSTA: Usarlo sobre tuberías de hierro oxidado o mezclar con trazas de óxido. Podría volver la reacción violenta.</t>
  </si>
  <si>
    <t>PHRASE_OBSERVE_LAB_MAGAZINE_5</t>
  </si>
  <si>
    <t>Una vez vertida la mezcla% aléjese y ventile bien la habitación. Su marido y sus hijos lo agradecerán.</t>
  </si>
  <si>
    <t>Una mesa llena de productos de limpieza y un bote de mezclas. No apta para principiantes</t>
  </si>
  <si>
    <t>De momento no tengo necesidad de manipular todo aquello</t>
  </si>
  <si>
    <t>Bueno% tenemos diversión asegurada en la clase de química</t>
  </si>
  <si>
    <t>Un lava-suelos. Contiene aguarrás y otros productos. Cuidadito con que entre en los ojos.</t>
  </si>
  <si>
    <t>Un detergente en polvo. Esta marca es la más vendida</t>
  </si>
  <si>
    <t>Insecticida matón. ¡Ay que las mata! Las va a matar tanto que van a desear que no las haya matado tanto</t>
  </si>
  <si>
    <t>Un bote de barniz de una marca extraña. Tal vez ayude con la mezcla.</t>
  </si>
  <si>
    <t>Un muelle de cama bastante oxidado</t>
  </si>
  <si>
    <t>Virutas de óxido de hierro. Huele muy fuerte a ... HIERRO</t>
  </si>
  <si>
    <t>La mezcla parece bastante reactiva</t>
  </si>
  <si>
    <t>PHRASE_MEMENTO_HIVE_LAB_1</t>
  </si>
  <si>
    <t>Debo conseguir elaborar una mezcla que espante a todas las cucarachas de la placa turca</t>
  </si>
  <si>
    <t>PHRASE_MEMENTO_HIVE_LAB_2</t>
  </si>
  <si>
    <t>La revista habla de una proporción muy concreta en las mezclas% y de evitar mezclarla con óxido</t>
  </si>
  <si>
    <t>PHRASE_MEMENTO_HIVE_LAB_3</t>
  </si>
  <si>
    <t>Finalmente el óxido del muelle de la cama hizo su debut y salvó la mezcla</t>
  </si>
  <si>
    <t>No lo usaría todavía</t>
  </si>
  <si>
    <t>Yo no lo tocaría% ya parece que funciona</t>
  </si>
  <si>
    <t>Ya tiene bastante de eso</t>
  </si>
  <si>
    <t>Esa mezcla tal y como está no parece muy potente</t>
  </si>
  <si>
    <t>Un arma de destrucción masiva capaz de poner patas arriba esta pensión</t>
  </si>
  <si>
    <t>Y... volvamos a intentarlo</t>
  </si>
  <si>
    <t>Debería devolver la jarra vacía a la mesa primero</t>
  </si>
  <si>
    <t>¡Vámonos cagando leches!</t>
  </si>
  <si>
    <t>¡Dios mío% tiene un arma!</t>
  </si>
  <si>
    <t>Pobres cucarachas. Me pregunto dónde habrán ido después del INCIDENTE</t>
  </si>
  <si>
    <t>No necesito dormir por ahora. Hay cosas que hacer</t>
  </si>
  <si>
    <t>Es el propietario del Maño. No sabría decir si está quemado por su trabajo o simplemente ha dormido poco.</t>
  </si>
  <si>
    <t>PHRASE_MEMENTO_RECIPE_MISSION_2</t>
  </si>
  <si>
    <t>Debería probar pasarme por la barriada (cerca de la fábrica de harinas) para averiguar recetas</t>
  </si>
  <si>
    <t>¿Te has perdido muchacho?</t>
  </si>
  <si>
    <t>PHRASE_MATRIARCH_RECIPE_1</t>
  </si>
  <si>
    <t>Quizá pudieran ustedes ayudarme con una receta</t>
  </si>
  <si>
    <t>PHRASE_MATRIARCH_RECIPE_2</t>
  </si>
  <si>
    <t>¿Pero bueno% y tú de dónde has salido? JA! Vienen de la ciudad aquí pidiendo. ¡Lo que faltaba!</t>
  </si>
  <si>
    <t>PHRASE_MATRIARCH_WHATSCOOKING_1</t>
  </si>
  <si>
    <t>¿Qué tenéis en el fuego cociendo? Huele de maravilla</t>
  </si>
  <si>
    <t>PHRASE_MATRIARCH_WHATSCOOKING_2</t>
  </si>
  <si>
    <t>Es olla de cerdo. Como ves% no da para muchos. Busca otro sitio donde meter el morro</t>
  </si>
  <si>
    <t>Bueno% les dejo con sus quehaceres. ¡Buen día!</t>
  </si>
  <si>
    <t>PHRASE_MEMENTO_RECIPE_MISSION_3</t>
  </si>
  <si>
    <t>Si al menos consiguiera darles algo a cambio en la barriada% tal vez me ayuden con la receta</t>
  </si>
  <si>
    <t>Parece la matriarca del lugar. Llámalo sexto sentido% pero tiene pinta de saber cocinar de maravilla</t>
  </si>
  <si>
    <t>PHRASE_DIALOG_LAST</t>
  </si>
  <si>
    <t>Last one</t>
  </si>
  <si>
    <t>ROOM_ID</t>
  </si>
  <si>
    <t>BackgroundSprite</t>
  </si>
  <si>
    <t>BackgroundMusic</t>
  </si>
  <si>
    <t>NeededBackgrounds_Sprites</t>
  </si>
  <si>
    <t>NeededItems</t>
  </si>
  <si>
    <t>NeededPrefabs</t>
  </si>
  <si>
    <t>NeededSounds</t>
  </si>
  <si>
    <t>BackgroundActionConditions (6s)</t>
  </si>
  <si>
    <t>OnEntryConditions</t>
  </si>
  <si>
    <t>OnExitConditions</t>
  </si>
  <si>
    <t>BACKGROUND_HIVE1_ROOM1, SPRITE_ITEM_DECO_BED_LAYER</t>
  </si>
  <si>
    <t>ITEM_HIVE1_CHEST, ITEM_HIVE1_WARDROBE, ITEM_HIVE1_WARDROBE_OPENED, ITEM_GENERIC_DOOR1, ITEM_HIVE1_PERFUME, ITEM_SOAP_PICKABLE, ITEM_HIVE1_BED, ITEM_PLAYER_MAIN</t>
  </si>
  <si>
    <t>UNCHAIN_RECAP_EXTRAPERLO_GARDEN_IN_ROOM, UNCHAIN_RECAP_DREAM_1</t>
  </si>
  <si>
    <t>BACKGROUND_HIVE1_CORRIDOR1, BACKGROUND_HIVE1_CORRIDOR1_N</t>
  </si>
  <si>
    <t>ITEM_GENERIC_DOOR1, ITEM_HIVE1_NPC_REME, ITEM_PLAYER_MAIN, ITEM_DOOR_SERVICE_HIVE, ITEM_DOOR_SERVICE_HIVE_OPENED, ITEM_WINDOW_GIANT_ROACH</t>
  </si>
  <si>
    <t>MUSIC_INN, SOUND_MOP_1, SOUND_MOP_2, SOUND_MOP_STICK_ON_FLOOR, MUSIC_ROACH_SWARM</t>
  </si>
  <si>
    <t>HIVE1_HALL_1</t>
  </si>
  <si>
    <t>BACKGROUND_HIVE1_HALL1, BACKGROUND_HIVE1_HALL1_N</t>
  </si>
  <si>
    <t>ITEM_GENERIC_DOOR1, ITEM_GENERIC_DOOR2, ITEM_HIVE1_AD_BOARD, ITEM_HIVE1_EXIT_DOOR, ITEM_HIVE1_POOR_MAN_WC, ITEM_HIVE1_SHOELACE, ITEM_HIVE1_MAN_WC_CURED, ITEM_PLAYER_MAIN</t>
  </si>
  <si>
    <t>HIVE1_WC_1</t>
  </si>
  <si>
    <t>BACKGROUND_HIVE1_WC, BACKGROUND_HIVE1_WC_N</t>
  </si>
  <si>
    <t>ITEM_GENERIC_DOOR1, ITEM_HIVE1_BASIN, ITEM_HIVE1_POOR_MAN_WC, ITEM_HIVE1_ROACH_HEAD, ITEM_HIVE1_PIPE, ITEM_PLAYER_MAIN</t>
  </si>
  <si>
    <t>CITY1_STREET_1</t>
  </si>
  <si>
    <t>BACKGROUND_CITY1_STREET1, BACKGROUND_CITY1_STREET1_N</t>
  </si>
  <si>
    <t>MUSIC_CITY_1, SOUND_AMBIENCE_CITY_NIGHT</t>
  </si>
  <si>
    <t>BACKGROUND_CITY1_STREET1, BACKGROUND_CITY1_STREET1_N, SPRITE_CITY1_STREET1_MOV_FACHADE, SPRITE_CITY1_STREET1_MOV_BLIND</t>
  </si>
  <si>
    <t>ITEM_GENERIC_DOOR1, ITEM_STREET1_STH_DOOR, ITEM_STREET1_CENTER_DOOR, ITEM_PLAYER_MAIN</t>
  </si>
  <si>
    <t>UNCHAIN_STREET1_FACHADE_ONLY_DAY, UNCHAIN_STREET1_FACHADE_ONLY_NIGHT</t>
  </si>
  <si>
    <t>CITY1_STREET_2</t>
  </si>
  <si>
    <t>BACKGROUND_CITY1_STREET2, BACKGROUND_CITY1_STREET2_N</t>
  </si>
  <si>
    <t>BACKGROUND_CITY1_STREET2, BACKGROUND_CITY1_STREET2_N, SPRITE_CITY1_STREET2_MOV_PEOPLE, SPRITE_CITY1_STREET2_MOV_BLIND</t>
  </si>
  <si>
    <t>ITEM_STREET2_PERIPH_DOOR, ITEM_PHARMACY_DOOR, ITEM_ELMANYO_DOOR, ITEM_PLAYER_MAIN</t>
  </si>
  <si>
    <t>PHARMACY_1</t>
  </si>
  <si>
    <t>ITEM_GENERIC_DOOR1, ITEM_PHARMACY_NPC_OWNER, ITEM_PHARMACY_REME_ILL_AND_PHARM, ITEM_PHARMACY_INKWELL, ITEM_PHARMACY_INK, ITEM_PLAYER_MAIN</t>
  </si>
  <si>
    <t>MANYO_1</t>
  </si>
  <si>
    <t>BACKGROUND_CITY1_MANYO, BACKGROUND_CITY1_MANYO_NIGHT</t>
  </si>
  <si>
    <t>ITEM_CITY1_UMBRELLA, ITEM_GENERIC_DOOR1, ITEM_ELMANYO_OWNER, ITEM_STUFFED_DEER, ITEM_ELMANYO_OWNER_NIGHT, ITEM_ELMANYO_CROWD, ITEM_PLAYER_MAIN</t>
  </si>
  <si>
    <t>MUSIC_MANYO, SOUND_AMBIENCE_MANYO_NIGHT</t>
  </si>
  <si>
    <t>HIVE1_BACKALLEY</t>
  </si>
  <si>
    <t>BACKGROUND_BACKALLEY, BACKGROUND_BACKALLEY_NIGHT</t>
  </si>
  <si>
    <t>SOUND_AMBIENCE_CITY_DAY, SOUND_AMBIENCE_CITY_NIGHT</t>
  </si>
  <si>
    <t>ITEM_GENERIC_DOOR1, ITEM_HIVE1_VALVE_BOX, ITEM_HIVE1_BACKALLEY_PIPE, ITEM_HIVE1_VALVE, ITEM_HIVE1_WATER_FLOWING, ITEM_PLAYER_MAIN</t>
  </si>
  <si>
    <t>SOUND_AMBIENCE_CITY_DAY, SOUND_AMBIENCE_CITY_NIGHT, SOUND_AMBIENCE_WATER_FLOW</t>
  </si>
  <si>
    <t>CITY1_SOUTH_STREET_1</t>
  </si>
  <si>
    <t>BACKGROUND_CITY1_SOUTH_STREET_1, BACKGROUND_CITY1_SOUTH_STREET_1_NIGHT</t>
  </si>
  <si>
    <t>ITEM_GENERIC_DOOR1, ITEM_GENERIC_DOOR2, ITEM_PLAYER_MAIN</t>
  </si>
  <si>
    <t>CITY1_SOUTH_STREET_2</t>
  </si>
  <si>
    <t>BACKGROUND_CITY1_SOUTH_STREET_2, BACKGROUND_CITY1_SOUTH_STREET_2_NIGHT</t>
  </si>
  <si>
    <t>MUSIC_SOUTH_NEIGH, SOUND_AMBIENCE_CITY_NIGHT</t>
  </si>
  <si>
    <t>ITEM_GENERIC_DOOR1, ITEM_NPC_FIK, ITEM_DOOR_EXTRAPERLO, ITEM_FOREGROUND_EXTRP_WALL, ITEM_DOOR_EXTRAPERLO_REAL, ITEM_PLAYER_MAIN</t>
  </si>
  <si>
    <t>MUSIC_SOUTH_NEIGH, SOUND_AMBIENCE_CITY_NIGHT, SOUND_AMBIENCE_OUTSIDE_PUB</t>
  </si>
  <si>
    <t>BACKGROUND_CITY1_EXTRAPERLO, SPRITE_EXTRAPERLO_COUPLE_TALKING</t>
  </si>
  <si>
    <t>ITEM_GENERIC_DOOR1, ITEM_NPC_WAITER, ITEM_GENERIC_DOOR2, ITEM_NPC_UNKNOWN_WOMEN, ITEM_OBJECT_OLIVE_BOWL, ITEM_OBJECT_BEER_FULL, ITEM_PICKABLE_OLIVE, ITEM_PLAYER_MAIN</t>
  </si>
  <si>
    <t>MUSIC_EXTRAPERLO, SOUND_AMBIENCE_INSIDE_PUB</t>
  </si>
  <si>
    <t>CITY1_EXTRAPERLO2</t>
  </si>
  <si>
    <t>BACKGROUND_CITY1_EXTRAPERLO2, SPRITE_FIRE_DANCING, SPRITE_EXTRAPERLO_TABLE1_STEADY, SPRITE_EXTRAPERLO_TABLE2_STEADY</t>
  </si>
  <si>
    <t>ITEM_GENERIC_DOOR1, ITEM_NPC_ARTURO_EXTRAPERLO, ITEM_NPC_CLOWN, ITEM_NPC_SILVANA_EXTRAPERLO, ITEM_PLAYER_MAIN</t>
  </si>
  <si>
    <t>SOUND_AMBIENCE_INSIDE_PUB, MUSIC_EXTRAPERLO</t>
  </si>
  <si>
    <t>ITEM_GENERIC_DOOR1, ITEM_INNOCENT_PLANT, ITEM_NPC_SILVANA_EXTRAPERLO_GARD, ITEM_PLAYER_MAIN</t>
  </si>
  <si>
    <t>BACKGROUND_EXTRAPERLO_GARDEN, SPRITE_MAINCHAR_SEATED_STEADY</t>
  </si>
  <si>
    <t>ITEM_GENERIC_DOOR1, ITEM_NPC_SILVANA_EXTRAPERLO_GARD_SEAT, ITEM_PAMFRY, ITEM_FIK_EXTRAPERLO_GARDEN, ITEM_NPC_GERMAN</t>
  </si>
  <si>
    <t>PREFAB_MAINCHAR_SEATED</t>
  </si>
  <si>
    <t>DREAM_1_CORRIDOR</t>
  </si>
  <si>
    <t>ITEM_GENERIC_DOOR1, ITEM_DREAM_RADIO, ITEM_DREAM_CLOCK, ITEM_GENERIC_DOOR2, ITEM_PLAYER_MAIN, ITEM_MAINCHAR_DREAM</t>
  </si>
  <si>
    <t>UNCHAIN_ENTRY_DIALOG_DREAM_1, UNCHAIN_CLEAR_EPHIMERAL_ON</t>
  </si>
  <si>
    <t>DREAM_1_FRAMEWORK</t>
  </si>
  <si>
    <t>ITEM_GENERIC_DOOR1, ITEM_CLASSROOM_PORTRAIT, ITEM_MAINCHAR_DREAM</t>
  </si>
  <si>
    <t>DREAM_1_KITCHEN</t>
  </si>
  <si>
    <t>ITEM_GENERIC_DOOR1, ITEM_MAINCHAR_DREAM</t>
  </si>
  <si>
    <t>DREAM_1_BEDROOM</t>
  </si>
  <si>
    <t>ITEM_GENERIC_DOOR1, ITEM_NPC_SULTAN, ITEM_NPC_PILAR_DREAM_1, ITEM_MAINCHAR_DREAM</t>
  </si>
  <si>
    <t>BACKGROUND_DREAM_1_BEDROOM_NIGHT, SPRITE_MAINCHAR_STEADY_BED</t>
  </si>
  <si>
    <t>ITEM_GENERIC_DOOR1, ITEM_NPC_PILAR_DREAM_1, ITEM_MAINCHAR_DREAM</t>
  </si>
  <si>
    <t>PREFAB_MAINCHAR_BED</t>
  </si>
  <si>
    <t>ITEM_GENERIC_DOOR1, ITEM_NPC_SULTAN, ITEM_DOOR_DREAM_1_EXIT, ITEM_MAINCHAR_DREAM</t>
  </si>
  <si>
    <t>DREAM_1_KITCHEN_NIGHT</t>
  </si>
  <si>
    <t>ITEM_GENERIC_DOOR1, ITEM_NPC_ALTER_EGO_1, ITEM_MAINCHAR_DREAM, ITEM_PICKABLE_FIG</t>
  </si>
  <si>
    <t>MAP_1</t>
  </si>
  <si>
    <t>BACKGROUND_MAP_1, BACKGROUND_MAP_1_NIGHT</t>
  </si>
  <si>
    <t>ITEM_GENERIC_DOOR1, ITEM_PINPOINT_MAP, ITEM_MAP_POINT_PERIPH_NEIGH, ITEM_MAP_POINT_CITY_CENTER, ITEM_MAP_POINT_SOUTH_NEIGH, ITEM_MAP_POINT_SLUM_FACTORY</t>
  </si>
  <si>
    <t>STATION_1</t>
  </si>
  <si>
    <t>BACKGROUND_STATION_1, BACKGROUND_STATION_1_NIGHT</t>
  </si>
  <si>
    <t>ITEM_GENERIC_DOOR1, ITEM_PLAYER_MAIN</t>
  </si>
  <si>
    <t>BACKGROUND_UNDER_BED, SPRITE_RUST_POWDER_UNIT</t>
  </si>
  <si>
    <t>ITEM_GENERIC_DOOR1, ITEM_PICKABLE_KEY_HIVE_ROOM, ITEM_PICKABLE_COIN25, ITEM_RUSTY_SPRING, ITEM_PICKABLE_RUST_POWDER, ITEM_KEY_SCRATCHER, ITEM_RUST_UNITS_GENERATOR</t>
  </si>
  <si>
    <t>PREFAB_RUST_UNIT</t>
  </si>
  <si>
    <t>UNCHAIN_UNSPAWN_KEY_SCRATCHER, UNCHAIN_FALLBACK_SET_SPRITE_RUST_POWDER</t>
  </si>
  <si>
    <t>SERVICE_ROOM</t>
  </si>
  <si>
    <t>BACKGROUND_SERVICE_ROOM_DAY, FOREGROUND_SERVICE_ROOM_DAY</t>
  </si>
  <si>
    <t>ITEM_GENERIC_DOOR1, ITEM_PLAYER_MAIN, ITEM_GUMBALL_MACHINE, ITEM_PICKABLE_MIX_JAR, ITEM_PICKABLE_TAR_CAN, ITEM_SQUAT_WC, ITEM_CLATTERING_COIN, ITEM_COIN_IN_CRACK, ITEM_GENERIC_DOOR2, ITEM_PICKABLE_IMPERFECT_MIX_JAR, ITEM_PICKABLE_PERFECT_MIX_JAR</t>
  </si>
  <si>
    <t>UNCHAINER_UNCLICKABLE_CLATTERING_COIN, UNCHAIN_DESTROY_CLATTERING_COIN, UNCHAIN_DESTROY_TAR_CAN, UNCHAIN_SERVICE_ROOM_JAR_INIT_STATE</t>
  </si>
  <si>
    <t>BACKGROUND_HIVE1_LAB, SPRITE_RUST_POWDER_UNIT</t>
  </si>
  <si>
    <t>ITEM_GENERIC_DOOR1, ITEM_LAB_MAGAZINE, ITEM_PICKABLE_LAB_FLOORWASHER, ITEM_PICKABLE_LAB_DETERGENT, ITEM_PICKABLE_LAB_INSECTICIDE, ITEM_PICKABLE_LAB_VARNISH, ITEM_LAB_JUG</t>
  </si>
  <si>
    <t>MUSIC_ROOM_PUZZLE, SOUND_LIQUID_POUR_JUG</t>
  </si>
  <si>
    <t>SLUM_FACTORY</t>
  </si>
  <si>
    <t>BACKGROUND_SLUM_FACTORY_DAY, BACKGROUND_SLUM_FACTORY_NIGHT</t>
  </si>
  <si>
    <t>SLUM_NEIGH</t>
  </si>
  <si>
    <t>ITEM_PLAYER_MAIN, ITEM_GENERIC_DOOR1, ITEM_NPC_MATRIARCH, ITEM_NPC_SLUM_KIDS</t>
  </si>
  <si>
    <t>ROOM_LAST</t>
  </si>
  <si>
    <t>CHARACTER_TYPE_ID</t>
  </si>
  <si>
    <t>Value</t>
  </si>
  <si>
    <t>CHARACTER_BLANK</t>
  </si>
  <si>
    <t>CHARACTER_SILVANA</t>
  </si>
  <si>
    <t>ANIMATION_ID</t>
  </si>
  <si>
    <t>ITEM_USE_ANIMATION_NONE</t>
  </si>
  <si>
    <t>ITEM_USE_ANIMATION_NORMAL</t>
  </si>
  <si>
    <t>ITEM_USE_ANIMATION_TAKE</t>
  </si>
  <si>
    <t>ITEM_USE_ANIMATION_CONFUSE</t>
  </si>
  <si>
    <t>ITEM_USE_ANIMATION_STARE_SCREEN</t>
  </si>
  <si>
    <t>ITEM_USE_ANIMATION_POUR</t>
  </si>
  <si>
    <t>INTERACTION_ID</t>
  </si>
  <si>
    <t>INTERACTION_MOVE</t>
  </si>
  <si>
    <t>ACTION_TYPE_ID</t>
  </si>
  <si>
    <t>ACTION_TYPE_NOTIF</t>
  </si>
  <si>
    <t>ANIMATION_TRIGGER_ID</t>
  </si>
  <si>
    <t>Comment</t>
  </si>
  <si>
    <t>No trigger</t>
  </si>
  <si>
    <t>One shot triggers (auto return to auto steady)</t>
  </si>
  <si>
    <t>ANIMATION_TRIGGER_SIX</t>
  </si>
  <si>
    <t>ANIMATION_TRIGGER_ELEVEN</t>
  </si>
  <si>
    <t>ANIMATION_TRIGGER_TWELVE</t>
  </si>
  <si>
    <t>ANIMATION_TRIGGER_THIRTEEN</t>
  </si>
  <si>
    <t>ANIMATION_TRIGGER_FOURTEEN</t>
  </si>
  <si>
    <t>ANIMATION_TRIGGER_FIFTEEN</t>
  </si>
  <si>
    <t>ANIMATION_TRIGGER_SIXTEEN</t>
  </si>
  <si>
    <t>Cycles talk and walk have substeps inside</t>
  </si>
  <si>
    <t>ANIMATION_TRIGGER_CYCLE_SEVEN</t>
  </si>
  <si>
    <t>ANIMATION_TRIGGER_CYCLE_EIGHT</t>
  </si>
  <si>
    <t>ANIMATION_TRIGGER_CYCLE_NINE</t>
  </si>
  <si>
    <t>ANIMATION_TRIGGER_CYCLE_TEN</t>
  </si>
  <si>
    <t>ANIMATION_TRIGGER_CYCLE_ELEVEN</t>
  </si>
  <si>
    <t>ANIMATION_TRIGGER_CYCLE_TWELVE</t>
  </si>
  <si>
    <t>Steady change automatically default state and auto_steady trgt</t>
  </si>
  <si>
    <t>ANIMATION_TRIGGER_STEADY_THREE</t>
  </si>
  <si>
    <t>ANIMATION_TRIGGER_STEADY_FOUR</t>
  </si>
  <si>
    <t>ANIMATION_TRIGGER_STEADY_FIVE</t>
  </si>
  <si>
    <t>ANIMATION_TRIGGER_STEADY_SIX</t>
  </si>
  <si>
    <t>ANIMATION_TRIGGER_STEADY_SEVEN</t>
  </si>
  <si>
    <t>ANIMATION_TRIGGER_STEADY_EIGHT</t>
  </si>
  <si>
    <t>Same as cycle but named as talk</t>
  </si>
  <si>
    <t>ANIMATION_TRIGGER_TALK_FOUR</t>
  </si>
  <si>
    <t>ANIMATION_TRIGGER_TALK_FIVE</t>
  </si>
  <si>
    <t>ANIMATION_TRIGGER_TALK_SIX</t>
  </si>
  <si>
    <t>ANIMATION_TRIGGER_TALK_SEVEN</t>
  </si>
  <si>
    <t>ANIMATION_TRIGGER_TALK_EIGHT</t>
  </si>
  <si>
    <t>Special trigger which gives last steady trigger taken</t>
  </si>
  <si>
    <t>ANIMATION_TRIGGER_WALK_FRONT</t>
  </si>
  <si>
    <t>Character walks</t>
  </si>
  <si>
    <t>ANIMATION_TRIGGER_WALK_BACK</t>
  </si>
  <si>
    <t>ANIMATION_TRIGGER_WALK_CORNERBACK</t>
  </si>
  <si>
    <t>ANIMATION_TRIGGER_WALK_CORNERFRONT</t>
  </si>
  <si>
    <t>ANIMATION_TRIGGER_WALK_SIDE</t>
  </si>
  <si>
    <t>ITEM_FAMILY_TYPE_ID</t>
  </si>
  <si>
    <t>MOMENT_TYPE_ID</t>
  </si>
  <si>
    <t>CUSTOM_FUNCTION_ID</t>
  </si>
  <si>
    <t>CUSTOM_FUNCTION_LAST</t>
  </si>
  <si>
    <t>EVENT_ID</t>
  </si>
  <si>
    <t>EVENT_MASTER_CHANGE_ROOM</t>
  </si>
  <si>
    <t>EVENT_MASTER_CHANGE_MOMENT_DAY</t>
  </si>
  <si>
    <t>EVENT_PHARMACY_EMPTY</t>
  </si>
  <si>
    <t>EVENT_COCKROACH_CHEATED</t>
  </si>
  <si>
    <t>EVENT_EXTRAPERLO_ARTURO_MENTIONED_SILVANA</t>
  </si>
  <si>
    <t>EVENT_RECOVERED_COIN25</t>
  </si>
  <si>
    <t>EVENT_LAST</t>
  </si>
  <si>
    <t>MEMENTO_PARENT_ID</t>
  </si>
  <si>
    <t>Sprite</t>
  </si>
  <si>
    <t>AssocItem</t>
  </si>
  <si>
    <t>AssocChar</t>
  </si>
  <si>
    <t>Children</t>
  </si>
  <si>
    <t>MEMENTO_PARENT_NONE</t>
  </si>
  <si>
    <t>MEMENTO_PARENT_JOB_FIND_1</t>
  </si>
  <si>
    <t>MEMENTO_PARENT_REME</t>
  </si>
  <si>
    <t>MEMENTO_PARENT_RECIPE_MISSION</t>
  </si>
  <si>
    <t>MEMENTO_PARENT_ROACHES</t>
  </si>
  <si>
    <t>MEMENTO_PARENT_HIVE_LAB</t>
  </si>
  <si>
    <t>MEMENTO_PARENT_LAST</t>
  </si>
  <si>
    <t>MEMENTO_ID</t>
  </si>
  <si>
    <t>Parent</t>
  </si>
  <si>
    <t>Final</t>
  </si>
  <si>
    <t>MEMENTO_POOR_MAN_WC_2</t>
  </si>
  <si>
    <t>MEMENTO_POOR_MAN_WC_3</t>
  </si>
  <si>
    <t>MEMENTO_LAST</t>
  </si>
  <si>
    <t>EVENT_COMBI_ID</t>
  </si>
  <si>
    <t>DETAIL_ID</t>
  </si>
  <si>
    <t>PREFAB_ADDRESSABLE</t>
  </si>
  <si>
    <t>PrefabEnum.PREFAB_NONE</t>
  </si>
  <si>
    <t>PrefabEnum.PREFAB_DETAIL_EXTRAPERLO</t>
  </si>
  <si>
    <t>PrefabEnum.PREFAB_MAINCHARACTER</t>
  </si>
  <si>
    <t>PrefabEnum.PREFAB_MAINCHARACTER_SEATED</t>
  </si>
  <si>
    <t>PrefabEnum.PREFAB_MAINCHARACTER_DREAM</t>
  </si>
  <si>
    <t>PrefabEnum.PREFAB_MAINCHARACTER_BED</t>
  </si>
  <si>
    <t>PrefabEnum.PREFAB_PINPOINT_MAP</t>
  </si>
  <si>
    <t>PrefabEnum.PREFAB_RUST_UNIT</t>
  </si>
  <si>
    <t>DETAIL_LAST</t>
  </si>
  <si>
    <t>ANIMATION_LAST</t>
  </si>
  <si>
    <t>CARD_GAME_ID</t>
  </si>
  <si>
    <t>TASK</t>
  </si>
  <si>
    <t>PRIO</t>
  </si>
  <si>
    <t>DONE</t>
  </si>
  <si>
    <t>ONGOING</t>
  </si>
  <si>
    <t>Trophies</t>
  </si>
  <si>
    <t>Waypoint of action could be imposed by COND_USE</t>
  </si>
  <si>
    <t>Escena rejas Ang. Bruna</t>
  </si>
  <si>
    <t>Character 'Señor desubicado'</t>
  </si>
  <si>
    <t>Questioning 'Mosca puñetera'</t>
  </si>
  <si>
    <t>Phrase factory 2 laws. One man in both places and two objects same place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</si>
</sst>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color theme="1"/>
      <name val="Calibri"/>
      <scheme val="minor"/>
    </font>
    <font>
      <color theme="1"/>
      <name val="Calibri"/>
    </font>
    <font>
      <sz val="11.0"/>
      <color rgb="FF000000"/>
      <name val="Calibri"/>
    </font>
    <font>
      <sz val="11.0"/>
      <color theme="1"/>
      <name val="Calibri"/>
    </font>
    <font>
      <sz val="11.0"/>
      <color rgb="FF434343"/>
      <name val="Roboto"/>
    </font>
    <font>
      <sz val="11.0"/>
      <color rgb="FF000011"/>
      <name val="Roboto"/>
    </font>
  </fonts>
  <fills count="8">
    <fill>
      <patternFill patternType="none"/>
    </fill>
    <fill>
      <patternFill patternType="lightGray"/>
    </fill>
    <fill>
      <patternFill patternType="solid">
        <fgColor rgb="FFFFFF00"/>
        <bgColor rgb="FFFFFF00"/>
      </patternFill>
    </fill>
    <fill>
      <patternFill patternType="solid">
        <fgColor rgb="FF6D9EEB"/>
        <bgColor rgb="FF6D9EEB"/>
      </patternFill>
    </fill>
    <fill>
      <patternFill patternType="solid">
        <fgColor rgb="FF4A86E8"/>
        <bgColor rgb="FF4A86E8"/>
      </patternFill>
    </fill>
    <fill>
      <patternFill patternType="solid">
        <fgColor rgb="FFC9DAF8"/>
        <bgColor rgb="FFC9DAF8"/>
      </patternFill>
    </fill>
    <fill>
      <patternFill patternType="solid">
        <fgColor rgb="FFF6F8F9"/>
        <bgColor rgb="FFF6F8F9"/>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1" fillId="2" fontId="1" numFmtId="0" xfId="0" applyAlignment="1" applyBorder="1" applyFill="1" applyFont="1">
      <alignment readingOrder="0" shrinkToFit="0" vertical="center" wrapText="0"/>
    </xf>
    <xf borderId="1" fillId="2" fontId="1" numFmtId="0" xfId="0" applyAlignment="1" applyBorder="1" applyFill="1" applyFont="1">
      <alignment horizontal="center" readingOrder="0" shrinkToFit="0" vertical="center" wrapText="0"/>
    </xf>
    <xf borderId="1" fillId="2" fontId="1" numFmtId="0" xfId="0" applyAlignment="1" applyBorder="1" applyFill="1" applyFont="1">
      <alignment readingOrder="0" shrinkToFit="0" vertical="center" wrapText="0"/>
    </xf>
    <xf borderId="1" fillId="3" fontId="1" numFmtId="0" xfId="0" applyAlignment="1" applyBorder="1" applyFill="1" applyFont="1">
      <alignment readingOrder="0" shrinkToFit="0" vertical="center" wrapText="0"/>
    </xf>
    <xf borderId="1" fillId="4" fontId="1" numFmtId="0" xfId="0" applyAlignment="1" applyBorder="1" applyFill="1" applyFont="1">
      <alignment shrinkToFit="0" vertical="center" wrapText="0"/>
    </xf>
    <xf borderId="1" fillId="2" fontId="1" numFmtId="0" xfId="0" applyAlignment="1" applyBorder="1" applyFill="1" applyFont="1">
      <alignment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5" fontId="3" numFmtId="0" xfId="0" applyAlignment="1" applyFill="1" applyFont="1">
      <alignment shrinkToFit="0" vertical="center" wrapText="0"/>
    </xf>
    <xf borderId="0" fillId="5" fontId="3" numFmtId="0" xfId="0" applyAlignment="1" applyFill="1" applyFont="1">
      <alignment readingOrder="0" shrinkToFit="0" vertical="center" wrapText="0"/>
    </xf>
    <xf borderId="0" fillId="0" fontId="3" numFmtId="0" xfId="0" applyAlignment="1" applyFont="1">
      <alignment shrinkToFit="0" vertical="center" wrapText="0"/>
    </xf>
    <xf quotePrefix="1" borderId="0" fillId="0" fontId="3" numFmtId="0" xfId="0" applyAlignment="1" applyFont="1">
      <alignment readingOrder="0" shrinkToFit="0" vertical="center" wrapText="0"/>
    </xf>
    <xf borderId="0" fillId="0" fontId="1" numFmtId="0" xfId="0" applyAlignment="1" applyFont="1">
      <alignment readingOrder="0"/>
    </xf>
    <xf borderId="0" fillId="0" fontId="2"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4" numFmtId="0" xfId="0" applyAlignment="1" applyFont="1">
      <alignment vertical="bottom"/>
    </xf>
    <xf borderId="0" fillId="0" fontId="3" numFmtId="0" xfId="0" applyAlignment="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horizontal="lef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0"/>
    </xf>
    <xf borderId="1" fillId="0" fontId="1"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0"/>
    </xf>
    <xf borderId="1" fillId="6" fontId="5" numFmtId="0" xfId="0" applyAlignment="1" applyBorder="1" applyFill="1" applyFont="1">
      <alignment shrinkToFit="0" vertical="center" wrapText="1"/>
    </xf>
    <xf borderId="1" fillId="6" fontId="5" numFmtId="0" xfId="0" applyAlignment="1" applyBorder="1" applyFill="1" applyFont="1">
      <alignment shrinkToFit="0" vertical="center" wrapText="0"/>
    </xf>
    <xf borderId="1" fillId="6" fontId="5" numFmtId="0" xfId="0" applyAlignment="1" applyBorder="1" applyFill="1" applyFont="1">
      <alignment horizontal="center" shrinkToFit="0" vertical="center" wrapText="0"/>
    </xf>
    <xf borderId="1" fillId="6" fontId="5" numFmtId="0" xfId="0" applyAlignment="1" applyBorder="1" applyFill="1" applyFont="1">
      <alignment horizontal="center" readingOrder="0" shrinkToFit="0" vertical="center" wrapText="0"/>
    </xf>
    <xf borderId="1" fillId="6" fontId="5" numFmtId="0" xfId="0" applyAlignment="1" applyBorder="1" applyFill="1" applyFont="1">
      <alignment shrinkToFit="0" vertical="center" wrapText="1"/>
    </xf>
    <xf borderId="1" fillId="6" fontId="5" numFmtId="0" xfId="0" applyAlignment="1" applyBorder="1" applyFill="1" applyFont="1">
      <alignment horizontal="center" readingOrder="0" shrinkToFit="0" vertical="center" wrapText="1"/>
    </xf>
    <xf borderId="1" fillId="6" fontId="5" numFmtId="0" xfId="0" applyAlignment="1" applyBorder="1" applyFill="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2" fillId="7" fontId="5" numFmtId="0" xfId="0" applyAlignment="1" applyBorder="1" applyFill="1" applyFont="1">
      <alignment readingOrder="0" shrinkToFit="0" vertical="center" wrapText="0"/>
    </xf>
    <xf borderId="2" fillId="7" fontId="5" numFmtId="0" xfId="0" applyAlignment="1" applyBorder="1" applyFill="1" applyFont="1">
      <alignment readingOrder="0" shrinkToFit="0" vertical="center" wrapText="1"/>
    </xf>
    <xf borderId="2" fillId="7" fontId="5" numFmtId="0" xfId="0" applyAlignment="1" applyBorder="1" applyFill="1" applyFont="1">
      <alignment shrinkToFit="0" vertical="center" wrapText="0"/>
    </xf>
    <xf borderId="2" fillId="7" fontId="4" numFmtId="0" xfId="0" applyAlignment="1" applyBorder="1" applyFill="1" applyFont="1">
      <alignment shrinkToFit="0" vertical="center" wrapText="0"/>
    </xf>
    <xf borderId="3" fillId="7" fontId="5" numFmtId="0" xfId="0" applyAlignment="1" applyBorder="1" applyFill="1" applyFont="1">
      <alignment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horizontal="center"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2" fillId="7" fontId="5" numFmtId="0" xfId="0" applyAlignment="1" applyBorder="1" applyFill="1" applyFont="1">
      <alignment horizontal="center" shrinkToFit="0" vertical="center" wrapText="0"/>
    </xf>
    <xf borderId="2" fillId="7" fontId="5" numFmtId="0" xfId="0" applyAlignment="1" applyBorder="1" applyFill="1" applyFont="1">
      <alignment shrinkToFit="0" vertical="center" wrapText="0"/>
    </xf>
    <xf borderId="2" fillId="7" fontId="5" numFmtId="0" xfId="0" applyAlignment="1" applyBorder="1" applyFill="1" applyFont="1">
      <alignment readingOrder="0" shrinkToFit="0" vertical="center" wrapText="0"/>
    </xf>
    <xf borderId="2" fillId="7" fontId="4" numFmtId="0" xfId="0" applyAlignment="1" applyBorder="1" applyFill="1" applyFont="1">
      <alignment shrinkToFit="0" vertical="center" wrapText="0"/>
    </xf>
    <xf borderId="3" fillId="7" fontId="5" numFmtId="0" xfId="0" applyAlignment="1" applyBorder="1" applyFill="1" applyFont="1">
      <alignment shrinkToFit="0" vertical="center" wrapText="0"/>
    </xf>
    <xf borderId="2" fillId="7" fontId="5" numFmtId="0" xfId="0" applyAlignment="1" applyBorder="1" applyFill="1" applyFont="1">
      <alignment horizontal="center" readingOrder="0" shrinkToFit="0" vertical="center" wrapText="0"/>
    </xf>
    <xf borderId="2" fillId="7" fontId="5" numFmtId="0" xfId="0" applyAlignment="1" applyBorder="1" applyFill="1" applyFont="1">
      <alignment readingOrder="0" shrinkToFit="0" vertical="center" wrapText="0"/>
    </xf>
    <xf borderId="3" fillId="7" fontId="5" numFmtId="0" xfId="0" applyAlignment="1" applyBorder="1" applyFill="1" applyFont="1">
      <alignment readingOrder="0" shrinkToFit="0" vertical="center" wrapText="0"/>
    </xf>
    <xf quotePrefix="1"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1" fillId="0" fontId="1" numFmtId="0" xfId="0" applyAlignment="1" applyBorder="1" applyFont="1">
      <alignment horizontal="left" readingOrder="0" shrinkToFit="0" vertical="center" wrapText="0"/>
    </xf>
    <xf borderId="1" fillId="0" fontId="1" numFmtId="49" xfId="0" applyAlignment="1" applyBorder="1" applyFont="1" applyNumberFormat="1">
      <alignment horizontal="left" readingOrder="0" shrinkToFit="0" vertical="center" wrapText="0"/>
    </xf>
    <xf borderId="1" fillId="0" fontId="1" numFmtId="0" xfId="0" applyAlignment="1" applyBorder="1" applyFont="1">
      <alignment shrinkToFit="0" vertical="center" wrapText="0"/>
    </xf>
    <xf borderId="0" fillId="0" fontId="1" numFmtId="49" xfId="0" applyAlignment="1" applyFont="1" applyNumberFormat="1">
      <alignment horizontal="left" readingOrder="0" shrinkToFit="0" vertical="center" wrapText="1"/>
    </xf>
    <xf borderId="0" fillId="0" fontId="1" numFmtId="0" xfId="0" applyAlignment="1" applyFont="1">
      <alignment shrinkToFit="0" vertical="center" wrapText="1"/>
    </xf>
    <xf borderId="0" fillId="7" fontId="6" numFmtId="0" xfId="0" applyAlignment="1" applyFill="1" applyFont="1">
      <alignment readingOrder="0" shrinkToFit="0" vertical="center" wrapText="0"/>
    </xf>
    <xf borderId="1" fillId="0" fontId="1" numFmtId="0" xfId="0" applyAlignment="1" applyBorder="1" applyFont="1">
      <alignment horizontal="left" readingOrder="0" shrinkToFit="0" vertical="center" wrapText="0"/>
    </xf>
    <xf borderId="1" fillId="5" fontId="1" numFmtId="0" xfId="0" applyAlignment="1" applyBorder="1" applyFill="1" applyFont="1">
      <alignment readingOrder="0" shrinkToFit="0" vertical="center" wrapText="0"/>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5" fontId="1" numFmtId="0" xfId="0" applyAlignment="1" applyFill="1" applyFont="1">
      <alignment readingOrder="0"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strike/>
      </font>
      <fill>
        <patternFill patternType="solid">
          <fgColor rgb="FFB7E1CD"/>
          <bgColor rgb="FFB7E1CD"/>
        </patternFill>
      </fill>
      <border/>
    </dxf>
  </dxfs>
  <tableStyles count="36">
    <tableStyle count="4" pivot="0" name="FN-style">
      <tableStyleElement dxfId="1" type="headerRow"/>
      <tableStyleElement dxfId="2" type="firstRowStripe"/>
      <tableStyleElement dxfId="3" type="secondRowStripe"/>
      <tableStyleElement dxfId="4" size="0" type="wholeTable"/>
    </tableStyle>
    <tableStyle count="4" pivot="0" name="FN-style 2">
      <tableStyleElement dxfId="1" type="headerRow"/>
      <tableStyleElement dxfId="2" type="firstRowStripe"/>
      <tableStyleElement dxfId="3" type="secondRowStripe"/>
      <tableStyleElement dxfId="4" size="0" type="wholeTable"/>
    </tableStyle>
    <tableStyle count="4" pivot="0" name="FN-style 3">
      <tableStyleElement dxfId="1" type="headerRow"/>
      <tableStyleElement dxfId="2" type="firstRowStripe"/>
      <tableStyleElement dxfId="3" type="secondRowStripe"/>
      <tableStyleElement dxfId="4" size="0" type="wholeTable"/>
    </tableStyle>
    <tableStyle count="4" pivot="0" name="FN-style 4">
      <tableStyleElement dxfId="1" type="headerRow"/>
      <tableStyleElement dxfId="2" type="firstRowStripe"/>
      <tableStyleElement dxfId="3" type="secondRowStripe"/>
      <tableStyleElement dxfId="4" size="0" type="wholeTable"/>
    </tableStyle>
    <tableStyle count="4" pivot="0" name="VARMAP-style">
      <tableStyleElement dxfId="1" type="headerRow"/>
      <tableStyleElement dxfId="2" type="firstRowStripe"/>
      <tableStyleElement dxfId="3" type="secondRowStripe"/>
      <tableStyleElement dxfId="4" size="0" type="wholeTable"/>
    </tableStyle>
    <tableStyle count="4" pivot="0" name="SERVICES-style">
      <tableStyleElement dxfId="1" type="headerRow"/>
      <tableStyleElement dxfId="2" type="firstRowStripe"/>
      <tableStyleElement dxfId="3" type="secondRowStripe"/>
      <tableStyleElement dxfId="4" size="0" type="wholeTable"/>
    </tableStyle>
    <tableStyle count="4" pivot="0" name="ITEMS-style">
      <tableStyleElement dxfId="1" type="headerRow"/>
      <tableStyleElement dxfId="2" type="firstRowStripe"/>
      <tableStyleElement dxfId="3" type="secondRowStripe"/>
      <tableStyleElement dxfId="4" size="0" type="wholeTable"/>
    </tableStyle>
    <tableStyle count="4" pivot="0" name="ACTION_CONDS-style">
      <tableStyleElement dxfId="1" type="headerRow"/>
      <tableStyleElement dxfId="2" type="firstRowStripe"/>
      <tableStyleElement dxfId="3" type="secondRowStripe"/>
      <tableStyleElement dxfId="4" size="0" type="wholeTable"/>
    </tableStyle>
    <tableStyle count="4" pivot="0" name="ACTION_CONDS-style 2">
      <tableStyleElement dxfId="1" type="headerRow"/>
      <tableStyleElement dxfId="2" type="firstRowStripe"/>
      <tableStyleElement dxfId="3" type="secondRowStripe"/>
      <tableStyleElement dxfId="4" size="0" type="wholeTable"/>
    </tableStyle>
    <tableStyle count="4" pivot="0" name="ACTION_CONDS-style 3">
      <tableStyleElement dxfId="1" type="headerRow"/>
      <tableStyleElement dxfId="2" type="firstRowStripe"/>
      <tableStyleElement dxfId="3" type="secondRowStripe"/>
      <tableStyleElement dxfId="4" size="0" type="wholeTable"/>
    </tableStyle>
    <tableStyle count="4" pivot="0" name="SPRITES-style">
      <tableStyleElement dxfId="1" type="headerRow"/>
      <tableStyleElement dxfId="2" type="firstRowStripe"/>
      <tableStyleElement dxfId="3" type="secondRowStripe"/>
      <tableStyleElement dxfId="4" size="0" type="wholeTable"/>
    </tableStyle>
    <tableStyle count="4" pivot="0" name="SOUNDS-style">
      <tableStyleElement dxfId="1" type="headerRow"/>
      <tableStyleElement dxfId="2" type="firstRowStripe"/>
      <tableStyleElement dxfId="3" type="secondRowStripe"/>
      <tableStyleElement dxfId="4" size="0" type="wholeTable"/>
    </tableStyle>
    <tableStyle count="4" pivot="0" name="DIALOGS-style">
      <tableStyleElement dxfId="1" type="headerRow"/>
      <tableStyleElement dxfId="2" type="firstRowStripe"/>
      <tableStyleElement dxfId="3" type="secondRowStripe"/>
      <tableStyleElement dxfId="4" size="0" type="wholeTable"/>
    </tableStyle>
    <tableStyle count="4" pivot="0" name="DIALOGS-style 2">
      <tableStyleElement dxfId="1" type="headerRow"/>
      <tableStyleElement dxfId="2" type="firstRowStripe"/>
      <tableStyleElement dxfId="3" type="secondRowStripe"/>
      <tableStyleElement dxfId="4" size="0" type="wholeTable"/>
    </tableStyle>
    <tableStyle count="4" pivot="0" name="DECISIONS-style">
      <tableStyleElement dxfId="1" type="headerRow"/>
      <tableStyleElement dxfId="2" type="firstRowStripe"/>
      <tableStyleElement dxfId="3" type="secondRowStripe"/>
      <tableStyleElement dxfId="4" size="0" type="wholeTable"/>
    </tableStyle>
    <tableStyle count="4" pivot="0" name="DECISIONS-style 2">
      <tableStyleElement dxfId="1" type="headerRow"/>
      <tableStyleElement dxfId="2" type="firstRowStripe"/>
      <tableStyleElement dxfId="3" type="secondRowStripe"/>
      <tableStyleElement dxfId="4" size="0" type="wholeTable"/>
    </tableStyle>
    <tableStyle count="4" pivot="0" name="NAMES-style">
      <tableStyleElement dxfId="1" type="headerRow"/>
      <tableStyleElement dxfId="2" type="firstRowStripe"/>
      <tableStyleElement dxfId="3" type="secondRowStripe"/>
      <tableStyleElement dxfId="4" size="0" type="wholeTable"/>
    </tableStyle>
    <tableStyle count="4" pivot="0" name="PHRASES-style">
      <tableStyleElement dxfId="1" type="headerRow"/>
      <tableStyleElement dxfId="2" type="firstRowStripe"/>
      <tableStyleElement dxfId="3" type="secondRowStripe"/>
      <tableStyleElement dxfId="4" size="0" type="wholeTable"/>
    </tableStyle>
    <tableStyle count="4" pivot="0" name="ROOMS-style">
      <tableStyleElement dxfId="1" type="headerRow"/>
      <tableStyleElement dxfId="2" type="firstRowStripe"/>
      <tableStyleElement dxfId="3" type="secondRowStripe"/>
      <tableStyleElement dxfId="4" size="0" type="wholeTable"/>
    </tableStyle>
    <tableStyle count="4" pivot="0" name="TYPES-style">
      <tableStyleElement dxfId="1" type="headerRow"/>
      <tableStyleElement dxfId="2" type="firstRowStripe"/>
      <tableStyleElement dxfId="3" type="secondRowStripe"/>
      <tableStyleElement dxfId="4" size="0" type="wholeTable"/>
    </tableStyle>
    <tableStyle count="4" pivot="0" name="TYPES-style 2">
      <tableStyleElement dxfId="1" type="headerRow"/>
      <tableStyleElement dxfId="2" type="firstRowStripe"/>
      <tableStyleElement dxfId="3" type="secondRowStripe"/>
      <tableStyleElement dxfId="4" size="0" type="wholeTable"/>
    </tableStyle>
    <tableStyle count="4" pivot="0" name="TYPES-style 3">
      <tableStyleElement dxfId="1" type="headerRow"/>
      <tableStyleElement dxfId="2" type="firstRowStripe"/>
      <tableStyleElement dxfId="3" type="secondRowStripe"/>
      <tableStyleElement dxfId="4" size="0" type="wholeTable"/>
    </tableStyle>
    <tableStyle count="4" pivot="0" name="TYPES-style 4">
      <tableStyleElement dxfId="1" type="headerRow"/>
      <tableStyleElement dxfId="2" type="firstRowStripe"/>
      <tableStyleElement dxfId="3" type="secondRowStripe"/>
      <tableStyleElement dxfId="4" size="0" type="wholeTable"/>
    </tableStyle>
    <tableStyle count="4" pivot="0" name="TYPES-style 5">
      <tableStyleElement dxfId="1" type="headerRow"/>
      <tableStyleElement dxfId="2" type="firstRowStripe"/>
      <tableStyleElement dxfId="3" type="secondRowStripe"/>
      <tableStyleElement dxfId="4" size="0" type="wholeTable"/>
    </tableStyle>
    <tableStyle count="4" pivot="0" name="TYPES-style 6">
      <tableStyleElement dxfId="1" type="headerRow"/>
      <tableStyleElement dxfId="2" type="firstRowStripe"/>
      <tableStyleElement dxfId="3" type="secondRowStripe"/>
      <tableStyleElement dxfId="4" size="0" type="wholeTable"/>
    </tableStyle>
    <tableStyle count="4" pivot="0" name="TYPES-style 7">
      <tableStyleElement dxfId="1" type="headerRow"/>
      <tableStyleElement dxfId="2" type="firstRowStripe"/>
      <tableStyleElement dxfId="3" type="secondRowStripe"/>
      <tableStyleElement dxfId="4" size="0" type="wholeTable"/>
    </tableStyle>
    <tableStyle count="4" pivot="0" name="TYPES-style 8">
      <tableStyleElement dxfId="1" type="headerRow"/>
      <tableStyleElement dxfId="2" type="firstRowStripe"/>
      <tableStyleElement dxfId="3" type="secondRowStripe"/>
      <tableStyleElement dxfId="4" size="0" type="wholeTable"/>
    </tableStyle>
    <tableStyle count="4" pivot="0" name="TYPES-style 9">
      <tableStyleElement dxfId="1" type="headerRow"/>
      <tableStyleElement dxfId="2" type="firstRowStripe"/>
      <tableStyleElement dxfId="3" type="secondRowStripe"/>
      <tableStyleElement dxfId="4" size="0" type="wholeTable"/>
    </tableStyle>
    <tableStyle count="4" pivot="0" name="EVENTS-style">
      <tableStyleElement dxfId="1" type="headerRow"/>
      <tableStyleElement dxfId="2" type="firstRowStripe"/>
      <tableStyleElement dxfId="3" type="secondRowStripe"/>
      <tableStyleElement dxfId="4" size="0" type="wholeTable"/>
    </tableStyle>
    <tableStyle count="4" pivot="0" name="EVENTS-style 2">
      <tableStyleElement dxfId="1" type="headerRow"/>
      <tableStyleElement dxfId="2" type="firstRowStripe"/>
      <tableStyleElement dxfId="3" type="secondRowStripe"/>
      <tableStyleElement dxfId="4" size="0" type="wholeTable"/>
    </tableStyle>
    <tableStyle count="4" pivot="0" name="EVENTS-style 3">
      <tableStyleElement dxfId="1" type="headerRow"/>
      <tableStyleElement dxfId="2" type="firstRowStripe"/>
      <tableStyleElement dxfId="3" type="secondRowStripe"/>
      <tableStyleElement dxfId="4" size="0" type="wholeTable"/>
    </tableStyle>
    <tableStyle count="4" pivot="0" name="EVENTS-style 4">
      <tableStyleElement dxfId="1" type="headerRow"/>
      <tableStyleElement dxfId="2" type="firstRowStripe"/>
      <tableStyleElement dxfId="3" type="secondRowStripe"/>
      <tableStyleElement dxfId="4" size="0" type="wholeTable"/>
    </tableStyle>
    <tableStyle count="4" pivot="0" name="PREFABS-style">
      <tableStyleElement dxfId="1" type="headerRow"/>
      <tableStyleElement dxfId="2" type="firstRowStripe"/>
      <tableStyleElement dxfId="3" type="secondRowStripe"/>
      <tableStyleElement dxfId="4" size="0" type="wholeTable"/>
    </tableStyle>
    <tableStyle count="4" pivot="0" name="ANIMATIONS-style">
      <tableStyleElement dxfId="1" type="headerRow"/>
      <tableStyleElement dxfId="2" type="firstRowStripe"/>
      <tableStyleElement dxfId="3" type="secondRowStripe"/>
      <tableStyleElement dxfId="4" size="0" type="wholeTable"/>
    </tableStyle>
    <tableStyle count="4" pivot="0" name="ANIMATIONS-style 2">
      <tableStyleElement dxfId="1" type="headerRow"/>
      <tableStyleElement dxfId="2" type="firstRowStripe"/>
      <tableStyleElement dxfId="3" type="secondRowStripe"/>
      <tableStyleElement dxfId="4" size="0" type="wholeTable"/>
    </tableStyle>
    <tableStyle count="4" pivot="0" name="_TOD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152400</xdr:colOff>
      <xdr:row>0</xdr:row>
      <xdr:rowOff>228600</xdr:rowOff>
    </xdr:from>
    <xdr:ext cx="619125" cy="219075"/>
    <xdr:grpSp>
      <xdr:nvGrpSpPr>
        <xdr:cNvPr id="2" name="Shape 2" title="Dibujo"/>
        <xdr:cNvGrpSpPr/>
      </xdr:nvGrpSpPr>
      <xdr:grpSpPr>
        <a:xfrm>
          <a:off x="0" y="-63450"/>
          <a:ext cx="610500" cy="276900"/>
          <a:chOff x="0" y="-63450"/>
          <a:chExt cx="610500" cy="276900"/>
        </a:xfrm>
      </xdr:grpSpPr>
      <xdr:sp>
        <xdr:nvSpPr>
          <xdr:cNvPr id="3" name="Shape 3"/>
          <xdr:cNvSpPr/>
        </xdr:nvSpPr>
        <xdr:spPr>
          <a:xfrm>
            <a:off x="0" y="0"/>
            <a:ext cx="610500" cy="150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100050" y="-63450"/>
            <a:ext cx="410400" cy="2769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600"/>
              <a:t>Exec</a:t>
            </a:r>
            <a:endParaRPr sz="600"/>
          </a:p>
        </xdr:txBody>
      </xdr:sp>
    </xdr:grpSp>
    <xdr:clientData fLocksWithSheet="0"/>
  </xdr:oneCellAnchor>
  <xdr:oneCellAnchor>
    <xdr:from>
      <xdr:col>5</xdr:col>
      <xdr:colOff>333375</xdr:colOff>
      <xdr:row>3</xdr:row>
      <xdr:rowOff>123825</xdr:rowOff>
    </xdr:from>
    <xdr:ext cx="609600" cy="219075"/>
    <xdr:grpSp>
      <xdr:nvGrpSpPr>
        <xdr:cNvPr id="2" name="Shape 2" title="Dibujo"/>
        <xdr:cNvGrpSpPr/>
      </xdr:nvGrpSpPr>
      <xdr:grpSpPr>
        <a:xfrm>
          <a:off x="130100" y="80050"/>
          <a:ext cx="590400" cy="190250"/>
          <a:chOff x="130100" y="80050"/>
          <a:chExt cx="590400" cy="190250"/>
        </a:xfrm>
      </xdr:grpSpPr>
      <xdr:sp>
        <xdr:nvSpPr>
          <xdr:cNvPr id="5" name="Shape 5"/>
          <xdr:cNvSpPr/>
        </xdr:nvSpPr>
        <xdr:spPr>
          <a:xfrm>
            <a:off x="130100" y="80050"/>
            <a:ext cx="590400" cy="190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150100" y="80100"/>
            <a:ext cx="570300" cy="19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500"/>
              <a:t>EXEC</a:t>
            </a:r>
            <a:endParaRPr sz="500"/>
          </a:p>
        </xdr:txBody>
      </xdr:sp>
    </xdr:grpSp>
    <xdr:clientData fLocksWithSheet="0"/>
  </xdr:oneCellAnchor>
  <xdr:oneCellAnchor>
    <xdr:from>
      <xdr:col>12</xdr:col>
      <xdr:colOff>228600</xdr:colOff>
      <xdr:row>5</xdr:row>
      <xdr:rowOff>266700</xdr:rowOff>
    </xdr:from>
    <xdr:ext cx="866775" cy="323850"/>
    <xdr:grpSp>
      <xdr:nvGrpSpPr>
        <xdr:cNvPr id="2" name="Shape 2" title="Dibujo"/>
        <xdr:cNvGrpSpPr/>
      </xdr:nvGrpSpPr>
      <xdr:grpSpPr>
        <a:xfrm>
          <a:off x="130100" y="0"/>
          <a:ext cx="850600" cy="310200"/>
          <a:chOff x="130100" y="0"/>
          <a:chExt cx="850600" cy="310200"/>
        </a:xfrm>
      </xdr:grpSpPr>
      <xdr:sp>
        <xdr:nvSpPr>
          <xdr:cNvPr id="7" name="Shape 7"/>
          <xdr:cNvSpPr/>
        </xdr:nvSpPr>
        <xdr:spPr>
          <a:xfrm>
            <a:off x="130100" y="60050"/>
            <a:ext cx="850500" cy="240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140100" y="0"/>
            <a:ext cx="840600" cy="31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EXEC</a:t>
            </a:r>
            <a:endParaRPr sz="1400"/>
          </a:p>
        </xdr:txBody>
      </xdr:sp>
    </xdr:grpSp>
    <xdr:clientData fLocksWithSheet="0"/>
  </xdr:oneCellAnchor>
  <xdr:oneCellAnchor>
    <xdr:from>
      <xdr:col>5</xdr:col>
      <xdr:colOff>142875</xdr:colOff>
      <xdr:row>8</xdr:row>
      <xdr:rowOff>276225</xdr:rowOff>
    </xdr:from>
    <xdr:ext cx="971550" cy="390525"/>
    <xdr:grpSp>
      <xdr:nvGrpSpPr>
        <xdr:cNvPr id="2" name="Shape 2" title="Dibujo"/>
        <xdr:cNvGrpSpPr/>
      </xdr:nvGrpSpPr>
      <xdr:grpSpPr>
        <a:xfrm>
          <a:off x="180125" y="130100"/>
          <a:ext cx="950700" cy="370200"/>
          <a:chOff x="180125" y="130100"/>
          <a:chExt cx="950700" cy="370200"/>
        </a:xfrm>
      </xdr:grpSpPr>
      <xdr:sp>
        <xdr:nvSpPr>
          <xdr:cNvPr id="9" name="Shape 9"/>
          <xdr:cNvSpPr/>
        </xdr:nvSpPr>
        <xdr:spPr>
          <a:xfrm>
            <a:off x="180125" y="130100"/>
            <a:ext cx="950700" cy="360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txBox="1"/>
        </xdr:nvSpPr>
        <xdr:spPr>
          <a:xfrm>
            <a:off x="200150" y="130100"/>
            <a:ext cx="930600" cy="37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EXEC</a:t>
            </a:r>
            <a:endParaRPr sz="1400"/>
          </a:p>
        </xdr:txBody>
      </xdr:sp>
    </xdr:grpSp>
    <xdr:clientData fLocksWithSheet="0"/>
  </xdr:oneCellAnchor>
  <xdr:oneCellAnchor>
    <xdr:from>
      <xdr:col>0</xdr:col>
      <xdr:colOff>342900</xdr:colOff>
      <xdr:row>13</xdr:row>
      <xdr:rowOff>142875</xdr:rowOff>
    </xdr:from>
    <xdr:ext cx="1581150" cy="390525"/>
    <xdr:grpSp>
      <xdr:nvGrpSpPr>
        <xdr:cNvPr id="2" name="Shape 2" title="Dibujo"/>
        <xdr:cNvGrpSpPr/>
      </xdr:nvGrpSpPr>
      <xdr:grpSpPr>
        <a:xfrm>
          <a:off x="210150" y="109900"/>
          <a:ext cx="1561200" cy="370600"/>
          <a:chOff x="210150" y="109900"/>
          <a:chExt cx="1561200" cy="370600"/>
        </a:xfrm>
      </xdr:grpSpPr>
      <xdr:sp>
        <xdr:nvSpPr>
          <xdr:cNvPr id="11" name="Shape 11"/>
          <xdr:cNvSpPr/>
        </xdr:nvSpPr>
        <xdr:spPr>
          <a:xfrm>
            <a:off x="210150" y="130100"/>
            <a:ext cx="1561200" cy="35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230175" y="109900"/>
            <a:ext cx="1511100" cy="3504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Add Unchainer</a:t>
            </a:r>
            <a:endParaRPr sz="1400"/>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2" displayName="Table_autoInsertItem" name="Table_autoInsertItem" id="1">
  <tableColumns count="10">
    <tableColumn name="NewItem" id="1"/>
    <tableColumn name="NewName" id="2"/>
    <tableColumn name="NewSprite" id="3"/>
    <tableColumn name="Pickable" id="4"/>
    <tableColumn name="Spawn" id="5"/>
    <tableColumn name="Picker_Character" id="6"/>
    <tableColumn name="ObservationPhrase" id="7"/>
    <tableColumn name="TakePhrase" id="8"/>
    <tableColumn name="Room" id="9"/>
    <tableColumn name="Output" id="10"/>
  </tableColumns>
  <tableStyleInfo name="FN-style" showColumnStripes="0" showFirstColumn="1" showLastColumn="1" showRowStripes="1"/>
</table>
</file>

<file path=xl/tables/table2.xml><?xml version="1.0" encoding="utf-8"?>
<table xmlns="http://schemas.openxmlformats.org/spreadsheetml/2006/main" ref="A4:E5" displayName="Table_autoInsertRoom" name="Table_autoInsertRoom" id="2">
  <tableColumns count="5">
    <tableColumn name="NewRoom" id="1"/>
    <tableColumn name="Background" id="2"/>
    <tableColumn name="BackgroundNight" id="3"/>
    <tableColumn name="Music" id="4"/>
    <tableColumn name="Output" id="5"/>
  </tableColumns>
  <tableStyleInfo name="FN-style 2" showColumnStripes="0" showFirstColumn="1" showLastColumn="1" showRowStripes="1"/>
</table>
</file>

<file path=xl/tables/table3.xml><?xml version="1.0" encoding="utf-8"?>
<table xmlns="http://schemas.openxmlformats.org/spreadsheetml/2006/main" ref="A7:L8" displayName="Table_autoInsertDialog" name="Table_autoInsertDialog" id="3">
  <tableColumns count="12">
    <tableColumn name="NewDialog" id="1"/>
    <tableColumn name="IntroPhrase" id="2"/>
    <tableColumn name="Talkers" id="3"/>
    <tableColumn name="AddAction" id="4"/>
    <tableColumn name="AddSounds" id="5"/>
    <tableColumn name="ItemDest" id="6"/>
    <tableColumn name="Option1" id="7"/>
    <tableColumn name="Option2" id="8"/>
    <tableColumn name="Option3" id="9"/>
    <tableColumn name="Option4" id="10"/>
    <tableColumn name="Option5" id="11"/>
    <tableColumn name="Option6" id="12"/>
  </tableColumns>
  <tableStyleInfo name="FN-style 3" showColumnStripes="0" showFirstColumn="1" showLastColumn="1" showRowStripes="1"/>
</table>
</file>

<file path=xl/tables/table4.xml><?xml version="1.0" encoding="utf-8"?>
<table xmlns="http://schemas.openxmlformats.org/spreadsheetml/2006/main" ref="A10:E11" displayName="Table_autoInsertMemento" name="Table_autoInsertMemento" id="4">
  <tableColumns count="5">
    <tableColumn name="NewMementoParent" id="1"/>
    <tableColumn name="MementoIconSprite" id="2"/>
    <tableColumn name="MementoParentPhrase" id="3"/>
    <tableColumn name="Mementos" id="4"/>
    <tableColumn name="MementoPhrases" id="5"/>
  </tableColumns>
  <tableStyleInfo name="FN-style 4" showColumnStripes="0" showFirstColumn="1" showLastColumn="1" showRowStripes="1"/>
</table>
</file>

<file path=xl/tables/table5.xml><?xml version="1.0" encoding="utf-8"?>
<table xmlns="http://schemas.openxmlformats.org/spreadsheetml/2006/main" ref="A1:S22" displayName="Table_Varmap" name="Table_Varmap" id="5">
  <tableColumns count="19">
    <tableColumn name="N" id="1"/>
    <tableColumn name="ENUM_ID" id="2"/>
    <tableColumn name="TYPE" id="3"/>
    <tableColumn name="SAFE" id="4"/>
    <tableColumn name="ARRAY" id="5"/>
    <tableColumn name="DEFVALUE" id="6"/>
    <tableColumn name="SAVE" id="7"/>
    <tableColumn name="Separator" id="8"/>
    <tableColumn name="GameMaster" id="9"/>
    <tableColumn name="InputMaster" id="10"/>
    <tableColumn name="LevelMaster" id="11"/>
    <tableColumn name="GraphicsMaster" id="12"/>
    <tableColumn name="SoundMaster" id="13"/>
    <tableColumn name="GameMenu" id="14"/>
    <tableColumn name="DialogMaster" id="15"/>
    <tableColumn name="PlayerMaster" id="16"/>
    <tableColumn name="ItemMaster" id="17"/>
    <tableColumn name="CardMaster" id="18"/>
    <tableColumn name="GameEventMaster" id="19"/>
  </tableColumns>
  <tableStyleInfo name="VARMAP-style" showColumnStripes="0" showFirstColumn="1" showLastColumn="1" showRowStripes="1"/>
</table>
</file>

<file path=xl/tables/table6.xml><?xml version="1.0" encoding="utf-8"?>
<table xmlns="http://schemas.openxmlformats.org/spreadsheetml/2006/main" ref="A1:Q57" displayName="Table_Services" name="Table_Services" id="6">
  <tableColumns count="17">
    <tableColumn name="N" id="1"/>
    <tableColumn name="SERVICE_ID" id="2"/>
    <tableColumn name="SPECIAL_DELEGATE" id="3"/>
    <tableColumn name="SERVICE_ROUTE" id="4"/>
    <tableColumn name="Description" id="5"/>
    <tableColumn name="Separator" id="6"/>
    <tableColumn name="GameMaster" id="7"/>
    <tableColumn name="InputMaster" id="8"/>
    <tableColumn name="LevelMaster" id="9"/>
    <tableColumn name="GraphicsMaster" id="10"/>
    <tableColumn name="SoundMaster" id="11"/>
    <tableColumn name="GameMenu" id="12"/>
    <tableColumn name="DialogMaster" id="13"/>
    <tableColumn name="PlayerMaster" id="14"/>
    <tableColumn name="ItemMaster" id="15"/>
    <tableColumn name="CardMaster" id="16"/>
    <tableColumn name="GameEventMaster" id="17"/>
  </tableColumns>
  <tableStyleInfo name="SERVICES-style" showColumnStripes="0" showFirstColumn="1" showLastColumn="1" showRowStripes="1"/>
</table>
</file>

<file path=xl/tables/table7.xml><?xml version="1.0" encoding="utf-8"?>
<table xmlns="http://schemas.openxmlformats.org/spreadsheetml/2006/main" ref="A1:M114" displayName="Table_Items" name="Table_Items" id="7">
  <tableColumns count="13">
    <tableColumn name="N" id="1"/>
    <tableColumn name="ITEM_ID" id="2"/>
    <tableColumn name="Name" id="3"/>
    <tableColumn name="FamilyType" id="4"/>
    <tableColumn name="Sprites" id="5"/>
    <tableColumn name="DefaultSprite" id="6"/>
    <tableColumn name="PICKABLE" id="7"/>
    <tableColumn name="IDEA" id="8"/>
    <tableColumn name="EXTUSABLE" id="9"/>
    <tableColumn name="SpritePickable" id="10"/>
    <tableColumn name="PrefabID" id="11"/>
    <tableColumn name="IsPrefabDetail" id="12"/>
    <tableColumn name="ActionConditions" id="13"/>
  </tableColumns>
  <tableStyleInfo name="ITEMS-style" showColumnStripes="0" showFirstColumn="1" showLastColumn="1" showRowStripes="1"/>
</table>
</file>

<file path=xl/tables/table8.xml><?xml version="1.0" encoding="utf-8"?>
<table xmlns="http://schemas.openxmlformats.org/spreadsheetml/2006/main" ref="A1:I162" displayName="Table_Action_Conditions" name="Table_Action_Conditions" id="8">
  <tableColumns count="9">
    <tableColumn name="N" id="1"/>
    <tableColumn name="ACTION_COND_ID" id="2"/>
    <tableColumn name="NeededEvents" id="3"/>
    <tableColumn name="NeededMomentDay" id="4"/>
    <tableColumn name="srcChar" id="5"/>
    <tableColumn name="srcItem" id="6"/>
    <tableColumn name="Action_OK" id="7"/>
    <tableColumn name="ActionWaypointTag" id="8"/>
    <tableColumn name="TriggeredActions" id="9"/>
  </tableColumns>
  <tableStyleInfo name="ACTION_CONDS-style" showColumnStripes="0" showFirstColumn="1" showLastColumn="1" showRowStripes="1"/>
</table>
</file>

<file path=xl/tables/table9.xml><?xml version="1.0" encoding="utf-8"?>
<table xmlns="http://schemas.openxmlformats.org/spreadsheetml/2006/main" ref="A164:I233" displayName="Table_Unchain_Conditions" name="Table_Unchain_Conditions" id="9">
  <tableColumns count="9">
    <tableColumn name="N" id="1"/>
    <tableColumn name="UNCHAIN_ID" id="2"/>
    <tableColumn name="OnlyByRequest" id="3"/>
    <tableColumn name="Repeat (reloaded several times in same Scene)" id="4"/>
    <tableColumn name="IsOneShot (not linked to scene items)" id="5"/>
    <tableColumn name="IgnoreIfEvent" id="6"/>
    <tableColumn name="NeededEvents" id="7"/>
    <tableColumn name="NeededMomentDay" id="8"/>
    <tableColumn name="TriggeredActions" id="9"/>
  </tableColumns>
  <tableStyleInfo name="ACTION_CONDS-style 2" showColumnStripes="0" showFirstColumn="1" showLastColumn="1" showRowStripes="1"/>
</table>
</file>

<file path=xl/tables/table10.xml><?xml version="1.0" encoding="utf-8"?>
<table xmlns="http://schemas.openxmlformats.org/spreadsheetml/2006/main" ref="A235:Y730" displayName="Table_Actions" name="Table_Actions" id="10">
  <tableColumns count="25">
    <tableColumn name="N" id="1"/>
    <tableColumn name="ACTION_ID" id="2"/>
    <tableColumn name="WaitForEnd" id="3"/>
    <tableColumn name="Type" id="4"/>
    <tableColumn name="TargetItem" id="5"/>
    <tableColumn name="TargetSprite" id="6"/>
    <tableColumn name="TargetCharacter" id="7"/>
    <tableColumn name="TargetMemento" id="8"/>
    <tableColumn name="TargetEvents" id="9"/>
    <tableColumn name="TargetDecision" id="10"/>
    <tableColumn name="TargetMomentOfDay" id="11"/>
    <tableColumn name="TargetDialogue" id="12"/>
    <tableColumn name="TargetDialogueOption" id="13"/>
    <tableColumn name="TargetPhrase" id="14"/>
    <tableColumn name="TriggerAnimation" id="15"/>
    <tableColumn name="TargetAnimation" id="16"/>
    <tableColumn name="TargetSound" id="17"/>
    <tableColumn name="TargetScene" id="18"/>
    <tableColumn name="TargetWaypointTag" id="19"/>
    <tableColumn name="OptionBoolNullable1" id="20"/>
    <tableColumn name="OptionBoolNullable2" id="21"/>
    <tableColumn name="OptionInt" id="22"/>
    <tableColumn name="Delay (ms)" id="23"/>
    <tableColumn name="CustomFunction" id="24"/>
    <tableColumn name="TargetCardGame" id="25"/>
  </tableColumns>
  <tableStyleInfo name="ACTION_CONDS-style 3" showColumnStripes="0" showFirstColumn="1" showLastColumn="1" showRowStripes="1"/>
</table>
</file>

<file path=xl/tables/table11.xml><?xml version="1.0" encoding="utf-8"?>
<table xmlns="http://schemas.openxmlformats.org/spreadsheetml/2006/main" ref="A1:D156" displayName="Table_sprites" name="Table_sprites" id="11">
  <tableColumns count="4">
    <tableColumn name="N" id="1"/>
    <tableColumn name="SPRITE_ID" id="2"/>
    <tableColumn name="PATH" id="3"/>
    <tableColumn name="ATLAS" id="4"/>
  </tableColumns>
  <tableStyleInfo name="SPRITES-style" showColumnStripes="0" showFirstColumn="1" showLastColumn="1" showRowStripes="1"/>
</table>
</file>

<file path=xl/tables/table12.xml><?xml version="1.0" encoding="utf-8"?>
<table xmlns="http://schemas.openxmlformats.org/spreadsheetml/2006/main" ref="A1:D426" displayName="Table_sounds" name="Table_sounds" id="12">
  <tableColumns count="4">
    <tableColumn name="N" id="1"/>
    <tableColumn name="SOUND_ID" id="2"/>
    <tableColumn name="Effect" id="3"/>
    <tableColumn name="PATH" id="4"/>
  </tableColumns>
  <tableStyleInfo name="SOUNDS-style" showColumnStripes="0" showFirstColumn="1" showLastColumn="1" showRowStripes="1"/>
</table>
</file>

<file path=xl/tables/table13.xml><?xml version="1.0" encoding="utf-8"?>
<table xmlns="http://schemas.openxmlformats.org/spreadsheetml/2006/main" ref="A1:D67" displayName="Table_Dialogs" name="Table_Dialogs" id="13">
  <tableColumns count="4">
    <tableColumn name="N" id="1"/>
    <tableColumn name="DIALOG_ID" id="2"/>
    <tableColumn name="Talkers" id="3"/>
    <tableColumn name="Options" id="4"/>
  </tableColumns>
  <tableStyleInfo name="DIALOGS-style" showColumnStripes="0" showFirstColumn="1" showLastColumn="1" showRowStripes="1"/>
</table>
</file>

<file path=xl/tables/table14.xml><?xml version="1.0" encoding="utf-8"?>
<table xmlns="http://schemas.openxmlformats.org/spreadsheetml/2006/main" ref="A69:H170" displayName="Table_Dialog_Options" name="Table_Dialog_Options" id="14">
  <tableColumns count="8">
    <tableColumn name="N" id="1"/>
    <tableColumn name="DIALOG_OPTION_ID" id="2"/>
    <tableColumn name="NeededEvents" id="3"/>
    <tableColumn name="NeededMomentOfDay" id="4"/>
    <tableColumn name="ActionsTriggered" id="5"/>
    <tableColumn name="DialogTriggered" id="6"/>
    <tableColumn name="IsRandomized" id="7"/>
    <tableColumn name="Phrases" id="8"/>
  </tableColumns>
  <tableStyleInfo name="DIALOGS-style 2" showColumnStripes="0" showFirstColumn="1" showLastColumn="1" showRowStripes="1"/>
</table>
</file>

<file path=xl/tables/table15.xml><?xml version="1.0" encoding="utf-8"?>
<table xmlns="http://schemas.openxmlformats.org/spreadsheetml/2006/main" ref="A1:C4" displayName="Table_Decisions" name="Table_Decisions" id="15">
  <tableColumns count="3">
    <tableColumn name="N" id="1"/>
    <tableColumn name="DECISION_ID" id="2"/>
    <tableColumn name="OPTIONS" id="3"/>
  </tableColumns>
  <tableStyleInfo name="DECISIONS-style" showColumnStripes="0" showFirstColumn="1" showLastColumn="1" showRowStripes="1"/>
</table>
</file>

<file path=xl/tables/table16.xml><?xml version="1.0" encoding="utf-8"?>
<table xmlns="http://schemas.openxmlformats.org/spreadsheetml/2006/main" ref="A6:D11" displayName="Table_Decision_Options" name="Table_Decision_Options" id="16">
  <tableColumns count="4">
    <tableColumn name="N" id="1"/>
    <tableColumn name="DECISION_OPTION_ID" id="2"/>
    <tableColumn name="Phrase" id="3"/>
    <tableColumn name="ActionsTriggered" id="4"/>
  </tableColumns>
  <tableStyleInfo name="DECISIONS-style 2" showColumnStripes="0" showFirstColumn="1" showLastColumn="1" showRowStripes="1"/>
</table>
</file>

<file path=xl/tables/table17.xml><?xml version="1.0" encoding="utf-8"?>
<table xmlns="http://schemas.openxmlformats.org/spreadsheetml/2006/main" ref="A1:D94" displayName="Table_Name" name="Table_Name" id="17">
  <tableColumns count="4">
    <tableColumn name="N" id="1"/>
    <tableColumn name="NAME_ID" id="2"/>
    <tableColumn name="Name_English" id="3"/>
    <tableColumn name="Name_Spanish" id="4"/>
  </tableColumns>
  <tableStyleInfo name="NAMES-style" showColumnStripes="0" showFirstColumn="1" showLastColumn="1" showRowStripes="1"/>
</table>
</file>

<file path=xl/tables/table18.xml><?xml version="1.0" encoding="utf-8"?>
<table xmlns="http://schemas.openxmlformats.org/spreadsheetml/2006/main" ref="A1:I456" displayName="Table_Phrases" name="Table_Phrases" id="18">
  <tableColumns count="9">
    <tableColumn name="N" id="1"/>
    <tableColumn name="PHRASE_ID" id="2"/>
    <tableColumn name="TalkerIndex" id="3"/>
    <tableColumn name="Sound" id="4"/>
    <tableColumn name="AnimationTriggerTalker1" id="5"/>
    <tableColumn name="AnimationTriggerTalker2" id="6"/>
    <tableColumn name="AnimationTriggerTalker3" id="7"/>
    <tableColumn name="Text_English" id="8"/>
    <tableColumn name="Text_Spanish" id="9"/>
  </tableColumns>
  <tableStyleInfo name="PHRASES-style" showColumnStripes="0" showFirstColumn="1" showLastColumn="1" showRowStripes="1"/>
</table>
</file>

<file path=xl/tables/table19.xml><?xml version="1.0" encoding="utf-8"?>
<table xmlns="http://schemas.openxmlformats.org/spreadsheetml/2006/main" ref="A1:K33" displayName="Table_Rooms" name="Table_Rooms" id="19">
  <tableColumns count="11">
    <tableColumn name="N" id="1"/>
    <tableColumn name="ROOM_ID" id="2"/>
    <tableColumn name="BackgroundSprite" id="3"/>
    <tableColumn name="BackgroundMusic" id="4"/>
    <tableColumn name="NeededBackgrounds_Sprites" id="5"/>
    <tableColumn name="NeededItems" id="6"/>
    <tableColumn name="NeededPrefabs" id="7"/>
    <tableColumn name="NeededSounds" id="8"/>
    <tableColumn name="BackgroundActionConditions (6s)" id="9"/>
    <tableColumn name="OnEntryConditions" id="10"/>
    <tableColumn name="OnExitConditions" id="11"/>
  </tableColumns>
  <tableStyleInfo name="ROOMS-style" showColumnStripes="0" showFirstColumn="1" showLastColumn="1" showRowStripes="1"/>
</table>
</file>

<file path=xl/tables/table20.xml><?xml version="1.0" encoding="utf-8"?>
<table xmlns="http://schemas.openxmlformats.org/spreadsheetml/2006/main" ref="A1:B6" displayName="Table_Characters" name="Table_Characters" id="20">
  <tableColumns count="2">
    <tableColumn name="N" id="1"/>
    <tableColumn name="CHARACTER_TYPE_ID" id="2"/>
  </tableColumns>
  <tableStyleInfo name="TYPES-style" showColumnStripes="0" showFirstColumn="1" showLastColumn="1" showRowStripes="1"/>
</table>
</file>

<file path=xl/tables/table21.xml><?xml version="1.0" encoding="utf-8"?>
<table xmlns="http://schemas.openxmlformats.org/spreadsheetml/2006/main" ref="D1:E4" displayName="Table_BoolNull" name="Table_BoolNull" id="21">
  <tableColumns count="2">
    <tableColumn name="N" id="1"/>
    <tableColumn name="Value" id="2"/>
  </tableColumns>
  <tableStyleInfo name="TYPES-style 2" showColumnStripes="0" showFirstColumn="1" showLastColumn="1" showRowStripes="1"/>
</table>
</file>

<file path=xl/tables/table22.xml><?xml version="1.0" encoding="utf-8"?>
<table xmlns="http://schemas.openxmlformats.org/spreadsheetml/2006/main" ref="A8:B14" displayName="Table_ItemUse_Animation" name="Table_ItemUse_Animation" id="22">
  <tableColumns count="2">
    <tableColumn name="N" id="1"/>
    <tableColumn name="ANIMATION_ID" id="2"/>
  </tableColumns>
  <tableStyleInfo name="TYPES-style 3" showColumnStripes="0" showFirstColumn="1" showLastColumn="1" showRowStripes="1"/>
</table>
</file>

<file path=xl/tables/table23.xml><?xml version="1.0" encoding="utf-8"?>
<table xmlns="http://schemas.openxmlformats.org/spreadsheetml/2006/main" ref="A16:B24" displayName="Table_Interaction" name="Table_Interaction" id="23">
  <tableColumns count="2">
    <tableColumn name="N" id="1"/>
    <tableColumn name="INTERACTION_ID" id="2"/>
  </tableColumns>
  <tableStyleInfo name="TYPES-style 4" showColumnStripes="0" showFirstColumn="1" showLastColumn="1" showRowStripes="1"/>
</table>
</file>

<file path=xl/tables/table24.xml><?xml version="1.0" encoding="utf-8"?>
<table xmlns="http://schemas.openxmlformats.org/spreadsheetml/2006/main" ref="A26:B57" displayName="Table_Action_Type" name="Table_Action_Type" id="24">
  <tableColumns count="2">
    <tableColumn name="N" id="1"/>
    <tableColumn name="ACTION_TYPE_ID" id="2"/>
  </tableColumns>
  <tableStyleInfo name="TYPES-style 5" showColumnStripes="0" showFirstColumn="1" showLastColumn="1" showRowStripes="1"/>
</table>
</file>

<file path=xl/tables/table25.xml><?xml version="1.0" encoding="utf-8"?>
<table xmlns="http://schemas.openxmlformats.org/spreadsheetml/2006/main" ref="A59:C110" displayName="Table_Animation_Trigger" name="Table_Animation_Trigger" id="25">
  <tableColumns count="3">
    <tableColumn name="N" id="1"/>
    <tableColumn name="ANIMATION_TRIGGER_ID" id="2"/>
    <tableColumn name="Comment" id="3"/>
  </tableColumns>
  <tableStyleInfo name="TYPES-style 6" showColumnStripes="0" showFirstColumn="1" showLastColumn="1" showRowStripes="1"/>
</table>
</file>

<file path=xl/tables/table26.xml><?xml version="1.0" encoding="utf-8"?>
<table xmlns="http://schemas.openxmlformats.org/spreadsheetml/2006/main" ref="A112:B119" displayName="Table_Item_Family_Type" name="Table_Item_Family_Type" id="26">
  <tableColumns count="2">
    <tableColumn name="N" id="1"/>
    <tableColumn name="ITEM_FAMILY_TYPE_ID" id="2"/>
  </tableColumns>
  <tableStyleInfo name="TYPES-style 7" showColumnStripes="0" showFirstColumn="1" showLastColumn="1" showRowStripes="1"/>
</table>
</file>

<file path=xl/tables/table27.xml><?xml version="1.0" encoding="utf-8"?>
<table xmlns="http://schemas.openxmlformats.org/spreadsheetml/2006/main" ref="A121:B124" displayName="Table_Moment_Day" name="Table_Moment_Day" id="27">
  <tableColumns count="2">
    <tableColumn name="N" id="1"/>
    <tableColumn name="MOMENT_TYPE_ID" id="2"/>
  </tableColumns>
  <tableStyleInfo name="TYPES-style 8" showColumnStripes="0" showFirstColumn="1" showLastColumn="1" showRowStripes="1"/>
</table>
</file>

<file path=xl/tables/table28.xml><?xml version="1.0" encoding="utf-8"?>
<table xmlns="http://schemas.openxmlformats.org/spreadsheetml/2006/main" ref="A126:B138" displayName="Table_Custom_Function" name="Table_Custom_Function" id="28">
  <tableColumns count="2">
    <tableColumn name="N" id="1"/>
    <tableColumn name="CUSTOM_FUNCTION_ID" id="2"/>
  </tableColumns>
  <tableStyleInfo name="TYPES-style 9" showColumnStripes="0" showFirstColumn="1" showLastColumn="1" showRowStripes="1"/>
</table>
</file>

<file path=xl/tables/table29.xml><?xml version="1.0" encoding="utf-8"?>
<table xmlns="http://schemas.openxmlformats.org/spreadsheetml/2006/main" ref="A1:B80" displayName="Table_Events" name="Table_Events" id="29">
  <tableColumns count="2">
    <tableColumn name="N" id="1"/>
    <tableColumn name="EVENT_ID" id="2"/>
  </tableColumns>
  <tableStyleInfo name="EVENTS-style" showColumnStripes="0" showFirstColumn="1" showLastColumn="1" showRowStripes="1"/>
</table>
</file>

<file path=xl/tables/table30.xml><?xml version="1.0" encoding="utf-8"?>
<table xmlns="http://schemas.openxmlformats.org/spreadsheetml/2006/main" ref="A82:G90" displayName="Table_Memento_Parent" name="Table_Memento_Parent" id="30">
  <tableColumns count="7">
    <tableColumn name="N" id="1"/>
    <tableColumn name="MEMENTO_PARENT_ID" id="2"/>
    <tableColumn name="Name" id="3"/>
    <tableColumn name="Sprite" id="4"/>
    <tableColumn name="AssocItem" id="5"/>
    <tableColumn name="AssocChar" id="6"/>
    <tableColumn name="Children" id="7"/>
  </tableColumns>
  <tableStyleInfo name="EVENTS-style 2" showColumnStripes="0" showFirstColumn="1" showLastColumn="1" showRowStripes="1"/>
</table>
</file>

<file path=xl/tables/table31.xml><?xml version="1.0" encoding="utf-8"?>
<table xmlns="http://schemas.openxmlformats.org/spreadsheetml/2006/main" ref="A92:E110" displayName="Table_Memento" name="Table_Memento" id="31">
  <tableColumns count="5">
    <tableColumn name="N" id="1"/>
    <tableColumn name="MEMENTO_ID" id="2"/>
    <tableColumn name="Parent" id="3"/>
    <tableColumn name="Phrase" id="4"/>
    <tableColumn name="Final" id="5"/>
  </tableColumns>
  <tableStyleInfo name="EVENTS-style 3" showColumnStripes="0" showFirstColumn="1" showLastColumn="1" showRowStripes="1"/>
</table>
</file>

<file path=xl/tables/table32.xml><?xml version="1.0" encoding="utf-8"?>
<table xmlns="http://schemas.openxmlformats.org/spreadsheetml/2006/main" ref="A112:B299" displayName="Table_EventsCombi" name="Table_EventsCombi" id="32">
  <tableColumns count="2">
    <tableColumn name="N" id="1"/>
    <tableColumn name="EVENT_COMBI_ID" id="2"/>
  </tableColumns>
  <tableStyleInfo name="EVENTS-style 4" showColumnStripes="0" showFirstColumn="1" showLastColumn="1" showRowStripes="1"/>
</table>
</file>

<file path=xl/tables/table33.xml><?xml version="1.0" encoding="utf-8"?>
<table xmlns="http://schemas.openxmlformats.org/spreadsheetml/2006/main" ref="A1:C10" displayName="Table_Details" name="Table_Details" id="33">
  <tableColumns count="3">
    <tableColumn name="N" id="1"/>
    <tableColumn name="DETAIL_ID" id="2"/>
    <tableColumn name="PREFAB_ADDRESSABLE" id="3"/>
  </tableColumns>
  <tableStyleInfo name="PREFABS-style" showColumnStripes="0" showFirstColumn="1" showLastColumn="1" showRowStripes="1"/>
</table>
</file>

<file path=xl/tables/table34.xml><?xml version="1.0" encoding="utf-8"?>
<table xmlns="http://schemas.openxmlformats.org/spreadsheetml/2006/main" ref="A1:B12" displayName="Table_Animations" name="Table_Animations" id="34">
  <tableColumns count="2">
    <tableColumn name="N" id="1"/>
    <tableColumn name="ANIMATION_ID" id="2"/>
  </tableColumns>
  <tableStyleInfo name="ANIMATIONS-style" showColumnStripes="0" showFirstColumn="1" showLastColumn="1" showRowStripes="1"/>
</table>
</file>

<file path=xl/tables/table35.xml><?xml version="1.0" encoding="utf-8"?>
<table xmlns="http://schemas.openxmlformats.org/spreadsheetml/2006/main" ref="A14:B17" displayName="Table_CardGames" name="Table_CardGames" id="35">
  <tableColumns count="2">
    <tableColumn name="N" id="1"/>
    <tableColumn name="CARD_GAME_ID" id="2"/>
  </tableColumns>
  <tableStyleInfo name="ANIMATIONS-style 2" showColumnStripes="0" showFirstColumn="1" showLastColumn="1" showRowStripes="1"/>
</table>
</file>

<file path=xl/tables/table36.xml><?xml version="1.0" encoding="utf-8"?>
<table xmlns="http://schemas.openxmlformats.org/spreadsheetml/2006/main" ref="A1:D8" displayName="Table_TODO" name="Table_TODO" id="36">
  <tableColumns count="4">
    <tableColumn name="TASK" id="1"/>
    <tableColumn name="PRIO" id="2"/>
    <tableColumn name="DONE" id="3"/>
    <tableColumn name="ONGOING" id="4"/>
  </tableColumns>
  <tableStyleInfo name="_TOD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8.xml"/><Relationship Id="rId6" Type="http://schemas.openxmlformats.org/officeDocument/2006/relationships/table" Target="../tables/table9.xml"/><Relationship Id="rId7"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 Id="rId6" Type="http://schemas.openxmlformats.org/officeDocument/2006/relationships/table" Target="../tables/table13.xml"/><Relationship Id="rId7"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5.xml"/><Relationship Id="rId5" Type="http://schemas.openxmlformats.org/officeDocument/2006/relationships/table" Target="../tables/table1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11" Type="http://schemas.openxmlformats.org/officeDocument/2006/relationships/table" Target="../tables/table20.xml"/><Relationship Id="rId13" Type="http://schemas.openxmlformats.org/officeDocument/2006/relationships/table" Target="../tables/table22.xml"/><Relationship Id="rId12" Type="http://schemas.openxmlformats.org/officeDocument/2006/relationships/table" Target="../tables/table21.xml"/><Relationship Id="rId15" Type="http://schemas.openxmlformats.org/officeDocument/2006/relationships/table" Target="../tables/table24.xml"/><Relationship Id="rId14" Type="http://schemas.openxmlformats.org/officeDocument/2006/relationships/table" Target="../tables/table23.xml"/><Relationship Id="rId17" Type="http://schemas.openxmlformats.org/officeDocument/2006/relationships/table" Target="../tables/table26.xml"/><Relationship Id="rId16" Type="http://schemas.openxmlformats.org/officeDocument/2006/relationships/table" Target="../tables/table25.xml"/><Relationship Id="rId19" Type="http://schemas.openxmlformats.org/officeDocument/2006/relationships/table" Target="../tables/table28.xml"/><Relationship Id="rId18" Type="http://schemas.openxmlformats.org/officeDocument/2006/relationships/table" Target="../tables/table2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9" Type="http://schemas.openxmlformats.org/officeDocument/2006/relationships/table" Target="../tables/table32.xml"/><Relationship Id="rId6" Type="http://schemas.openxmlformats.org/officeDocument/2006/relationships/table" Target="../tables/table29.xml"/><Relationship Id="rId7" Type="http://schemas.openxmlformats.org/officeDocument/2006/relationships/table" Target="../tables/table30.xml"/><Relationship Id="rId8" Type="http://schemas.openxmlformats.org/officeDocument/2006/relationships/table" Target="../tables/table3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3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4" Type="http://schemas.openxmlformats.org/officeDocument/2006/relationships/table" Target="../tables/table34.xml"/><Relationship Id="rId5" Type="http://schemas.openxmlformats.org/officeDocument/2006/relationships/table" Target="../tables/table3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57"/>
    <col customWidth="1" min="2" max="2" width="32.57"/>
    <col customWidth="1" min="3" max="3" width="27.43"/>
    <col customWidth="1" min="4" max="4" width="35.86"/>
    <col customWidth="1" min="5" max="5" width="46.14"/>
    <col customWidth="1" min="6" max="6" width="25.0"/>
    <col customWidth="1" min="7" max="7" width="25.29"/>
    <col customWidth="1" min="8" max="9" width="23.0"/>
  </cols>
  <sheetData>
    <row r="1">
      <c r="A1" s="1" t="s">
        <v>0</v>
      </c>
      <c r="B1" s="2" t="s">
        <v>1</v>
      </c>
      <c r="C1" s="1" t="s">
        <v>2</v>
      </c>
      <c r="D1" s="1" t="s">
        <v>3</v>
      </c>
      <c r="E1" s="1" t="s">
        <v>4</v>
      </c>
      <c r="F1" s="2" t="s">
        <v>5</v>
      </c>
      <c r="G1" s="2" t="s">
        <v>6</v>
      </c>
      <c r="H1" s="2" t="s">
        <v>7</v>
      </c>
      <c r="I1" s="1" t="s">
        <v>8</v>
      </c>
      <c r="J1" s="1" t="s">
        <v>9</v>
      </c>
    </row>
    <row r="2">
      <c r="A2" s="3" t="s">
        <v>10</v>
      </c>
      <c r="B2" s="3" t="s">
        <v>11</v>
      </c>
      <c r="C2" s="3" t="s">
        <v>12</v>
      </c>
      <c r="D2" s="4" t="b">
        <v>0</v>
      </c>
      <c r="E2" s="4" t="b">
        <v>0</v>
      </c>
      <c r="F2" s="5" t="s">
        <v>13</v>
      </c>
      <c r="G2" s="3" t="s">
        <v>14</v>
      </c>
      <c r="H2" s="3"/>
      <c r="I2" s="5" t="s">
        <v>15</v>
      </c>
      <c r="J2" s="6"/>
    </row>
    <row r="4">
      <c r="A4" s="1" t="s">
        <v>16</v>
      </c>
      <c r="B4" s="1" t="s">
        <v>17</v>
      </c>
      <c r="C4" s="1" t="s">
        <v>18</v>
      </c>
      <c r="D4" s="2" t="s">
        <v>19</v>
      </c>
      <c r="E4" s="1" t="s">
        <v>9</v>
      </c>
    </row>
    <row r="5">
      <c r="A5" s="3" t="s">
        <v>20</v>
      </c>
      <c r="B5" s="3" t="s">
        <v>21</v>
      </c>
      <c r="C5" s="3" t="s">
        <v>21</v>
      </c>
      <c r="D5" s="3" t="s">
        <v>22</v>
      </c>
      <c r="E5" s="7"/>
    </row>
    <row r="7">
      <c r="A7" s="1" t="s">
        <v>23</v>
      </c>
      <c r="B7" s="1" t="s">
        <v>24</v>
      </c>
      <c r="C7" s="2" t="s">
        <v>25</v>
      </c>
      <c r="D7" s="2" t="s">
        <v>26</v>
      </c>
      <c r="E7" s="2" t="s">
        <v>27</v>
      </c>
      <c r="F7" s="2" t="s">
        <v>28</v>
      </c>
      <c r="G7" s="1" t="s">
        <v>29</v>
      </c>
      <c r="H7" s="1" t="s">
        <v>30</v>
      </c>
      <c r="I7" s="1" t="s">
        <v>31</v>
      </c>
      <c r="J7" s="1" t="s">
        <v>32</v>
      </c>
      <c r="K7" s="2" t="s">
        <v>33</v>
      </c>
      <c r="L7" s="1" t="s">
        <v>34</v>
      </c>
    </row>
    <row r="8">
      <c r="A8" s="3" t="s">
        <v>35</v>
      </c>
      <c r="B8" s="3"/>
      <c r="C8" s="3" t="s">
        <v>36</v>
      </c>
      <c r="D8" s="4" t="b">
        <v>0</v>
      </c>
      <c r="E8" s="4" t="b">
        <v>0</v>
      </c>
      <c r="F8" s="5" t="s">
        <v>37</v>
      </c>
      <c r="G8" s="3" t="s">
        <v>38</v>
      </c>
      <c r="H8" s="3"/>
      <c r="I8" s="3"/>
      <c r="J8" s="3"/>
      <c r="K8" s="8"/>
      <c r="L8" s="8"/>
    </row>
    <row r="10">
      <c r="A10" s="1" t="s">
        <v>39</v>
      </c>
      <c r="B10" s="2" t="s">
        <v>40</v>
      </c>
      <c r="C10" s="1" t="s">
        <v>41</v>
      </c>
      <c r="D10" s="1" t="s">
        <v>42</v>
      </c>
      <c r="E10" s="1" t="s">
        <v>43</v>
      </c>
    </row>
    <row r="11">
      <c r="A11" s="3" t="s">
        <v>44</v>
      </c>
      <c r="B11" s="3" t="s">
        <v>45</v>
      </c>
      <c r="C11" s="3" t="s">
        <v>46</v>
      </c>
      <c r="D11" s="3" t="s">
        <v>47</v>
      </c>
      <c r="E11" s="3" t="s">
        <v>48</v>
      </c>
    </row>
  </sheetData>
  <dataValidations>
    <dataValidation type="list" allowBlank="1" sqref="C8">
      <formula1>#REF!</formula1>
    </dataValidation>
    <dataValidation type="list" allowBlank="1" sqref="F2 I2 F8">
      <formula1>#REF!</formula1>
    </dataValidation>
  </dataValidations>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34.29"/>
    <col customWidth="1" min="3" max="3" width="23.57"/>
    <col customWidth="1" min="4" max="4" width="14.14"/>
    <col customWidth="1" min="5" max="5" width="11.86"/>
    <col customWidth="1" min="6" max="6" width="42.71"/>
    <col customWidth="1" min="7" max="7" width="14.29"/>
    <col customWidth="1" min="8" max="8" width="4.29"/>
    <col customWidth="1" min="9" max="9" width="21.14"/>
    <col customWidth="1" min="10" max="10" width="20.57"/>
    <col customWidth="1" min="11" max="11" width="20.43"/>
    <col customWidth="1" min="12" max="12" width="23.43"/>
    <col customWidth="1" min="13" max="13" width="20.14"/>
    <col customWidth="1" min="14" max="14" width="21.29"/>
    <col customWidth="1" min="15" max="15" width="19.57"/>
    <col customWidth="1" min="16" max="16" width="20.0"/>
    <col customWidth="1" min="17" max="17" width="25.86"/>
    <col customWidth="1" min="18" max="19" width="20.71"/>
    <col customWidth="1" min="20" max="24" width="10.71"/>
  </cols>
  <sheetData>
    <row r="1">
      <c r="A1" s="9" t="s">
        <v>49</v>
      </c>
      <c r="B1" s="9" t="s">
        <v>50</v>
      </c>
      <c r="C1" s="9" t="s">
        <v>51</v>
      </c>
      <c r="D1" s="9" t="s">
        <v>52</v>
      </c>
      <c r="E1" s="9" t="s">
        <v>53</v>
      </c>
      <c r="F1" s="9" t="s">
        <v>54</v>
      </c>
      <c r="G1" s="9" t="s">
        <v>55</v>
      </c>
      <c r="H1" s="9" t="s">
        <v>56</v>
      </c>
      <c r="I1" s="9" t="s">
        <v>57</v>
      </c>
      <c r="J1" s="9" t="s">
        <v>58</v>
      </c>
      <c r="K1" s="9" t="s">
        <v>59</v>
      </c>
      <c r="L1" s="9" t="s">
        <v>60</v>
      </c>
      <c r="M1" s="10" t="s">
        <v>61</v>
      </c>
      <c r="N1" s="9" t="s">
        <v>62</v>
      </c>
      <c r="O1" s="10" t="s">
        <v>63</v>
      </c>
      <c r="P1" s="9" t="s">
        <v>64</v>
      </c>
      <c r="Q1" s="9" t="s">
        <v>65</v>
      </c>
      <c r="R1" s="10" t="s">
        <v>66</v>
      </c>
      <c r="S1" s="9" t="s">
        <v>67</v>
      </c>
    </row>
    <row r="2">
      <c r="A2" s="11">
        <f t="shared" ref="A2:A22" si="1">ROW()-ROW($A$2)</f>
        <v>0</v>
      </c>
      <c r="B2" s="12" t="s">
        <v>68</v>
      </c>
      <c r="C2" s="12" t="s">
        <v>69</v>
      </c>
      <c r="D2" s="13">
        <v>0.0</v>
      </c>
      <c r="E2" s="12">
        <v>0.0</v>
      </c>
      <c r="F2" s="12" t="s">
        <v>70</v>
      </c>
      <c r="G2" s="14" t="s">
        <v>71</v>
      </c>
      <c r="H2" s="12" t="s">
        <v>72</v>
      </c>
      <c r="I2" s="13" t="s">
        <v>73</v>
      </c>
      <c r="J2" s="13" t="s">
        <v>74</v>
      </c>
      <c r="K2" s="14" t="s">
        <v>74</v>
      </c>
      <c r="L2" s="14" t="s">
        <v>74</v>
      </c>
      <c r="M2" s="13" t="s">
        <v>73</v>
      </c>
      <c r="N2" s="14" t="s">
        <v>75</v>
      </c>
      <c r="O2" s="13" t="s">
        <v>73</v>
      </c>
      <c r="P2" s="13" t="s">
        <v>73</v>
      </c>
      <c r="Q2" s="13" t="s">
        <v>73</v>
      </c>
      <c r="R2" s="13" t="s">
        <v>73</v>
      </c>
      <c r="S2" s="13" t="s">
        <v>73</v>
      </c>
    </row>
    <row r="3">
      <c r="A3" s="11">
        <f t="shared" si="1"/>
        <v>1</v>
      </c>
      <c r="B3" s="12" t="s">
        <v>76</v>
      </c>
      <c r="C3" s="12" t="s">
        <v>77</v>
      </c>
      <c r="D3" s="14">
        <v>2.0</v>
      </c>
      <c r="E3" s="12">
        <v>0.0</v>
      </c>
      <c r="F3" s="12" t="s">
        <v>78</v>
      </c>
      <c r="G3" s="14" t="s">
        <v>71</v>
      </c>
      <c r="H3" s="12" t="s">
        <v>72</v>
      </c>
      <c r="I3" s="14" t="s">
        <v>75</v>
      </c>
      <c r="J3" s="14" t="s">
        <v>74</v>
      </c>
      <c r="K3" s="14" t="s">
        <v>74</v>
      </c>
      <c r="L3" s="14" t="s">
        <v>74</v>
      </c>
      <c r="M3" s="13" t="s">
        <v>73</v>
      </c>
      <c r="N3" s="14" t="s">
        <v>74</v>
      </c>
      <c r="O3" s="13" t="s">
        <v>74</v>
      </c>
      <c r="P3" s="13" t="s">
        <v>73</v>
      </c>
      <c r="Q3" s="13" t="s">
        <v>74</v>
      </c>
      <c r="R3" s="13" t="s">
        <v>74</v>
      </c>
      <c r="S3" s="13" t="s">
        <v>74</v>
      </c>
    </row>
    <row r="4">
      <c r="A4" s="11">
        <f t="shared" si="1"/>
        <v>2</v>
      </c>
      <c r="B4" s="12" t="s">
        <v>79</v>
      </c>
      <c r="C4" s="12" t="s">
        <v>8</v>
      </c>
      <c r="D4" s="14">
        <v>2.0</v>
      </c>
      <c r="E4" s="12">
        <v>0.0</v>
      </c>
      <c r="F4" s="11" t="s">
        <v>80</v>
      </c>
      <c r="G4" s="14" t="s">
        <v>71</v>
      </c>
      <c r="H4" s="12" t="s">
        <v>72</v>
      </c>
      <c r="I4" s="14" t="s">
        <v>75</v>
      </c>
      <c r="J4" s="13" t="s">
        <v>73</v>
      </c>
      <c r="K4" s="14" t="s">
        <v>74</v>
      </c>
      <c r="L4" s="13" t="s">
        <v>74</v>
      </c>
      <c r="M4" s="13" t="s">
        <v>74</v>
      </c>
      <c r="N4" s="13" t="s">
        <v>81</v>
      </c>
      <c r="O4" s="13" t="s">
        <v>73</v>
      </c>
      <c r="P4" s="13" t="s">
        <v>73</v>
      </c>
      <c r="Q4" s="13" t="s">
        <v>73</v>
      </c>
      <c r="R4" s="13" t="s">
        <v>73</v>
      </c>
      <c r="S4" s="13" t="s">
        <v>74</v>
      </c>
    </row>
    <row r="5">
      <c r="A5" s="11">
        <f t="shared" si="1"/>
        <v>3</v>
      </c>
      <c r="B5" s="12" t="s">
        <v>82</v>
      </c>
      <c r="C5" s="11" t="s">
        <v>83</v>
      </c>
      <c r="D5" s="14">
        <v>2.0</v>
      </c>
      <c r="E5" s="15">
        <f>CEILING((COUNT(Table_Events[N])-1)/64,1)</f>
        <v>2</v>
      </c>
      <c r="F5" s="11" t="s">
        <v>84</v>
      </c>
      <c r="G5" s="14" t="s">
        <v>71</v>
      </c>
      <c r="H5" s="12" t="s">
        <v>72</v>
      </c>
      <c r="I5" s="13" t="s">
        <v>73</v>
      </c>
      <c r="J5" s="13" t="s">
        <v>73</v>
      </c>
      <c r="K5" s="13" t="s">
        <v>73</v>
      </c>
      <c r="L5" s="13" t="s">
        <v>73</v>
      </c>
      <c r="M5" s="13" t="s">
        <v>73</v>
      </c>
      <c r="N5" s="13" t="s">
        <v>73</v>
      </c>
      <c r="O5" s="13" t="s">
        <v>73</v>
      </c>
      <c r="P5" s="13" t="s">
        <v>73</v>
      </c>
      <c r="Q5" s="13" t="s">
        <v>73</v>
      </c>
      <c r="R5" s="13" t="s">
        <v>73</v>
      </c>
      <c r="S5" s="13" t="s">
        <v>75</v>
      </c>
    </row>
    <row r="6">
      <c r="A6" s="11">
        <f t="shared" si="1"/>
        <v>4</v>
      </c>
      <c r="B6" s="11" t="s">
        <v>85</v>
      </c>
      <c r="C6" s="11" t="s">
        <v>83</v>
      </c>
      <c r="D6" s="13">
        <v>2.0</v>
      </c>
      <c r="E6" s="16">
        <f>CEILING((COUNT(Table_Memento[N])-1)/64,1)</f>
        <v>1</v>
      </c>
      <c r="F6" s="11" t="s">
        <v>84</v>
      </c>
      <c r="G6" s="13" t="s">
        <v>71</v>
      </c>
      <c r="H6" s="12"/>
      <c r="I6" s="13" t="s">
        <v>73</v>
      </c>
      <c r="J6" s="13" t="s">
        <v>73</v>
      </c>
      <c r="K6" s="13" t="s">
        <v>73</v>
      </c>
      <c r="L6" s="13" t="s">
        <v>73</v>
      </c>
      <c r="M6" s="13" t="s">
        <v>73</v>
      </c>
      <c r="N6" s="13" t="s">
        <v>73</v>
      </c>
      <c r="O6" s="13" t="s">
        <v>73</v>
      </c>
      <c r="P6" s="13" t="s">
        <v>73</v>
      </c>
      <c r="Q6" s="13" t="s">
        <v>73</v>
      </c>
      <c r="R6" s="13" t="s">
        <v>73</v>
      </c>
      <c r="S6" s="13" t="s">
        <v>75</v>
      </c>
    </row>
    <row r="7">
      <c r="A7" s="11">
        <f t="shared" si="1"/>
        <v>5</v>
      </c>
      <c r="B7" s="11" t="s">
        <v>86</v>
      </c>
      <c r="C7" s="11" t="s">
        <v>83</v>
      </c>
      <c r="D7" s="13">
        <v>0.0</v>
      </c>
      <c r="E7" s="16">
        <f>CEILING((COUNT(Table_Memento_Parent[N])-1)/64,1)</f>
        <v>1</v>
      </c>
      <c r="F7" s="11" t="s">
        <v>84</v>
      </c>
      <c r="G7" s="13" t="s">
        <v>71</v>
      </c>
      <c r="H7" s="12"/>
      <c r="I7" s="13" t="s">
        <v>73</v>
      </c>
      <c r="J7" s="13" t="s">
        <v>73</v>
      </c>
      <c r="K7" s="13" t="s">
        <v>74</v>
      </c>
      <c r="L7" s="13" t="s">
        <v>73</v>
      </c>
      <c r="M7" s="13" t="s">
        <v>73</v>
      </c>
      <c r="N7" s="13" t="s">
        <v>73</v>
      </c>
      <c r="O7" s="13" t="s">
        <v>73</v>
      </c>
      <c r="P7" s="13" t="s">
        <v>73</v>
      </c>
      <c r="Q7" s="13" t="s">
        <v>73</v>
      </c>
      <c r="R7" s="13" t="s">
        <v>73</v>
      </c>
      <c r="S7" s="13" t="s">
        <v>75</v>
      </c>
    </row>
    <row r="8">
      <c r="A8" s="11">
        <f t="shared" si="1"/>
        <v>6</v>
      </c>
      <c r="B8" s="11" t="s">
        <v>87</v>
      </c>
      <c r="C8" s="11" t="s">
        <v>88</v>
      </c>
      <c r="D8" s="13">
        <v>2.0</v>
      </c>
      <c r="E8" s="16">
        <f>COUNTIF(Table_Items[PICKABLE],"=TRUE")</f>
        <v>26</v>
      </c>
      <c r="F8" s="11" t="s">
        <v>89</v>
      </c>
      <c r="G8" s="13" t="s">
        <v>71</v>
      </c>
      <c r="H8" s="12"/>
      <c r="I8" s="13" t="s">
        <v>73</v>
      </c>
      <c r="J8" s="13" t="s">
        <v>73</v>
      </c>
      <c r="K8" s="13" t="s">
        <v>74</v>
      </c>
      <c r="L8" s="13" t="s">
        <v>73</v>
      </c>
      <c r="M8" s="13" t="s">
        <v>73</v>
      </c>
      <c r="N8" s="13" t="s">
        <v>81</v>
      </c>
      <c r="O8" s="13" t="s">
        <v>73</v>
      </c>
      <c r="P8" s="13" t="s">
        <v>73</v>
      </c>
      <c r="Q8" s="13" t="s">
        <v>75</v>
      </c>
      <c r="R8" s="13" t="s">
        <v>73</v>
      </c>
      <c r="S8" s="13" t="s">
        <v>73</v>
      </c>
    </row>
    <row r="9">
      <c r="A9" s="11">
        <f t="shared" si="1"/>
        <v>7</v>
      </c>
      <c r="B9" s="11" t="s">
        <v>90</v>
      </c>
      <c r="C9" s="11" t="s">
        <v>91</v>
      </c>
      <c r="D9" s="13">
        <v>2.0</v>
      </c>
      <c r="E9" s="16">
        <f>COUNT(Table_Characters[N])-1</f>
        <v>4</v>
      </c>
      <c r="F9" s="11" t="s">
        <v>92</v>
      </c>
      <c r="G9" s="13" t="s">
        <v>71</v>
      </c>
      <c r="H9" s="12"/>
      <c r="I9" s="13" t="s">
        <v>73</v>
      </c>
      <c r="J9" s="13" t="s">
        <v>73</v>
      </c>
      <c r="K9" s="13" t="s">
        <v>75</v>
      </c>
      <c r="L9" s="13" t="s">
        <v>73</v>
      </c>
      <c r="M9" s="13" t="s">
        <v>73</v>
      </c>
      <c r="N9" s="13" t="s">
        <v>73</v>
      </c>
      <c r="O9" s="13" t="s">
        <v>73</v>
      </c>
      <c r="P9" s="13" t="s">
        <v>74</v>
      </c>
      <c r="Q9" s="13" t="s">
        <v>73</v>
      </c>
      <c r="R9" s="13" t="s">
        <v>73</v>
      </c>
      <c r="S9" s="13" t="s">
        <v>73</v>
      </c>
    </row>
    <row r="10">
      <c r="A10" s="11">
        <f t="shared" si="1"/>
        <v>8</v>
      </c>
      <c r="B10" s="11" t="s">
        <v>93</v>
      </c>
      <c r="C10" s="11" t="s">
        <v>94</v>
      </c>
      <c r="D10" s="13">
        <v>0.0</v>
      </c>
      <c r="E10" s="11">
        <v>0.0</v>
      </c>
      <c r="F10" s="11" t="s">
        <v>95</v>
      </c>
      <c r="G10" s="13" t="s">
        <v>71</v>
      </c>
      <c r="H10" s="17"/>
      <c r="I10" s="13" t="s">
        <v>75</v>
      </c>
      <c r="J10" s="13" t="s">
        <v>73</v>
      </c>
      <c r="K10" s="13" t="s">
        <v>74</v>
      </c>
      <c r="L10" s="13" t="s">
        <v>74</v>
      </c>
      <c r="M10" s="13" t="s">
        <v>74</v>
      </c>
      <c r="N10" s="13" t="s">
        <v>74</v>
      </c>
      <c r="O10" s="13" t="s">
        <v>74</v>
      </c>
      <c r="P10" s="13" t="s">
        <v>73</v>
      </c>
      <c r="Q10" s="13" t="s">
        <v>74</v>
      </c>
      <c r="R10" s="13" t="s">
        <v>73</v>
      </c>
      <c r="S10" s="13" t="s">
        <v>74</v>
      </c>
    </row>
    <row r="11">
      <c r="A11" s="11">
        <f t="shared" si="1"/>
        <v>9</v>
      </c>
      <c r="B11" s="11" t="s">
        <v>96</v>
      </c>
      <c r="C11" s="11" t="s">
        <v>77</v>
      </c>
      <c r="D11" s="13">
        <v>0.0</v>
      </c>
      <c r="E11" s="11">
        <v>64.0</v>
      </c>
      <c r="F11" s="11" t="s">
        <v>78</v>
      </c>
      <c r="G11" s="13" t="s">
        <v>71</v>
      </c>
      <c r="H11" s="17"/>
      <c r="I11" s="13" t="s">
        <v>73</v>
      </c>
      <c r="J11" s="13" t="s">
        <v>73</v>
      </c>
      <c r="K11" s="13" t="s">
        <v>73</v>
      </c>
      <c r="L11" s="13" t="s">
        <v>73</v>
      </c>
      <c r="M11" s="13" t="s">
        <v>73</v>
      </c>
      <c r="N11" s="13" t="s">
        <v>73</v>
      </c>
      <c r="O11" s="13" t="s">
        <v>73</v>
      </c>
      <c r="P11" s="13" t="s">
        <v>73</v>
      </c>
      <c r="Q11" s="13" t="s">
        <v>74</v>
      </c>
      <c r="R11" s="13" t="s">
        <v>73</v>
      </c>
      <c r="S11" s="13" t="s">
        <v>75</v>
      </c>
    </row>
    <row r="12">
      <c r="A12" s="11">
        <f t="shared" si="1"/>
        <v>10</v>
      </c>
      <c r="B12" s="11" t="s">
        <v>97</v>
      </c>
      <c r="C12" s="11" t="s">
        <v>98</v>
      </c>
      <c r="D12" s="13">
        <v>0.0</v>
      </c>
      <c r="E12" s="11">
        <v>0.0</v>
      </c>
      <c r="F12" s="11" t="s">
        <v>99</v>
      </c>
      <c r="G12" s="13" t="s">
        <v>49</v>
      </c>
      <c r="H12" s="12"/>
      <c r="I12" s="13" t="s">
        <v>73</v>
      </c>
      <c r="J12" s="13" t="s">
        <v>73</v>
      </c>
      <c r="K12" s="13" t="s">
        <v>74</v>
      </c>
      <c r="L12" s="13" t="s">
        <v>73</v>
      </c>
      <c r="M12" s="13" t="s">
        <v>73</v>
      </c>
      <c r="N12" s="13" t="s">
        <v>75</v>
      </c>
      <c r="O12" s="13" t="s">
        <v>73</v>
      </c>
      <c r="P12" s="13" t="s">
        <v>73</v>
      </c>
      <c r="Q12" s="13" t="s">
        <v>73</v>
      </c>
      <c r="R12" s="13" t="s">
        <v>73</v>
      </c>
      <c r="S12" s="13" t="s">
        <v>73</v>
      </c>
    </row>
    <row r="13">
      <c r="A13" s="11">
        <f t="shared" si="1"/>
        <v>11</v>
      </c>
      <c r="B13" s="12" t="s">
        <v>100</v>
      </c>
      <c r="C13" s="12" t="s">
        <v>101</v>
      </c>
      <c r="D13" s="14">
        <v>0.0</v>
      </c>
      <c r="E13" s="12">
        <v>0.0</v>
      </c>
      <c r="F13" s="12" t="s">
        <v>102</v>
      </c>
      <c r="G13" s="14" t="s">
        <v>49</v>
      </c>
      <c r="H13" s="12" t="s">
        <v>72</v>
      </c>
      <c r="I13" s="14" t="s">
        <v>75</v>
      </c>
      <c r="J13" s="13" t="s">
        <v>81</v>
      </c>
      <c r="K13" s="14" t="s">
        <v>81</v>
      </c>
      <c r="L13" s="14" t="s">
        <v>81</v>
      </c>
      <c r="M13" s="13" t="s">
        <v>81</v>
      </c>
      <c r="N13" s="14" t="s">
        <v>81</v>
      </c>
      <c r="O13" s="13" t="s">
        <v>81</v>
      </c>
      <c r="P13" s="14" t="s">
        <v>81</v>
      </c>
      <c r="Q13" s="13" t="s">
        <v>81</v>
      </c>
      <c r="R13" s="13" t="s">
        <v>81</v>
      </c>
      <c r="S13" s="13" t="s">
        <v>81</v>
      </c>
    </row>
    <row r="14">
      <c r="A14" s="11">
        <f t="shared" si="1"/>
        <v>12</v>
      </c>
      <c r="B14" s="12" t="s">
        <v>103</v>
      </c>
      <c r="C14" s="12" t="s">
        <v>104</v>
      </c>
      <c r="D14" s="14">
        <v>0.0</v>
      </c>
      <c r="E14" s="12">
        <v>0.0</v>
      </c>
      <c r="F14" s="12" t="s">
        <v>105</v>
      </c>
      <c r="G14" s="14" t="s">
        <v>49</v>
      </c>
      <c r="H14" s="12" t="s">
        <v>72</v>
      </c>
      <c r="I14" s="14" t="s">
        <v>74</v>
      </c>
      <c r="J14" s="13" t="s">
        <v>75</v>
      </c>
      <c r="K14" s="13" t="s">
        <v>74</v>
      </c>
      <c r="L14" s="13" t="s">
        <v>74</v>
      </c>
      <c r="M14" s="13" t="s">
        <v>73</v>
      </c>
      <c r="N14" s="14" t="s">
        <v>74</v>
      </c>
      <c r="O14" s="13" t="s">
        <v>74</v>
      </c>
      <c r="P14" s="13" t="s">
        <v>73</v>
      </c>
      <c r="Q14" s="13" t="s">
        <v>73</v>
      </c>
      <c r="R14" s="13" t="s">
        <v>74</v>
      </c>
      <c r="S14" s="13" t="s">
        <v>73</v>
      </c>
    </row>
    <row r="15">
      <c r="A15" s="11">
        <f t="shared" si="1"/>
        <v>13</v>
      </c>
      <c r="B15" s="12" t="s">
        <v>106</v>
      </c>
      <c r="C15" s="12" t="s">
        <v>107</v>
      </c>
      <c r="D15" s="14">
        <v>0.0</v>
      </c>
      <c r="E15" s="12">
        <v>0.0</v>
      </c>
      <c r="F15" s="12" t="s">
        <v>108</v>
      </c>
      <c r="G15" s="14" t="s">
        <v>49</v>
      </c>
      <c r="H15" s="12" t="s">
        <v>72</v>
      </c>
      <c r="I15" s="13" t="s">
        <v>73</v>
      </c>
      <c r="J15" s="14" t="s">
        <v>75</v>
      </c>
      <c r="K15" s="13" t="s">
        <v>74</v>
      </c>
      <c r="L15" s="14" t="s">
        <v>74</v>
      </c>
      <c r="M15" s="13" t="s">
        <v>73</v>
      </c>
      <c r="N15" s="14" t="s">
        <v>74</v>
      </c>
      <c r="O15" s="13" t="s">
        <v>73</v>
      </c>
      <c r="P15" s="13" t="s">
        <v>73</v>
      </c>
      <c r="Q15" s="13" t="s">
        <v>73</v>
      </c>
      <c r="R15" s="13" t="s">
        <v>74</v>
      </c>
      <c r="S15" s="13" t="s">
        <v>73</v>
      </c>
    </row>
    <row r="16">
      <c r="A16" s="11">
        <f t="shared" si="1"/>
        <v>14</v>
      </c>
      <c r="B16" s="11" t="s">
        <v>109</v>
      </c>
      <c r="C16" s="11" t="s">
        <v>88</v>
      </c>
      <c r="D16" s="13">
        <v>0.0</v>
      </c>
      <c r="E16" s="11">
        <v>0.0</v>
      </c>
      <c r="F16" s="11" t="s">
        <v>89</v>
      </c>
      <c r="G16" s="13" t="s">
        <v>49</v>
      </c>
      <c r="H16" s="17"/>
      <c r="I16" s="13" t="s">
        <v>73</v>
      </c>
      <c r="J16" s="13" t="s">
        <v>73</v>
      </c>
      <c r="K16" s="13" t="s">
        <v>75</v>
      </c>
      <c r="L16" s="13" t="s">
        <v>74</v>
      </c>
      <c r="M16" s="13" t="s">
        <v>73</v>
      </c>
      <c r="N16" s="13" t="s">
        <v>74</v>
      </c>
      <c r="O16" s="13" t="s">
        <v>74</v>
      </c>
      <c r="P16" s="13" t="s">
        <v>81</v>
      </c>
      <c r="Q16" s="13" t="s">
        <v>74</v>
      </c>
      <c r="R16" s="13" t="s">
        <v>73</v>
      </c>
      <c r="S16" s="13" t="s">
        <v>73</v>
      </c>
    </row>
    <row r="17" ht="15.75" customHeight="1">
      <c r="A17" s="11">
        <f t="shared" si="1"/>
        <v>15</v>
      </c>
      <c r="B17" s="11" t="s">
        <v>110</v>
      </c>
      <c r="C17" s="11" t="s">
        <v>98</v>
      </c>
      <c r="D17" s="13">
        <v>2.0</v>
      </c>
      <c r="E17" s="11">
        <v>0.0</v>
      </c>
      <c r="F17" s="11" t="s">
        <v>99</v>
      </c>
      <c r="G17" s="13" t="s">
        <v>49</v>
      </c>
      <c r="H17" s="17"/>
      <c r="I17" s="13" t="s">
        <v>73</v>
      </c>
      <c r="J17" s="13" t="s">
        <v>73</v>
      </c>
      <c r="K17" s="13" t="s">
        <v>74</v>
      </c>
      <c r="L17" s="13" t="s">
        <v>81</v>
      </c>
      <c r="M17" s="13" t="s">
        <v>73</v>
      </c>
      <c r="N17" s="13" t="s">
        <v>75</v>
      </c>
      <c r="O17" s="13" t="s">
        <v>73</v>
      </c>
      <c r="P17" s="13" t="s">
        <v>73</v>
      </c>
      <c r="Q17" s="13" t="s">
        <v>74</v>
      </c>
      <c r="R17" s="13" t="s">
        <v>73</v>
      </c>
      <c r="S17" s="13" t="s">
        <v>73</v>
      </c>
    </row>
    <row r="18" ht="15.75" customHeight="1">
      <c r="A18" s="11">
        <f t="shared" si="1"/>
        <v>16</v>
      </c>
      <c r="B18" s="11" t="s">
        <v>111</v>
      </c>
      <c r="C18" s="11" t="s">
        <v>112</v>
      </c>
      <c r="D18" s="13">
        <v>0.0</v>
      </c>
      <c r="E18" s="11">
        <v>0.0</v>
      </c>
      <c r="F18" s="11" t="s">
        <v>113</v>
      </c>
      <c r="G18" s="13" t="s">
        <v>49</v>
      </c>
      <c r="H18" s="17"/>
      <c r="I18" s="13" t="s">
        <v>73</v>
      </c>
      <c r="J18" s="13" t="s">
        <v>73</v>
      </c>
      <c r="K18" s="13" t="s">
        <v>74</v>
      </c>
      <c r="L18" s="13" t="s">
        <v>81</v>
      </c>
      <c r="M18" s="13" t="s">
        <v>73</v>
      </c>
      <c r="N18" s="13" t="s">
        <v>75</v>
      </c>
      <c r="O18" s="13" t="s">
        <v>73</v>
      </c>
      <c r="P18" s="13" t="s">
        <v>73</v>
      </c>
      <c r="Q18" s="13" t="s">
        <v>73</v>
      </c>
      <c r="R18" s="13" t="s">
        <v>73</v>
      </c>
      <c r="S18" s="13" t="s">
        <v>73</v>
      </c>
    </row>
    <row r="19" ht="15.75" customHeight="1">
      <c r="A19" s="11">
        <f t="shared" si="1"/>
        <v>17</v>
      </c>
      <c r="B19" s="11" t="s">
        <v>114</v>
      </c>
      <c r="C19" s="11" t="s">
        <v>115</v>
      </c>
      <c r="D19" s="13">
        <v>0.0</v>
      </c>
      <c r="E19" s="11">
        <v>0.0</v>
      </c>
      <c r="F19" s="11" t="s">
        <v>116</v>
      </c>
      <c r="G19" s="13" t="s">
        <v>49</v>
      </c>
      <c r="H19" s="17"/>
      <c r="I19" s="13" t="s">
        <v>74</v>
      </c>
      <c r="J19" s="13" t="s">
        <v>73</v>
      </c>
      <c r="K19" s="13" t="s">
        <v>74</v>
      </c>
      <c r="L19" s="13" t="s">
        <v>73</v>
      </c>
      <c r="M19" s="13" t="s">
        <v>73</v>
      </c>
      <c r="N19" s="13" t="s">
        <v>74</v>
      </c>
      <c r="O19" s="13" t="s">
        <v>74</v>
      </c>
      <c r="P19" s="13" t="s">
        <v>73</v>
      </c>
      <c r="Q19" s="13" t="s">
        <v>73</v>
      </c>
      <c r="R19" s="13" t="s">
        <v>73</v>
      </c>
      <c r="S19" s="13" t="s">
        <v>75</v>
      </c>
    </row>
    <row r="20" ht="15.75" customHeight="1">
      <c r="A20" s="11">
        <f t="shared" si="1"/>
        <v>18</v>
      </c>
      <c r="B20" s="11" t="s">
        <v>117</v>
      </c>
      <c r="C20" s="11" t="s">
        <v>118</v>
      </c>
      <c r="D20" s="13">
        <v>0.0</v>
      </c>
      <c r="E20" s="11">
        <v>0.0</v>
      </c>
      <c r="F20" s="11">
        <v>0.0</v>
      </c>
      <c r="G20" s="13" t="s">
        <v>49</v>
      </c>
      <c r="H20" s="17"/>
      <c r="I20" s="13" t="s">
        <v>73</v>
      </c>
      <c r="J20" s="13" t="s">
        <v>73</v>
      </c>
      <c r="K20" s="13" t="s">
        <v>75</v>
      </c>
      <c r="L20" s="13" t="s">
        <v>73</v>
      </c>
      <c r="M20" s="13" t="s">
        <v>73</v>
      </c>
      <c r="N20" s="13" t="s">
        <v>74</v>
      </c>
      <c r="O20" s="13" t="s">
        <v>73</v>
      </c>
      <c r="P20" s="13" t="s">
        <v>73</v>
      </c>
      <c r="Q20" s="13" t="s">
        <v>73</v>
      </c>
      <c r="R20" s="13" t="s">
        <v>73</v>
      </c>
      <c r="S20" s="13" t="s">
        <v>73</v>
      </c>
    </row>
    <row r="21" ht="15.75" customHeight="1">
      <c r="A21" s="11">
        <f t="shared" si="1"/>
        <v>19</v>
      </c>
      <c r="B21" s="11" t="s">
        <v>119</v>
      </c>
      <c r="C21" s="11" t="s">
        <v>120</v>
      </c>
      <c r="D21" s="13">
        <v>0.0</v>
      </c>
      <c r="E21" s="11">
        <v>0.0</v>
      </c>
      <c r="F21" s="18" t="s">
        <v>121</v>
      </c>
      <c r="G21" s="13" t="s">
        <v>49</v>
      </c>
      <c r="H21" s="17"/>
      <c r="I21" s="13" t="s">
        <v>75</v>
      </c>
      <c r="J21" s="13" t="s">
        <v>73</v>
      </c>
      <c r="K21" s="13" t="s">
        <v>74</v>
      </c>
      <c r="L21" s="13" t="s">
        <v>73</v>
      </c>
      <c r="M21" s="13" t="s">
        <v>73</v>
      </c>
      <c r="N21" s="13" t="s">
        <v>74</v>
      </c>
      <c r="O21" s="13" t="s">
        <v>73</v>
      </c>
      <c r="P21" s="13" t="s">
        <v>73</v>
      </c>
      <c r="Q21" s="13" t="s">
        <v>73</v>
      </c>
      <c r="R21" s="13" t="s">
        <v>73</v>
      </c>
      <c r="S21" s="13" t="s">
        <v>73</v>
      </c>
    </row>
    <row r="22" ht="15.75" customHeight="1">
      <c r="A22" s="11">
        <f t="shared" si="1"/>
        <v>20</v>
      </c>
      <c r="B22" s="11" t="s">
        <v>122</v>
      </c>
      <c r="C22" s="11" t="s">
        <v>120</v>
      </c>
      <c r="D22" s="13">
        <v>0.0</v>
      </c>
      <c r="E22" s="11">
        <v>0.0</v>
      </c>
      <c r="F22" s="18" t="s">
        <v>121</v>
      </c>
      <c r="G22" s="13" t="s">
        <v>49</v>
      </c>
      <c r="H22" s="17"/>
      <c r="I22" s="13" t="s">
        <v>75</v>
      </c>
      <c r="J22" s="13" t="s">
        <v>73</v>
      </c>
      <c r="K22" s="13" t="s">
        <v>73</v>
      </c>
      <c r="L22" s="13" t="s">
        <v>73</v>
      </c>
      <c r="M22" s="13" t="s">
        <v>73</v>
      </c>
      <c r="N22" s="13" t="s">
        <v>73</v>
      </c>
      <c r="O22" s="13" t="s">
        <v>73</v>
      </c>
      <c r="P22" s="13" t="s">
        <v>73</v>
      </c>
      <c r="Q22" s="13" t="s">
        <v>73</v>
      </c>
      <c r="R22" s="13" t="s">
        <v>73</v>
      </c>
      <c r="S22" s="13" t="s">
        <v>73</v>
      </c>
    </row>
    <row r="23" ht="15.75" customHeight="1"/>
    <row r="24" ht="15.75" customHeight="1"/>
    <row r="25" ht="15.75" customHeight="1"/>
    <row r="26" ht="15.75" customHeight="1"/>
    <row r="27" ht="15.75" customHeight="1"/>
    <row r="28" ht="15.75" customHeight="1"/>
    <row r="29" ht="15.75" customHeight="1">
      <c r="I29" s="19"/>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ataValidations>
    <dataValidation type="list" allowBlank="1" showErrorMessage="1" sqref="M2:M22 O2:O22 R2:R22">
      <formula1>"R,R E,W,W E,-"</formula1>
    </dataValidation>
    <dataValidation type="list" allowBlank="1" showErrorMessage="1" sqref="G2:G22">
      <formula1>"N,Y"</formula1>
    </dataValidation>
    <dataValidation type="list" allowBlank="1" showErrorMessage="1" sqref="D2:D22">
      <formula1>"0,1,2"</formula1>
    </dataValidation>
    <dataValidation type="list" allowBlank="1" showErrorMessage="1" sqref="I2:L22 N2:N22 P2:Q22 S2:S22">
      <formula1>"R,R E,W,W E,-"</formula1>
    </dataValidation>
  </dataValidations>
  <printOptions/>
  <pageMargins bottom="0.75" footer="0.0" header="0.0" left="0.7" right="0.7" top="0.75"/>
  <pageSetup orientation="landscape"/>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29"/>
    <col customWidth="1" min="2" max="2" width="30.14"/>
    <col customWidth="1" min="3" max="3" width="39.86"/>
    <col customWidth="1" min="4" max="4" width="49.43"/>
    <col customWidth="1" min="5" max="5" width="8.86"/>
    <col customWidth="1" min="6" max="6" width="5.29"/>
    <col customWidth="1" min="7" max="7" width="16.0"/>
    <col customWidth="1" min="8" max="8" width="15.43"/>
    <col customWidth="1" min="9" max="9" width="15.29"/>
    <col customWidth="1" min="10" max="10" width="18.29"/>
    <col customWidth="1" min="11" max="11" width="16.29"/>
    <col customWidth="1" min="12" max="12" width="15.0"/>
    <col customWidth="1" min="13" max="13" width="16.29"/>
    <col customWidth="1" min="14" max="14" width="16.14"/>
    <col customWidth="1" min="15" max="15" width="14.86"/>
    <col customWidth="1" min="16" max="17" width="20.71"/>
  </cols>
  <sheetData>
    <row r="1">
      <c r="A1" s="20" t="s">
        <v>49</v>
      </c>
      <c r="B1" s="9" t="s">
        <v>123</v>
      </c>
      <c r="C1" s="9" t="s">
        <v>124</v>
      </c>
      <c r="D1" s="9" t="s">
        <v>125</v>
      </c>
      <c r="E1" s="20" t="s">
        <v>126</v>
      </c>
      <c r="F1" s="9" t="s">
        <v>56</v>
      </c>
      <c r="G1" s="9" t="s">
        <v>57</v>
      </c>
      <c r="H1" s="9" t="s">
        <v>58</v>
      </c>
      <c r="I1" s="9" t="s">
        <v>59</v>
      </c>
      <c r="J1" s="9" t="s">
        <v>60</v>
      </c>
      <c r="K1" s="10" t="s">
        <v>61</v>
      </c>
      <c r="L1" s="9" t="s">
        <v>62</v>
      </c>
      <c r="M1" s="10" t="s">
        <v>63</v>
      </c>
      <c r="N1" s="9" t="s">
        <v>64</v>
      </c>
      <c r="O1" s="9" t="s">
        <v>65</v>
      </c>
      <c r="P1" s="10" t="s">
        <v>66</v>
      </c>
      <c r="Q1" s="9" t="s">
        <v>67</v>
      </c>
    </row>
    <row r="2">
      <c r="A2" s="21">
        <f t="shared" ref="A2:A57" si="1">ROW()-ROW($A$2)</f>
        <v>0</v>
      </c>
      <c r="B2" s="12" t="s">
        <v>127</v>
      </c>
      <c r="C2" s="12" t="s">
        <v>128</v>
      </c>
      <c r="D2" s="12" t="s">
        <v>129</v>
      </c>
      <c r="E2" s="11" t="s">
        <v>130</v>
      </c>
      <c r="F2" s="12" t="s">
        <v>72</v>
      </c>
      <c r="G2" s="14" t="s">
        <v>75</v>
      </c>
      <c r="H2" s="13" t="s">
        <v>73</v>
      </c>
      <c r="I2" s="13" t="s">
        <v>73</v>
      </c>
      <c r="J2" s="13" t="s">
        <v>73</v>
      </c>
      <c r="K2" s="13" t="s">
        <v>73</v>
      </c>
      <c r="L2" s="14" t="s">
        <v>131</v>
      </c>
      <c r="M2" s="13" t="s">
        <v>73</v>
      </c>
      <c r="N2" s="13" t="s">
        <v>73</v>
      </c>
      <c r="O2" s="13" t="s">
        <v>73</v>
      </c>
      <c r="P2" s="13" t="s">
        <v>73</v>
      </c>
      <c r="Q2" s="13" t="s">
        <v>73</v>
      </c>
    </row>
    <row r="3">
      <c r="A3" s="21">
        <f t="shared" si="1"/>
        <v>1</v>
      </c>
      <c r="B3" s="11" t="s">
        <v>132</v>
      </c>
      <c r="C3" s="11" t="s">
        <v>133</v>
      </c>
      <c r="D3" s="11" t="s">
        <v>134</v>
      </c>
      <c r="E3" s="11" t="s">
        <v>135</v>
      </c>
      <c r="F3" s="12"/>
      <c r="G3" s="13" t="s">
        <v>75</v>
      </c>
      <c r="H3" s="13" t="s">
        <v>73</v>
      </c>
      <c r="I3" s="13" t="s">
        <v>131</v>
      </c>
      <c r="J3" s="13" t="s">
        <v>73</v>
      </c>
      <c r="K3" s="13" t="s">
        <v>73</v>
      </c>
      <c r="L3" s="13" t="s">
        <v>131</v>
      </c>
      <c r="M3" s="13" t="s">
        <v>73</v>
      </c>
      <c r="N3" s="13" t="s">
        <v>73</v>
      </c>
      <c r="O3" s="13" t="s">
        <v>73</v>
      </c>
      <c r="P3" s="13" t="s">
        <v>73</v>
      </c>
      <c r="Q3" s="13" t="s">
        <v>73</v>
      </c>
    </row>
    <row r="4">
      <c r="A4" s="21">
        <f t="shared" si="1"/>
        <v>2</v>
      </c>
      <c r="B4" s="11" t="s">
        <v>136</v>
      </c>
      <c r="C4" s="11" t="s">
        <v>137</v>
      </c>
      <c r="D4" s="11" t="s">
        <v>138</v>
      </c>
      <c r="E4" s="11" t="s">
        <v>139</v>
      </c>
      <c r="F4" s="12"/>
      <c r="G4" s="13" t="s">
        <v>75</v>
      </c>
      <c r="H4" s="13" t="s">
        <v>73</v>
      </c>
      <c r="I4" s="13" t="s">
        <v>73</v>
      </c>
      <c r="J4" s="13" t="s">
        <v>73</v>
      </c>
      <c r="K4" s="13" t="s">
        <v>73</v>
      </c>
      <c r="L4" s="13" t="s">
        <v>131</v>
      </c>
      <c r="M4" s="13" t="s">
        <v>73</v>
      </c>
      <c r="N4" s="13" t="s">
        <v>73</v>
      </c>
      <c r="O4" s="13" t="s">
        <v>73</v>
      </c>
      <c r="P4" s="13" t="s">
        <v>73</v>
      </c>
      <c r="Q4" s="13" t="s">
        <v>73</v>
      </c>
    </row>
    <row r="5">
      <c r="A5" s="21">
        <f t="shared" si="1"/>
        <v>3</v>
      </c>
      <c r="B5" s="12" t="s">
        <v>140</v>
      </c>
      <c r="C5" s="12" t="s">
        <v>141</v>
      </c>
      <c r="D5" s="12" t="s">
        <v>142</v>
      </c>
      <c r="E5" s="11" t="s">
        <v>143</v>
      </c>
      <c r="F5" s="12" t="s">
        <v>72</v>
      </c>
      <c r="G5" s="14" t="s">
        <v>75</v>
      </c>
      <c r="H5" s="13" t="s">
        <v>73</v>
      </c>
      <c r="I5" s="14" t="s">
        <v>131</v>
      </c>
      <c r="J5" s="13" t="s">
        <v>73</v>
      </c>
      <c r="K5" s="13" t="s">
        <v>73</v>
      </c>
      <c r="L5" s="13" t="s">
        <v>73</v>
      </c>
      <c r="M5" s="13" t="s">
        <v>73</v>
      </c>
      <c r="N5" s="13" t="s">
        <v>73</v>
      </c>
      <c r="O5" s="13" t="s">
        <v>73</v>
      </c>
      <c r="P5" s="13" t="s">
        <v>73</v>
      </c>
      <c r="Q5" s="13" t="s">
        <v>73</v>
      </c>
    </row>
    <row r="6">
      <c r="A6" s="21">
        <f t="shared" si="1"/>
        <v>4</v>
      </c>
      <c r="B6" s="12" t="s">
        <v>144</v>
      </c>
      <c r="C6" s="12" t="s">
        <v>145</v>
      </c>
      <c r="D6" s="12" t="s">
        <v>146</v>
      </c>
      <c r="E6" s="11" t="s">
        <v>147</v>
      </c>
      <c r="F6" s="12" t="s">
        <v>72</v>
      </c>
      <c r="G6" s="14" t="s">
        <v>75</v>
      </c>
      <c r="H6" s="13" t="s">
        <v>73</v>
      </c>
      <c r="I6" s="13" t="s">
        <v>73</v>
      </c>
      <c r="J6" s="13" t="s">
        <v>73</v>
      </c>
      <c r="K6" s="13" t="s">
        <v>73</v>
      </c>
      <c r="L6" s="14" t="s">
        <v>131</v>
      </c>
      <c r="M6" s="13" t="s">
        <v>73</v>
      </c>
      <c r="N6" s="13" t="s">
        <v>73</v>
      </c>
      <c r="O6" s="13" t="s">
        <v>73</v>
      </c>
      <c r="P6" s="13" t="s">
        <v>73</v>
      </c>
      <c r="Q6" s="13" t="s">
        <v>73</v>
      </c>
    </row>
    <row r="7">
      <c r="A7" s="21">
        <f t="shared" si="1"/>
        <v>5</v>
      </c>
      <c r="B7" s="11" t="s">
        <v>148</v>
      </c>
      <c r="C7" s="11" t="s">
        <v>149</v>
      </c>
      <c r="D7" s="12" t="s">
        <v>150</v>
      </c>
      <c r="E7" s="11" t="s">
        <v>151</v>
      </c>
      <c r="F7" s="12" t="s">
        <v>72</v>
      </c>
      <c r="G7" s="14" t="s">
        <v>75</v>
      </c>
      <c r="H7" s="13" t="s">
        <v>131</v>
      </c>
      <c r="I7" s="14" t="s">
        <v>131</v>
      </c>
      <c r="J7" s="13" t="s">
        <v>131</v>
      </c>
      <c r="K7" s="13" t="s">
        <v>131</v>
      </c>
      <c r="L7" s="13" t="s">
        <v>131</v>
      </c>
      <c r="M7" s="13" t="s">
        <v>131</v>
      </c>
      <c r="N7" s="13" t="s">
        <v>131</v>
      </c>
      <c r="O7" s="13" t="s">
        <v>131</v>
      </c>
      <c r="P7" s="13" t="s">
        <v>131</v>
      </c>
      <c r="Q7" s="13" t="s">
        <v>131</v>
      </c>
    </row>
    <row r="8">
      <c r="A8" s="21">
        <f t="shared" si="1"/>
        <v>6</v>
      </c>
      <c r="B8" s="11" t="s">
        <v>152</v>
      </c>
      <c r="C8" s="11" t="s">
        <v>153</v>
      </c>
      <c r="D8" s="11" t="s">
        <v>154</v>
      </c>
      <c r="E8" s="11" t="s">
        <v>155</v>
      </c>
      <c r="F8" s="12"/>
      <c r="G8" s="13" t="s">
        <v>75</v>
      </c>
      <c r="H8" s="13" t="s">
        <v>131</v>
      </c>
      <c r="I8" s="13" t="s">
        <v>131</v>
      </c>
      <c r="J8" s="13" t="s">
        <v>131</v>
      </c>
      <c r="K8" s="13" t="s">
        <v>131</v>
      </c>
      <c r="L8" s="13" t="s">
        <v>131</v>
      </c>
      <c r="M8" s="13" t="s">
        <v>131</v>
      </c>
      <c r="N8" s="13" t="s">
        <v>131</v>
      </c>
      <c r="O8" s="13" t="s">
        <v>131</v>
      </c>
      <c r="P8" s="13" t="s">
        <v>131</v>
      </c>
      <c r="Q8" s="13" t="s">
        <v>131</v>
      </c>
    </row>
    <row r="9">
      <c r="A9" s="21">
        <f t="shared" si="1"/>
        <v>7</v>
      </c>
      <c r="B9" s="11" t="s">
        <v>156</v>
      </c>
      <c r="C9" s="11" t="s">
        <v>157</v>
      </c>
      <c r="D9" s="11" t="s">
        <v>158</v>
      </c>
      <c r="E9" s="11" t="s">
        <v>159</v>
      </c>
      <c r="F9" s="17"/>
      <c r="G9" s="13" t="s">
        <v>73</v>
      </c>
      <c r="H9" s="13" t="s">
        <v>73</v>
      </c>
      <c r="I9" s="13" t="s">
        <v>75</v>
      </c>
      <c r="J9" s="13" t="s">
        <v>73</v>
      </c>
      <c r="K9" s="13" t="s">
        <v>73</v>
      </c>
      <c r="L9" s="13" t="s">
        <v>73</v>
      </c>
      <c r="M9" s="13" t="s">
        <v>73</v>
      </c>
      <c r="N9" s="13" t="s">
        <v>131</v>
      </c>
      <c r="O9" s="13" t="s">
        <v>131</v>
      </c>
      <c r="P9" s="13" t="s">
        <v>73</v>
      </c>
      <c r="Q9" s="13" t="s">
        <v>73</v>
      </c>
    </row>
    <row r="10">
      <c r="A10" s="21">
        <f t="shared" si="1"/>
        <v>8</v>
      </c>
      <c r="B10" s="12" t="s">
        <v>160</v>
      </c>
      <c r="C10" s="11" t="s">
        <v>161</v>
      </c>
      <c r="D10" s="12" t="s">
        <v>162</v>
      </c>
      <c r="E10" s="11" t="s">
        <v>163</v>
      </c>
      <c r="F10" s="17"/>
      <c r="G10" s="13" t="s">
        <v>73</v>
      </c>
      <c r="H10" s="13" t="s">
        <v>73</v>
      </c>
      <c r="I10" s="14" t="s">
        <v>75</v>
      </c>
      <c r="J10" s="13" t="s">
        <v>73</v>
      </c>
      <c r="K10" s="13" t="s">
        <v>73</v>
      </c>
      <c r="L10" s="13" t="s">
        <v>73</v>
      </c>
      <c r="M10" s="13" t="s">
        <v>73</v>
      </c>
      <c r="N10" s="14" t="s">
        <v>131</v>
      </c>
      <c r="O10" s="13" t="s">
        <v>73</v>
      </c>
      <c r="P10" s="13" t="s">
        <v>73</v>
      </c>
      <c r="Q10" s="13" t="s">
        <v>73</v>
      </c>
    </row>
    <row r="11">
      <c r="A11" s="21">
        <f t="shared" si="1"/>
        <v>9</v>
      </c>
      <c r="B11" s="11" t="s">
        <v>164</v>
      </c>
      <c r="C11" s="11" t="s">
        <v>165</v>
      </c>
      <c r="D11" s="11" t="s">
        <v>166</v>
      </c>
      <c r="E11" s="11" t="s">
        <v>167</v>
      </c>
      <c r="F11" s="17"/>
      <c r="G11" s="13" t="s">
        <v>73</v>
      </c>
      <c r="H11" s="13" t="s">
        <v>73</v>
      </c>
      <c r="I11" s="13" t="s">
        <v>75</v>
      </c>
      <c r="J11" s="13" t="s">
        <v>73</v>
      </c>
      <c r="K11" s="13" t="s">
        <v>73</v>
      </c>
      <c r="L11" s="13" t="s">
        <v>73</v>
      </c>
      <c r="M11" s="13" t="s">
        <v>73</v>
      </c>
      <c r="N11" s="13" t="s">
        <v>73</v>
      </c>
      <c r="O11" s="13" t="s">
        <v>131</v>
      </c>
      <c r="P11" s="13" t="s">
        <v>73</v>
      </c>
      <c r="Q11" s="13" t="s">
        <v>73</v>
      </c>
    </row>
    <row r="12">
      <c r="A12" s="21">
        <f t="shared" si="1"/>
        <v>10</v>
      </c>
      <c r="B12" s="11" t="s">
        <v>168</v>
      </c>
      <c r="C12" s="11" t="s">
        <v>169</v>
      </c>
      <c r="D12" s="11" t="s">
        <v>170</v>
      </c>
      <c r="E12" s="11" t="s">
        <v>171</v>
      </c>
      <c r="F12" s="17"/>
      <c r="G12" s="13" t="s">
        <v>73</v>
      </c>
      <c r="H12" s="13" t="s">
        <v>73</v>
      </c>
      <c r="I12" s="13" t="s">
        <v>75</v>
      </c>
      <c r="J12" s="13" t="s">
        <v>73</v>
      </c>
      <c r="K12" s="13" t="s">
        <v>73</v>
      </c>
      <c r="L12" s="13" t="s">
        <v>73</v>
      </c>
      <c r="M12" s="13" t="s">
        <v>131</v>
      </c>
      <c r="N12" s="13" t="s">
        <v>73</v>
      </c>
      <c r="O12" s="13" t="s">
        <v>131</v>
      </c>
      <c r="P12" s="13" t="s">
        <v>73</v>
      </c>
      <c r="Q12" s="13" t="s">
        <v>73</v>
      </c>
    </row>
    <row r="13">
      <c r="A13" s="21">
        <f t="shared" si="1"/>
        <v>11</v>
      </c>
      <c r="B13" s="11" t="s">
        <v>172</v>
      </c>
      <c r="C13" s="11" t="s">
        <v>173</v>
      </c>
      <c r="D13" s="11" t="s">
        <v>174</v>
      </c>
      <c r="E13" s="11" t="s">
        <v>175</v>
      </c>
      <c r="F13" s="17"/>
      <c r="G13" s="13" t="s">
        <v>73</v>
      </c>
      <c r="H13" s="13" t="s">
        <v>73</v>
      </c>
      <c r="I13" s="13" t="s">
        <v>75</v>
      </c>
      <c r="J13" s="13" t="s">
        <v>73</v>
      </c>
      <c r="K13" s="13" t="s">
        <v>73</v>
      </c>
      <c r="L13" s="13" t="s">
        <v>73</v>
      </c>
      <c r="M13" s="13" t="s">
        <v>73</v>
      </c>
      <c r="N13" s="13" t="s">
        <v>131</v>
      </c>
      <c r="O13" s="13" t="s">
        <v>73</v>
      </c>
      <c r="P13" s="13" t="s">
        <v>73</v>
      </c>
      <c r="Q13" s="13" t="s">
        <v>73</v>
      </c>
    </row>
    <row r="14">
      <c r="A14" s="21">
        <f t="shared" si="1"/>
        <v>12</v>
      </c>
      <c r="B14" s="11" t="s">
        <v>176</v>
      </c>
      <c r="C14" s="11" t="s">
        <v>177</v>
      </c>
      <c r="D14" s="11" t="s">
        <v>178</v>
      </c>
      <c r="E14" s="11" t="s">
        <v>179</v>
      </c>
      <c r="F14" s="17"/>
      <c r="G14" s="13" t="s">
        <v>73</v>
      </c>
      <c r="H14" s="13" t="s">
        <v>73</v>
      </c>
      <c r="I14" s="13" t="s">
        <v>75</v>
      </c>
      <c r="J14" s="13" t="s">
        <v>73</v>
      </c>
      <c r="K14" s="13" t="s">
        <v>73</v>
      </c>
      <c r="L14" s="13" t="s">
        <v>73</v>
      </c>
      <c r="M14" s="13" t="s">
        <v>73</v>
      </c>
      <c r="N14" s="13" t="s">
        <v>73</v>
      </c>
      <c r="O14" s="13" t="s">
        <v>131</v>
      </c>
      <c r="P14" s="13" t="s">
        <v>73</v>
      </c>
      <c r="Q14" s="13" t="s">
        <v>131</v>
      </c>
    </row>
    <row r="15">
      <c r="A15" s="21">
        <f t="shared" si="1"/>
        <v>13</v>
      </c>
      <c r="B15" s="11" t="s">
        <v>180</v>
      </c>
      <c r="C15" s="11" t="s">
        <v>181</v>
      </c>
      <c r="D15" s="11" t="s">
        <v>182</v>
      </c>
      <c r="E15" s="11" t="s">
        <v>183</v>
      </c>
      <c r="F15" s="17"/>
      <c r="G15" s="13" t="s">
        <v>73</v>
      </c>
      <c r="H15" s="13" t="s">
        <v>73</v>
      </c>
      <c r="I15" s="13" t="s">
        <v>75</v>
      </c>
      <c r="J15" s="13" t="s">
        <v>131</v>
      </c>
      <c r="K15" s="13" t="s">
        <v>73</v>
      </c>
      <c r="L15" s="13" t="s">
        <v>73</v>
      </c>
      <c r="M15" s="13" t="s">
        <v>73</v>
      </c>
      <c r="N15" s="13" t="s">
        <v>131</v>
      </c>
      <c r="O15" s="13" t="s">
        <v>73</v>
      </c>
      <c r="P15" s="13" t="s">
        <v>73</v>
      </c>
      <c r="Q15" s="13" t="s">
        <v>73</v>
      </c>
    </row>
    <row r="16">
      <c r="A16" s="21">
        <f t="shared" si="1"/>
        <v>14</v>
      </c>
      <c r="B16" s="22" t="s">
        <v>184</v>
      </c>
      <c r="C16" s="22" t="s">
        <v>185</v>
      </c>
      <c r="D16" s="22" t="s">
        <v>186</v>
      </c>
      <c r="E16" s="22" t="s">
        <v>187</v>
      </c>
      <c r="F16" s="23"/>
      <c r="G16" s="24" t="s">
        <v>73</v>
      </c>
      <c r="H16" s="24" t="s">
        <v>73</v>
      </c>
      <c r="I16" s="24" t="s">
        <v>131</v>
      </c>
      <c r="J16" s="24" t="s">
        <v>131</v>
      </c>
      <c r="K16" s="13" t="s">
        <v>131</v>
      </c>
      <c r="L16" s="24" t="s">
        <v>131</v>
      </c>
      <c r="M16" s="13" t="s">
        <v>131</v>
      </c>
      <c r="N16" s="24" t="s">
        <v>73</v>
      </c>
      <c r="O16" s="24" t="s">
        <v>131</v>
      </c>
      <c r="P16" s="13" t="s">
        <v>73</v>
      </c>
      <c r="Q16" s="24" t="s">
        <v>75</v>
      </c>
      <c r="R16" s="25"/>
      <c r="S16" s="25"/>
      <c r="T16" s="25"/>
      <c r="U16" s="25"/>
      <c r="V16" s="25"/>
      <c r="W16" s="25"/>
      <c r="X16" s="25"/>
      <c r="Y16" s="25"/>
      <c r="Z16" s="25"/>
      <c r="AA16" s="25"/>
    </row>
    <row r="17">
      <c r="A17" s="21">
        <f t="shared" si="1"/>
        <v>15</v>
      </c>
      <c r="B17" s="11" t="s">
        <v>188</v>
      </c>
      <c r="C17" s="11" t="s">
        <v>189</v>
      </c>
      <c r="D17" s="11" t="s">
        <v>190</v>
      </c>
      <c r="E17" s="11" t="s">
        <v>191</v>
      </c>
      <c r="F17" s="17"/>
      <c r="G17" s="13" t="s">
        <v>131</v>
      </c>
      <c r="H17" s="13" t="s">
        <v>73</v>
      </c>
      <c r="I17" s="13" t="s">
        <v>73</v>
      </c>
      <c r="J17" s="13" t="s">
        <v>73</v>
      </c>
      <c r="K17" s="13" t="s">
        <v>73</v>
      </c>
      <c r="L17" s="13" t="s">
        <v>131</v>
      </c>
      <c r="M17" s="13" t="s">
        <v>73</v>
      </c>
      <c r="N17" s="13" t="s">
        <v>73</v>
      </c>
      <c r="O17" s="13" t="s">
        <v>73</v>
      </c>
      <c r="P17" s="13" t="s">
        <v>73</v>
      </c>
      <c r="Q17" s="13" t="s">
        <v>75</v>
      </c>
    </row>
    <row r="18">
      <c r="A18" s="21">
        <f t="shared" si="1"/>
        <v>16</v>
      </c>
      <c r="B18" s="22" t="s">
        <v>192</v>
      </c>
      <c r="C18" s="22" t="s">
        <v>193</v>
      </c>
      <c r="D18" s="22" t="s">
        <v>194</v>
      </c>
      <c r="E18" s="22" t="s">
        <v>195</v>
      </c>
      <c r="F18" s="23"/>
      <c r="G18" s="24" t="s">
        <v>73</v>
      </c>
      <c r="H18" s="24" t="s">
        <v>73</v>
      </c>
      <c r="I18" s="24" t="s">
        <v>73</v>
      </c>
      <c r="J18" s="24" t="s">
        <v>73</v>
      </c>
      <c r="K18" s="13" t="s">
        <v>73</v>
      </c>
      <c r="L18" s="24" t="s">
        <v>131</v>
      </c>
      <c r="M18" s="13" t="s">
        <v>73</v>
      </c>
      <c r="N18" s="24" t="s">
        <v>73</v>
      </c>
      <c r="O18" s="24" t="s">
        <v>73</v>
      </c>
      <c r="P18" s="13" t="s">
        <v>73</v>
      </c>
      <c r="Q18" s="24" t="s">
        <v>75</v>
      </c>
      <c r="R18" s="25"/>
      <c r="S18" s="25"/>
      <c r="T18" s="25"/>
      <c r="U18" s="25"/>
      <c r="V18" s="25"/>
      <c r="W18" s="25"/>
      <c r="X18" s="25"/>
      <c r="Y18" s="25"/>
      <c r="Z18" s="25"/>
      <c r="AA18" s="25"/>
    </row>
    <row r="19">
      <c r="A19" s="21">
        <f t="shared" si="1"/>
        <v>17</v>
      </c>
      <c r="B19" s="22" t="s">
        <v>196</v>
      </c>
      <c r="C19" s="22" t="s">
        <v>197</v>
      </c>
      <c r="D19" s="22" t="s">
        <v>198</v>
      </c>
      <c r="E19" s="22" t="s">
        <v>199</v>
      </c>
      <c r="F19" s="23"/>
      <c r="G19" s="24" t="s">
        <v>73</v>
      </c>
      <c r="H19" s="24" t="s">
        <v>73</v>
      </c>
      <c r="I19" s="24" t="s">
        <v>73</v>
      </c>
      <c r="J19" s="24" t="s">
        <v>73</v>
      </c>
      <c r="K19" s="13" t="s">
        <v>73</v>
      </c>
      <c r="L19" s="24" t="s">
        <v>131</v>
      </c>
      <c r="M19" s="13" t="s">
        <v>73</v>
      </c>
      <c r="N19" s="24" t="s">
        <v>73</v>
      </c>
      <c r="O19" s="24" t="s">
        <v>73</v>
      </c>
      <c r="P19" s="13" t="s">
        <v>73</v>
      </c>
      <c r="Q19" s="24" t="s">
        <v>75</v>
      </c>
      <c r="R19" s="25"/>
      <c r="S19" s="25"/>
      <c r="T19" s="25"/>
      <c r="U19" s="25"/>
      <c r="V19" s="25"/>
      <c r="W19" s="25"/>
      <c r="X19" s="25"/>
      <c r="Y19" s="25"/>
      <c r="Z19" s="25"/>
      <c r="AA19" s="25"/>
    </row>
    <row r="20">
      <c r="A20" s="21">
        <f t="shared" si="1"/>
        <v>18</v>
      </c>
      <c r="B20" s="22" t="s">
        <v>200</v>
      </c>
      <c r="C20" s="22" t="s">
        <v>201</v>
      </c>
      <c r="D20" s="22" t="s">
        <v>202</v>
      </c>
      <c r="E20" s="22" t="s">
        <v>203</v>
      </c>
      <c r="F20" s="23"/>
      <c r="G20" s="24" t="s">
        <v>73</v>
      </c>
      <c r="H20" s="24" t="s">
        <v>73</v>
      </c>
      <c r="I20" s="24" t="s">
        <v>131</v>
      </c>
      <c r="J20" s="24" t="s">
        <v>73</v>
      </c>
      <c r="K20" s="13" t="s">
        <v>73</v>
      </c>
      <c r="L20" s="24" t="s">
        <v>73</v>
      </c>
      <c r="M20" s="13" t="s">
        <v>73</v>
      </c>
      <c r="N20" s="24" t="s">
        <v>73</v>
      </c>
      <c r="O20" s="24" t="s">
        <v>75</v>
      </c>
      <c r="P20" s="13" t="s">
        <v>73</v>
      </c>
      <c r="Q20" s="24" t="s">
        <v>131</v>
      </c>
      <c r="R20" s="25"/>
      <c r="S20" s="25"/>
      <c r="T20" s="25"/>
      <c r="U20" s="25"/>
      <c r="V20" s="25"/>
      <c r="W20" s="25"/>
      <c r="X20" s="25"/>
      <c r="Y20" s="25"/>
      <c r="Z20" s="25"/>
      <c r="AA20" s="25"/>
    </row>
    <row r="21">
      <c r="A21" s="21">
        <f t="shared" si="1"/>
        <v>19</v>
      </c>
      <c r="B21" s="22" t="s">
        <v>204</v>
      </c>
      <c r="C21" s="22" t="s">
        <v>205</v>
      </c>
      <c r="D21" s="22" t="s">
        <v>206</v>
      </c>
      <c r="E21" s="22" t="s">
        <v>207</v>
      </c>
      <c r="F21" s="23"/>
      <c r="G21" s="24" t="s">
        <v>73</v>
      </c>
      <c r="H21" s="24" t="s">
        <v>73</v>
      </c>
      <c r="I21" s="24" t="s">
        <v>73</v>
      </c>
      <c r="J21" s="24" t="s">
        <v>73</v>
      </c>
      <c r="K21" s="13" t="s">
        <v>73</v>
      </c>
      <c r="L21" s="24" t="s">
        <v>73</v>
      </c>
      <c r="M21" s="13" t="s">
        <v>73</v>
      </c>
      <c r="N21" s="24" t="s">
        <v>73</v>
      </c>
      <c r="O21" s="24" t="s">
        <v>75</v>
      </c>
      <c r="P21" s="13" t="s">
        <v>73</v>
      </c>
      <c r="Q21" s="24" t="s">
        <v>131</v>
      </c>
      <c r="R21" s="25"/>
      <c r="S21" s="25"/>
      <c r="T21" s="25"/>
      <c r="U21" s="25"/>
      <c r="V21" s="25"/>
      <c r="W21" s="25"/>
      <c r="X21" s="25"/>
      <c r="Y21" s="25"/>
      <c r="Z21" s="25"/>
      <c r="AA21" s="25"/>
    </row>
    <row r="22">
      <c r="A22" s="21">
        <f t="shared" si="1"/>
        <v>20</v>
      </c>
      <c r="B22" s="22" t="s">
        <v>208</v>
      </c>
      <c r="C22" s="22" t="s">
        <v>209</v>
      </c>
      <c r="D22" s="22" t="s">
        <v>210</v>
      </c>
      <c r="E22" s="22" t="s">
        <v>211</v>
      </c>
      <c r="F22" s="23"/>
      <c r="G22" s="24" t="s">
        <v>73</v>
      </c>
      <c r="H22" s="24" t="s">
        <v>73</v>
      </c>
      <c r="I22" s="24" t="s">
        <v>75</v>
      </c>
      <c r="J22" s="24" t="s">
        <v>73</v>
      </c>
      <c r="K22" s="13" t="s">
        <v>73</v>
      </c>
      <c r="L22" s="24" t="s">
        <v>73</v>
      </c>
      <c r="M22" s="13" t="s">
        <v>73</v>
      </c>
      <c r="N22" s="24" t="s">
        <v>73</v>
      </c>
      <c r="O22" s="24" t="s">
        <v>131</v>
      </c>
      <c r="P22" s="13" t="s">
        <v>73</v>
      </c>
      <c r="Q22" s="24" t="s">
        <v>73</v>
      </c>
      <c r="R22" s="25"/>
      <c r="S22" s="25"/>
      <c r="T22" s="25"/>
      <c r="U22" s="25"/>
      <c r="V22" s="25"/>
      <c r="W22" s="25"/>
      <c r="X22" s="25"/>
      <c r="Y22" s="25"/>
      <c r="Z22" s="25"/>
      <c r="AA22" s="25"/>
    </row>
    <row r="23">
      <c r="A23" s="21">
        <f t="shared" si="1"/>
        <v>21</v>
      </c>
      <c r="B23" s="26" t="s">
        <v>212</v>
      </c>
      <c r="C23" s="26" t="s">
        <v>213</v>
      </c>
      <c r="D23" s="26" t="s">
        <v>214</v>
      </c>
      <c r="E23" s="22" t="s">
        <v>215</v>
      </c>
      <c r="F23" s="23"/>
      <c r="G23" s="27" t="s">
        <v>73</v>
      </c>
      <c r="H23" s="27" t="s">
        <v>73</v>
      </c>
      <c r="I23" s="24" t="s">
        <v>131</v>
      </c>
      <c r="J23" s="27" t="s">
        <v>73</v>
      </c>
      <c r="K23" s="13" t="s">
        <v>73</v>
      </c>
      <c r="L23" s="24" t="s">
        <v>131</v>
      </c>
      <c r="M23" s="13" t="s">
        <v>73</v>
      </c>
      <c r="N23" s="24" t="s">
        <v>73</v>
      </c>
      <c r="O23" s="27" t="s">
        <v>75</v>
      </c>
      <c r="P23" s="13" t="s">
        <v>73</v>
      </c>
      <c r="Q23" s="24" t="s">
        <v>73</v>
      </c>
      <c r="R23" s="25"/>
      <c r="S23" s="25"/>
      <c r="T23" s="25"/>
      <c r="U23" s="25"/>
      <c r="V23" s="25"/>
      <c r="W23" s="25"/>
      <c r="X23" s="25"/>
      <c r="Y23" s="25"/>
      <c r="Z23" s="25"/>
      <c r="AA23" s="25"/>
    </row>
    <row r="24">
      <c r="A24" s="21">
        <f t="shared" si="1"/>
        <v>22</v>
      </c>
      <c r="B24" s="11" t="s">
        <v>216</v>
      </c>
      <c r="C24" s="11" t="s">
        <v>217</v>
      </c>
      <c r="D24" s="11" t="s">
        <v>218</v>
      </c>
      <c r="E24" s="11" t="s">
        <v>219</v>
      </c>
      <c r="F24" s="17"/>
      <c r="G24" s="28" t="s">
        <v>73</v>
      </c>
      <c r="H24" s="28" t="s">
        <v>73</v>
      </c>
      <c r="I24" s="13" t="s">
        <v>131</v>
      </c>
      <c r="J24" s="28" t="s">
        <v>73</v>
      </c>
      <c r="K24" s="28" t="s">
        <v>73</v>
      </c>
      <c r="L24" s="28" t="s">
        <v>73</v>
      </c>
      <c r="M24" s="28" t="s">
        <v>73</v>
      </c>
      <c r="N24" s="28" t="s">
        <v>73</v>
      </c>
      <c r="O24" s="13" t="s">
        <v>75</v>
      </c>
      <c r="P24" s="28" t="s">
        <v>73</v>
      </c>
      <c r="Q24" s="28" t="s">
        <v>73</v>
      </c>
    </row>
    <row r="25">
      <c r="A25" s="21">
        <f t="shared" si="1"/>
        <v>23</v>
      </c>
      <c r="B25" s="11" t="s">
        <v>220</v>
      </c>
      <c r="C25" s="11" t="s">
        <v>221</v>
      </c>
      <c r="D25" s="11" t="s">
        <v>222</v>
      </c>
      <c r="E25" s="11" t="s">
        <v>223</v>
      </c>
      <c r="F25" s="17"/>
      <c r="G25" s="28" t="s">
        <v>73</v>
      </c>
      <c r="H25" s="28" t="s">
        <v>73</v>
      </c>
      <c r="I25" s="13" t="s">
        <v>131</v>
      </c>
      <c r="J25" s="28" t="s">
        <v>73</v>
      </c>
      <c r="K25" s="28" t="s">
        <v>73</v>
      </c>
      <c r="L25" s="28" t="s">
        <v>73</v>
      </c>
      <c r="M25" s="28" t="s">
        <v>73</v>
      </c>
      <c r="N25" s="28" t="s">
        <v>73</v>
      </c>
      <c r="O25" s="28" t="s">
        <v>73</v>
      </c>
      <c r="P25" s="28" t="s">
        <v>73</v>
      </c>
      <c r="Q25" s="13" t="s">
        <v>75</v>
      </c>
    </row>
    <row r="26">
      <c r="A26" s="21">
        <f t="shared" si="1"/>
        <v>24</v>
      </c>
      <c r="B26" s="11" t="s">
        <v>224</v>
      </c>
      <c r="C26" s="11" t="s">
        <v>225</v>
      </c>
      <c r="D26" s="11" t="s">
        <v>226</v>
      </c>
      <c r="E26" s="11" t="s">
        <v>227</v>
      </c>
      <c r="F26" s="17"/>
      <c r="G26" s="28" t="s">
        <v>73</v>
      </c>
      <c r="H26" s="28" t="s">
        <v>73</v>
      </c>
      <c r="I26" s="28" t="s">
        <v>73</v>
      </c>
      <c r="J26" s="28" t="s">
        <v>73</v>
      </c>
      <c r="K26" s="28" t="s">
        <v>73</v>
      </c>
      <c r="L26" s="13" t="s">
        <v>75</v>
      </c>
      <c r="M26" s="28" t="s">
        <v>73</v>
      </c>
      <c r="N26" s="28" t="s">
        <v>73</v>
      </c>
      <c r="O26" s="28" t="s">
        <v>73</v>
      </c>
      <c r="P26" s="28" t="s">
        <v>73</v>
      </c>
      <c r="Q26" s="13" t="s">
        <v>131</v>
      </c>
    </row>
    <row r="27">
      <c r="A27" s="21">
        <f t="shared" si="1"/>
        <v>25</v>
      </c>
      <c r="B27" s="11" t="s">
        <v>228</v>
      </c>
      <c r="C27" s="11" t="s">
        <v>229</v>
      </c>
      <c r="D27" s="11" t="s">
        <v>230</v>
      </c>
      <c r="E27" s="11" t="s">
        <v>231</v>
      </c>
      <c r="F27" s="17"/>
      <c r="G27" s="13" t="s">
        <v>73</v>
      </c>
      <c r="H27" s="13" t="s">
        <v>73</v>
      </c>
      <c r="I27" s="13" t="s">
        <v>131</v>
      </c>
      <c r="J27" s="13" t="s">
        <v>73</v>
      </c>
      <c r="K27" s="13" t="s">
        <v>73</v>
      </c>
      <c r="L27" s="13" t="s">
        <v>75</v>
      </c>
      <c r="M27" s="13" t="s">
        <v>73</v>
      </c>
      <c r="N27" s="13" t="s">
        <v>73</v>
      </c>
      <c r="O27" s="13" t="s">
        <v>131</v>
      </c>
      <c r="P27" s="13" t="s">
        <v>73</v>
      </c>
      <c r="Q27" s="13" t="s">
        <v>73</v>
      </c>
    </row>
    <row r="28">
      <c r="A28" s="21">
        <f t="shared" si="1"/>
        <v>26</v>
      </c>
      <c r="B28" s="11" t="s">
        <v>232</v>
      </c>
      <c r="C28" s="11" t="s">
        <v>233</v>
      </c>
      <c r="D28" s="11" t="s">
        <v>234</v>
      </c>
      <c r="E28" s="11" t="s">
        <v>235</v>
      </c>
      <c r="F28" s="11"/>
      <c r="G28" s="13" t="s">
        <v>73</v>
      </c>
      <c r="H28" s="13" t="s">
        <v>75</v>
      </c>
      <c r="I28" s="13" t="s">
        <v>73</v>
      </c>
      <c r="J28" s="13" t="s">
        <v>73</v>
      </c>
      <c r="K28" s="13" t="s">
        <v>73</v>
      </c>
      <c r="L28" s="13" t="s">
        <v>131</v>
      </c>
      <c r="M28" s="13" t="s">
        <v>73</v>
      </c>
      <c r="N28" s="13" t="s">
        <v>73</v>
      </c>
      <c r="O28" s="13" t="s">
        <v>73</v>
      </c>
      <c r="P28" s="13" t="s">
        <v>73</v>
      </c>
      <c r="Q28" s="13" t="s">
        <v>73</v>
      </c>
    </row>
    <row r="29">
      <c r="A29" s="21">
        <f t="shared" si="1"/>
        <v>27</v>
      </c>
      <c r="B29" s="11" t="s">
        <v>236</v>
      </c>
      <c r="C29" s="11" t="s">
        <v>237</v>
      </c>
      <c r="D29" s="11" t="s">
        <v>238</v>
      </c>
      <c r="E29" s="11" t="s">
        <v>239</v>
      </c>
      <c r="F29" s="17"/>
      <c r="G29" s="13" t="s">
        <v>73</v>
      </c>
      <c r="H29" s="13" t="s">
        <v>73</v>
      </c>
      <c r="I29" s="13" t="s">
        <v>131</v>
      </c>
      <c r="J29" s="13" t="s">
        <v>73</v>
      </c>
      <c r="K29" s="13" t="s">
        <v>73</v>
      </c>
      <c r="L29" s="13" t="s">
        <v>73</v>
      </c>
      <c r="M29" s="13" t="s">
        <v>73</v>
      </c>
      <c r="N29" s="13" t="s">
        <v>75</v>
      </c>
      <c r="O29" s="13" t="s">
        <v>73</v>
      </c>
      <c r="P29" s="13" t="s">
        <v>73</v>
      </c>
      <c r="Q29" s="13" t="s">
        <v>73</v>
      </c>
    </row>
    <row r="30">
      <c r="A30" s="21">
        <f t="shared" si="1"/>
        <v>28</v>
      </c>
      <c r="B30" s="11" t="s">
        <v>240</v>
      </c>
      <c r="C30" s="11" t="s">
        <v>241</v>
      </c>
      <c r="D30" s="11" t="s">
        <v>242</v>
      </c>
      <c r="E30" s="11" t="s">
        <v>243</v>
      </c>
      <c r="F30" s="17"/>
      <c r="G30" s="13" t="s">
        <v>75</v>
      </c>
      <c r="H30" s="13" t="s">
        <v>73</v>
      </c>
      <c r="I30" s="13" t="s">
        <v>131</v>
      </c>
      <c r="J30" s="13" t="s">
        <v>73</v>
      </c>
      <c r="K30" s="13" t="s">
        <v>73</v>
      </c>
      <c r="L30" s="13" t="s">
        <v>131</v>
      </c>
      <c r="M30" s="13" t="s">
        <v>131</v>
      </c>
      <c r="N30" s="13" t="s">
        <v>73</v>
      </c>
      <c r="O30" s="13" t="s">
        <v>73</v>
      </c>
      <c r="P30" s="13" t="s">
        <v>131</v>
      </c>
      <c r="Q30" s="13" t="s">
        <v>131</v>
      </c>
    </row>
    <row r="31">
      <c r="A31" s="21">
        <f t="shared" si="1"/>
        <v>29</v>
      </c>
      <c r="B31" s="11" t="s">
        <v>244</v>
      </c>
      <c r="C31" s="11" t="s">
        <v>245</v>
      </c>
      <c r="D31" s="11" t="s">
        <v>246</v>
      </c>
      <c r="E31" s="11" t="s">
        <v>247</v>
      </c>
      <c r="F31" s="17"/>
      <c r="G31" s="13" t="s">
        <v>73</v>
      </c>
      <c r="H31" s="13" t="s">
        <v>73</v>
      </c>
      <c r="I31" s="13" t="s">
        <v>73</v>
      </c>
      <c r="J31" s="13" t="s">
        <v>73</v>
      </c>
      <c r="K31" s="13" t="s">
        <v>73</v>
      </c>
      <c r="L31" s="13" t="s">
        <v>73</v>
      </c>
      <c r="M31" s="13" t="s">
        <v>75</v>
      </c>
      <c r="N31" s="13" t="s">
        <v>73</v>
      </c>
      <c r="O31" s="13" t="s">
        <v>73</v>
      </c>
      <c r="P31" s="13" t="s">
        <v>131</v>
      </c>
      <c r="Q31" s="13" t="s">
        <v>131</v>
      </c>
    </row>
    <row r="32">
      <c r="A32" s="21">
        <f t="shared" si="1"/>
        <v>30</v>
      </c>
      <c r="B32" s="11" t="s">
        <v>248</v>
      </c>
      <c r="C32" s="11" t="s">
        <v>249</v>
      </c>
      <c r="D32" s="11" t="s">
        <v>250</v>
      </c>
      <c r="E32" s="11" t="s">
        <v>251</v>
      </c>
      <c r="F32" s="17"/>
      <c r="G32" s="13" t="s">
        <v>73</v>
      </c>
      <c r="H32" s="13" t="s">
        <v>73</v>
      </c>
      <c r="I32" s="13" t="s">
        <v>73</v>
      </c>
      <c r="J32" s="13" t="s">
        <v>73</v>
      </c>
      <c r="K32" s="13" t="s">
        <v>73</v>
      </c>
      <c r="L32" s="13" t="s">
        <v>131</v>
      </c>
      <c r="M32" s="13" t="s">
        <v>75</v>
      </c>
      <c r="N32" s="13" t="s">
        <v>73</v>
      </c>
      <c r="O32" s="13" t="s">
        <v>73</v>
      </c>
      <c r="P32" s="13" t="s">
        <v>73</v>
      </c>
      <c r="Q32" s="13" t="s">
        <v>73</v>
      </c>
    </row>
    <row r="33">
      <c r="A33" s="21">
        <f t="shared" si="1"/>
        <v>31</v>
      </c>
      <c r="B33" s="11" t="s">
        <v>252</v>
      </c>
      <c r="C33" s="11" t="s">
        <v>253</v>
      </c>
      <c r="D33" s="11" t="s">
        <v>254</v>
      </c>
      <c r="E33" s="11" t="s">
        <v>255</v>
      </c>
      <c r="F33" s="17"/>
      <c r="G33" s="13" t="s">
        <v>73</v>
      </c>
      <c r="H33" s="13" t="s">
        <v>73</v>
      </c>
      <c r="I33" s="13" t="s">
        <v>73</v>
      </c>
      <c r="J33" s="13" t="s">
        <v>75</v>
      </c>
      <c r="K33" s="13" t="s">
        <v>73</v>
      </c>
      <c r="L33" s="13" t="s">
        <v>73</v>
      </c>
      <c r="M33" s="13" t="s">
        <v>73</v>
      </c>
      <c r="N33" s="13" t="s">
        <v>73</v>
      </c>
      <c r="O33" s="13" t="s">
        <v>131</v>
      </c>
      <c r="P33" s="13" t="s">
        <v>73</v>
      </c>
      <c r="Q33" s="13" t="s">
        <v>73</v>
      </c>
    </row>
    <row r="34">
      <c r="A34" s="21">
        <f t="shared" si="1"/>
        <v>32</v>
      </c>
      <c r="B34" s="11" t="s">
        <v>256</v>
      </c>
      <c r="C34" s="11" t="s">
        <v>257</v>
      </c>
      <c r="D34" s="11" t="s">
        <v>258</v>
      </c>
      <c r="E34" s="11" t="s">
        <v>259</v>
      </c>
      <c r="F34" s="17"/>
      <c r="G34" s="13" t="s">
        <v>73</v>
      </c>
      <c r="H34" s="13" t="s">
        <v>73</v>
      </c>
      <c r="I34" s="13" t="s">
        <v>73</v>
      </c>
      <c r="J34" s="13" t="s">
        <v>73</v>
      </c>
      <c r="K34" s="13" t="s">
        <v>73</v>
      </c>
      <c r="L34" s="13" t="s">
        <v>75</v>
      </c>
      <c r="M34" s="13" t="s">
        <v>73</v>
      </c>
      <c r="N34" s="13" t="s">
        <v>73</v>
      </c>
      <c r="O34" s="13" t="s">
        <v>73</v>
      </c>
      <c r="P34" s="13" t="s">
        <v>73</v>
      </c>
      <c r="Q34" s="13" t="s">
        <v>131</v>
      </c>
    </row>
    <row r="35">
      <c r="A35" s="21">
        <f t="shared" si="1"/>
        <v>33</v>
      </c>
      <c r="B35" s="11" t="s">
        <v>260</v>
      </c>
      <c r="C35" s="11" t="s">
        <v>261</v>
      </c>
      <c r="D35" s="11" t="s">
        <v>262</v>
      </c>
      <c r="E35" s="11" t="s">
        <v>263</v>
      </c>
      <c r="F35" s="17"/>
      <c r="G35" s="13" t="s">
        <v>75</v>
      </c>
      <c r="H35" s="13" t="s">
        <v>73</v>
      </c>
      <c r="I35" s="13" t="s">
        <v>73</v>
      </c>
      <c r="J35" s="13" t="s">
        <v>73</v>
      </c>
      <c r="K35" s="13" t="s">
        <v>73</v>
      </c>
      <c r="L35" s="13" t="s">
        <v>73</v>
      </c>
      <c r="M35" s="13" t="s">
        <v>73</v>
      </c>
      <c r="N35" s="13" t="s">
        <v>73</v>
      </c>
      <c r="O35" s="13" t="s">
        <v>73</v>
      </c>
      <c r="P35" s="13" t="s">
        <v>73</v>
      </c>
      <c r="Q35" s="13" t="s">
        <v>131</v>
      </c>
    </row>
    <row r="36">
      <c r="A36" s="21">
        <f t="shared" si="1"/>
        <v>34</v>
      </c>
      <c r="B36" s="11" t="s">
        <v>264</v>
      </c>
      <c r="C36" s="11" t="s">
        <v>265</v>
      </c>
      <c r="D36" s="11" t="s">
        <v>266</v>
      </c>
      <c r="E36" s="11" t="s">
        <v>267</v>
      </c>
      <c r="F36" s="17"/>
      <c r="G36" s="13" t="s">
        <v>75</v>
      </c>
      <c r="H36" s="13" t="s">
        <v>73</v>
      </c>
      <c r="I36" s="13" t="s">
        <v>73</v>
      </c>
      <c r="J36" s="13" t="s">
        <v>73</v>
      </c>
      <c r="K36" s="13" t="s">
        <v>73</v>
      </c>
      <c r="L36" s="13" t="s">
        <v>131</v>
      </c>
      <c r="M36" s="13" t="s">
        <v>73</v>
      </c>
      <c r="N36" s="13" t="s">
        <v>73</v>
      </c>
      <c r="O36" s="13" t="s">
        <v>73</v>
      </c>
      <c r="P36" s="13" t="s">
        <v>73</v>
      </c>
      <c r="Q36" s="13" t="s">
        <v>73</v>
      </c>
    </row>
    <row r="37">
      <c r="A37" s="21">
        <f t="shared" si="1"/>
        <v>35</v>
      </c>
      <c r="B37" s="11" t="s">
        <v>268</v>
      </c>
      <c r="C37" s="11" t="s">
        <v>269</v>
      </c>
      <c r="D37" s="11" t="s">
        <v>270</v>
      </c>
      <c r="E37" s="11" t="s">
        <v>267</v>
      </c>
      <c r="F37" s="17"/>
      <c r="G37" s="13" t="s">
        <v>75</v>
      </c>
      <c r="H37" s="13" t="s">
        <v>73</v>
      </c>
      <c r="I37" s="13" t="s">
        <v>73</v>
      </c>
      <c r="J37" s="13" t="s">
        <v>73</v>
      </c>
      <c r="K37" s="13" t="s">
        <v>131</v>
      </c>
      <c r="L37" s="13" t="s">
        <v>73</v>
      </c>
      <c r="M37" s="13" t="s">
        <v>73</v>
      </c>
      <c r="N37" s="13" t="s">
        <v>73</v>
      </c>
      <c r="O37" s="13" t="s">
        <v>73</v>
      </c>
      <c r="P37" s="13" t="s">
        <v>73</v>
      </c>
      <c r="Q37" s="13" t="s">
        <v>73</v>
      </c>
    </row>
    <row r="38">
      <c r="A38" s="21">
        <f t="shared" si="1"/>
        <v>36</v>
      </c>
      <c r="B38" s="11" t="s">
        <v>271</v>
      </c>
      <c r="C38" s="11" t="s">
        <v>272</v>
      </c>
      <c r="D38" s="11" t="s">
        <v>273</v>
      </c>
      <c r="E38" s="11" t="s">
        <v>274</v>
      </c>
      <c r="F38" s="17"/>
      <c r="G38" s="13" t="s">
        <v>73</v>
      </c>
      <c r="H38" s="13" t="s">
        <v>73</v>
      </c>
      <c r="I38" s="13" t="s">
        <v>73</v>
      </c>
      <c r="J38" s="13" t="s">
        <v>73</v>
      </c>
      <c r="K38" s="13" t="s">
        <v>75</v>
      </c>
      <c r="L38" s="13" t="s">
        <v>131</v>
      </c>
      <c r="M38" s="13" t="s">
        <v>131</v>
      </c>
      <c r="N38" s="13" t="s">
        <v>73</v>
      </c>
      <c r="O38" s="13" t="s">
        <v>131</v>
      </c>
      <c r="P38" s="13" t="s">
        <v>131</v>
      </c>
      <c r="Q38" s="13" t="s">
        <v>131</v>
      </c>
    </row>
    <row r="39">
      <c r="A39" s="21">
        <f t="shared" si="1"/>
        <v>37</v>
      </c>
      <c r="B39" s="11" t="s">
        <v>275</v>
      </c>
      <c r="C39" s="11" t="s">
        <v>276</v>
      </c>
      <c r="D39" s="11" t="s">
        <v>277</v>
      </c>
      <c r="E39" s="11" t="s">
        <v>278</v>
      </c>
      <c r="F39" s="17"/>
      <c r="G39" s="13" t="s">
        <v>73</v>
      </c>
      <c r="H39" s="13" t="s">
        <v>73</v>
      </c>
      <c r="I39" s="13" t="s">
        <v>73</v>
      </c>
      <c r="J39" s="13" t="s">
        <v>73</v>
      </c>
      <c r="K39" s="13" t="s">
        <v>75</v>
      </c>
      <c r="L39" s="13" t="s">
        <v>73</v>
      </c>
      <c r="M39" s="13" t="s">
        <v>131</v>
      </c>
      <c r="N39" s="13" t="s">
        <v>73</v>
      </c>
      <c r="O39" s="13" t="s">
        <v>131</v>
      </c>
      <c r="P39" s="13" t="s">
        <v>73</v>
      </c>
      <c r="Q39" s="13" t="s">
        <v>131</v>
      </c>
    </row>
    <row r="40">
      <c r="A40" s="21">
        <f t="shared" si="1"/>
        <v>38</v>
      </c>
      <c r="B40" s="11" t="s">
        <v>279</v>
      </c>
      <c r="C40" s="11" t="s">
        <v>280</v>
      </c>
      <c r="D40" s="11" t="s">
        <v>281</v>
      </c>
      <c r="E40" s="11" t="s">
        <v>282</v>
      </c>
      <c r="F40" s="17"/>
      <c r="G40" s="13" t="s">
        <v>73</v>
      </c>
      <c r="H40" s="13" t="s">
        <v>73</v>
      </c>
      <c r="I40" s="13" t="s">
        <v>73</v>
      </c>
      <c r="J40" s="13" t="s">
        <v>73</v>
      </c>
      <c r="K40" s="13" t="s">
        <v>73</v>
      </c>
      <c r="L40" s="13" t="s">
        <v>73</v>
      </c>
      <c r="M40" s="13" t="s">
        <v>75</v>
      </c>
      <c r="N40" s="13" t="s">
        <v>73</v>
      </c>
      <c r="O40" s="13" t="s">
        <v>73</v>
      </c>
      <c r="P40" s="13" t="s">
        <v>73</v>
      </c>
      <c r="Q40" s="13" t="s">
        <v>131</v>
      </c>
    </row>
    <row r="41">
      <c r="A41" s="21">
        <f t="shared" si="1"/>
        <v>39</v>
      </c>
      <c r="B41" s="11" t="s">
        <v>283</v>
      </c>
      <c r="C41" s="11" t="s">
        <v>284</v>
      </c>
      <c r="D41" s="11" t="s">
        <v>285</v>
      </c>
      <c r="E41" s="11" t="s">
        <v>286</v>
      </c>
      <c r="F41" s="17"/>
      <c r="G41" s="13" t="s">
        <v>73</v>
      </c>
      <c r="H41" s="13" t="s">
        <v>73</v>
      </c>
      <c r="I41" s="13" t="s">
        <v>73</v>
      </c>
      <c r="J41" s="13" t="s">
        <v>73</v>
      </c>
      <c r="K41" s="13" t="s">
        <v>73</v>
      </c>
      <c r="L41" s="13" t="s">
        <v>73</v>
      </c>
      <c r="M41" s="13" t="s">
        <v>75</v>
      </c>
      <c r="N41" s="13" t="s">
        <v>73</v>
      </c>
      <c r="O41" s="13" t="s">
        <v>131</v>
      </c>
      <c r="P41" s="13" t="s">
        <v>73</v>
      </c>
      <c r="Q41" s="13" t="s">
        <v>73</v>
      </c>
    </row>
    <row r="42">
      <c r="A42" s="21">
        <f t="shared" si="1"/>
        <v>40</v>
      </c>
      <c r="B42" s="11" t="s">
        <v>287</v>
      </c>
      <c r="C42" s="11" t="s">
        <v>288</v>
      </c>
      <c r="D42" s="11" t="s">
        <v>289</v>
      </c>
      <c r="E42" s="11" t="s">
        <v>290</v>
      </c>
      <c r="F42" s="17"/>
      <c r="G42" s="13" t="s">
        <v>73</v>
      </c>
      <c r="H42" s="13" t="s">
        <v>73</v>
      </c>
      <c r="I42" s="13" t="s">
        <v>73</v>
      </c>
      <c r="J42" s="13" t="s">
        <v>73</v>
      </c>
      <c r="K42" s="13" t="s">
        <v>73</v>
      </c>
      <c r="L42" s="13" t="s">
        <v>73</v>
      </c>
      <c r="M42" s="13" t="s">
        <v>131</v>
      </c>
      <c r="N42" s="13" t="s">
        <v>73</v>
      </c>
      <c r="O42" s="13" t="s">
        <v>75</v>
      </c>
      <c r="P42" s="13" t="s">
        <v>73</v>
      </c>
      <c r="Q42" s="13" t="s">
        <v>131</v>
      </c>
    </row>
    <row r="43">
      <c r="A43" s="21">
        <f t="shared" si="1"/>
        <v>41</v>
      </c>
      <c r="B43" s="11" t="s">
        <v>291</v>
      </c>
      <c r="C43" s="11" t="s">
        <v>292</v>
      </c>
      <c r="D43" s="11" t="s">
        <v>293</v>
      </c>
      <c r="E43" s="11" t="s">
        <v>294</v>
      </c>
      <c r="F43" s="17"/>
      <c r="G43" s="13" t="s">
        <v>73</v>
      </c>
      <c r="H43" s="13" t="s">
        <v>73</v>
      </c>
      <c r="I43" s="13" t="s">
        <v>131</v>
      </c>
      <c r="J43" s="13" t="s">
        <v>73</v>
      </c>
      <c r="K43" s="13" t="s">
        <v>73</v>
      </c>
      <c r="L43" s="13" t="s">
        <v>131</v>
      </c>
      <c r="M43" s="13" t="s">
        <v>131</v>
      </c>
      <c r="N43" s="13" t="s">
        <v>73</v>
      </c>
      <c r="O43" s="13" t="s">
        <v>131</v>
      </c>
      <c r="P43" s="13" t="s">
        <v>131</v>
      </c>
      <c r="Q43" s="13" t="s">
        <v>75</v>
      </c>
    </row>
    <row r="44">
      <c r="A44" s="21">
        <f t="shared" si="1"/>
        <v>42</v>
      </c>
      <c r="B44" s="11" t="s">
        <v>295</v>
      </c>
      <c r="C44" s="11" t="s">
        <v>296</v>
      </c>
      <c r="D44" s="11" t="s">
        <v>297</v>
      </c>
      <c r="E44" s="11" t="s">
        <v>298</v>
      </c>
      <c r="F44" s="17"/>
      <c r="G44" s="13" t="s">
        <v>73</v>
      </c>
      <c r="H44" s="13" t="s">
        <v>73</v>
      </c>
      <c r="I44" s="13" t="s">
        <v>73</v>
      </c>
      <c r="J44" s="13" t="s">
        <v>73</v>
      </c>
      <c r="K44" s="13" t="s">
        <v>73</v>
      </c>
      <c r="L44" s="13" t="s">
        <v>73</v>
      </c>
      <c r="M44" s="13" t="s">
        <v>75</v>
      </c>
      <c r="N44" s="13" t="s">
        <v>73</v>
      </c>
      <c r="O44" s="13" t="s">
        <v>73</v>
      </c>
      <c r="P44" s="13" t="s">
        <v>131</v>
      </c>
      <c r="Q44" s="13" t="s">
        <v>131</v>
      </c>
    </row>
    <row r="45">
      <c r="A45" s="21">
        <f t="shared" si="1"/>
        <v>43</v>
      </c>
      <c r="B45" s="11" t="s">
        <v>299</v>
      </c>
      <c r="C45" s="11" t="s">
        <v>300</v>
      </c>
      <c r="D45" s="11" t="s">
        <v>301</v>
      </c>
      <c r="E45" s="11" t="s">
        <v>302</v>
      </c>
      <c r="F45" s="17"/>
      <c r="G45" s="13" t="s">
        <v>73</v>
      </c>
      <c r="H45" s="13" t="s">
        <v>73</v>
      </c>
      <c r="I45" s="13" t="s">
        <v>131</v>
      </c>
      <c r="J45" s="13" t="s">
        <v>131</v>
      </c>
      <c r="K45" s="13" t="s">
        <v>73</v>
      </c>
      <c r="L45" s="13" t="s">
        <v>73</v>
      </c>
      <c r="M45" s="13" t="s">
        <v>131</v>
      </c>
      <c r="N45" s="13" t="s">
        <v>73</v>
      </c>
      <c r="O45" s="13" t="s">
        <v>73</v>
      </c>
      <c r="P45" s="13" t="s">
        <v>73</v>
      </c>
      <c r="Q45" s="13" t="s">
        <v>75</v>
      </c>
    </row>
    <row r="46">
      <c r="A46" s="21">
        <f t="shared" si="1"/>
        <v>44</v>
      </c>
      <c r="B46" s="11" t="s">
        <v>303</v>
      </c>
      <c r="C46" s="11" t="s">
        <v>304</v>
      </c>
      <c r="D46" s="11" t="s">
        <v>305</v>
      </c>
      <c r="E46" s="11" t="s">
        <v>306</v>
      </c>
      <c r="F46" s="17"/>
      <c r="G46" s="13" t="s">
        <v>131</v>
      </c>
      <c r="H46" s="13" t="s">
        <v>73</v>
      </c>
      <c r="I46" s="13" t="s">
        <v>73</v>
      </c>
      <c r="J46" s="13" t="s">
        <v>75</v>
      </c>
      <c r="K46" s="13" t="s">
        <v>73</v>
      </c>
      <c r="L46" s="13" t="s">
        <v>73</v>
      </c>
      <c r="M46" s="13" t="s">
        <v>73</v>
      </c>
      <c r="N46" s="13" t="s">
        <v>73</v>
      </c>
      <c r="O46" s="13" t="s">
        <v>73</v>
      </c>
      <c r="P46" s="13" t="s">
        <v>73</v>
      </c>
      <c r="Q46" s="13" t="s">
        <v>73</v>
      </c>
    </row>
    <row r="47">
      <c r="A47" s="21">
        <f t="shared" si="1"/>
        <v>45</v>
      </c>
      <c r="B47" s="11" t="s">
        <v>307</v>
      </c>
      <c r="C47" s="11" t="s">
        <v>308</v>
      </c>
      <c r="D47" s="11" t="s">
        <v>309</v>
      </c>
      <c r="E47" s="11" t="s">
        <v>310</v>
      </c>
      <c r="F47" s="17"/>
      <c r="G47" s="13" t="s">
        <v>131</v>
      </c>
      <c r="H47" s="13" t="s">
        <v>73</v>
      </c>
      <c r="I47" s="13" t="s">
        <v>73</v>
      </c>
      <c r="J47" s="13" t="s">
        <v>73</v>
      </c>
      <c r="K47" s="13" t="s">
        <v>73</v>
      </c>
      <c r="L47" s="13" t="s">
        <v>73</v>
      </c>
      <c r="M47" s="13" t="s">
        <v>73</v>
      </c>
      <c r="N47" s="13" t="s">
        <v>73</v>
      </c>
      <c r="O47" s="13" t="s">
        <v>73</v>
      </c>
      <c r="P47" s="13" t="s">
        <v>73</v>
      </c>
      <c r="Q47" s="13" t="s">
        <v>75</v>
      </c>
    </row>
    <row r="48">
      <c r="A48" s="21">
        <f t="shared" si="1"/>
        <v>46</v>
      </c>
      <c r="B48" s="11" t="s">
        <v>311</v>
      </c>
      <c r="C48" s="11" t="s">
        <v>312</v>
      </c>
      <c r="D48" s="11" t="s">
        <v>313</v>
      </c>
      <c r="E48" s="11" t="s">
        <v>314</v>
      </c>
      <c r="F48" s="17"/>
      <c r="G48" s="13" t="s">
        <v>73</v>
      </c>
      <c r="H48" s="13" t="s">
        <v>73</v>
      </c>
      <c r="I48" s="13" t="s">
        <v>73</v>
      </c>
      <c r="J48" s="13" t="s">
        <v>75</v>
      </c>
      <c r="K48" s="13" t="s">
        <v>73</v>
      </c>
      <c r="L48" s="13" t="s">
        <v>73</v>
      </c>
      <c r="M48" s="13" t="s">
        <v>131</v>
      </c>
      <c r="N48" s="13" t="s">
        <v>131</v>
      </c>
      <c r="O48" s="13" t="s">
        <v>73</v>
      </c>
      <c r="P48" s="13" t="s">
        <v>73</v>
      </c>
      <c r="Q48" s="13" t="s">
        <v>131</v>
      </c>
    </row>
    <row r="49">
      <c r="A49" s="21">
        <f t="shared" si="1"/>
        <v>47</v>
      </c>
      <c r="B49" s="11" t="s">
        <v>315</v>
      </c>
      <c r="C49" s="11" t="s">
        <v>316</v>
      </c>
      <c r="D49" s="11" t="s">
        <v>317</v>
      </c>
      <c r="E49" s="11" t="s">
        <v>318</v>
      </c>
      <c r="F49" s="17"/>
      <c r="G49" s="13" t="s">
        <v>73</v>
      </c>
      <c r="H49" s="13" t="s">
        <v>73</v>
      </c>
      <c r="I49" s="13" t="s">
        <v>73</v>
      </c>
      <c r="J49" s="13" t="s">
        <v>75</v>
      </c>
      <c r="K49" s="13" t="s">
        <v>73</v>
      </c>
      <c r="L49" s="13" t="s">
        <v>73</v>
      </c>
      <c r="M49" s="13" t="s">
        <v>73</v>
      </c>
      <c r="N49" s="13" t="s">
        <v>131</v>
      </c>
      <c r="O49" s="13" t="s">
        <v>73</v>
      </c>
      <c r="P49" s="13" t="s">
        <v>73</v>
      </c>
      <c r="Q49" s="13" t="s">
        <v>73</v>
      </c>
    </row>
    <row r="50">
      <c r="A50" s="21">
        <f t="shared" si="1"/>
        <v>48</v>
      </c>
      <c r="B50" s="11" t="s">
        <v>319</v>
      </c>
      <c r="C50" s="11" t="s">
        <v>320</v>
      </c>
      <c r="D50" s="11" t="s">
        <v>321</v>
      </c>
      <c r="E50" s="11" t="s">
        <v>322</v>
      </c>
      <c r="F50" s="17"/>
      <c r="G50" s="13" t="s">
        <v>73</v>
      </c>
      <c r="H50" s="13" t="s">
        <v>73</v>
      </c>
      <c r="I50" s="13" t="s">
        <v>73</v>
      </c>
      <c r="J50" s="13" t="s">
        <v>131</v>
      </c>
      <c r="K50" s="13" t="s">
        <v>73</v>
      </c>
      <c r="L50" s="13" t="s">
        <v>73</v>
      </c>
      <c r="M50" s="13" t="s">
        <v>131</v>
      </c>
      <c r="N50" s="13" t="s">
        <v>73</v>
      </c>
      <c r="O50" s="13" t="s">
        <v>75</v>
      </c>
      <c r="P50" s="13" t="s">
        <v>73</v>
      </c>
      <c r="Q50" s="13" t="s">
        <v>73</v>
      </c>
    </row>
    <row r="51">
      <c r="A51" s="21">
        <f t="shared" si="1"/>
        <v>49</v>
      </c>
      <c r="B51" s="11" t="s">
        <v>323</v>
      </c>
      <c r="C51" s="11" t="s">
        <v>324</v>
      </c>
      <c r="D51" s="11" t="s">
        <v>325</v>
      </c>
      <c r="E51" s="11" t="s">
        <v>326</v>
      </c>
      <c r="F51" s="17"/>
      <c r="G51" s="13" t="s">
        <v>73</v>
      </c>
      <c r="H51" s="13" t="s">
        <v>73</v>
      </c>
      <c r="I51" s="13" t="s">
        <v>73</v>
      </c>
      <c r="J51" s="13" t="s">
        <v>73</v>
      </c>
      <c r="K51" s="13" t="s">
        <v>73</v>
      </c>
      <c r="L51" s="13" t="s">
        <v>73</v>
      </c>
      <c r="M51" s="13" t="s">
        <v>73</v>
      </c>
      <c r="N51" s="13" t="s">
        <v>73</v>
      </c>
      <c r="O51" s="13" t="s">
        <v>73</v>
      </c>
      <c r="P51" s="13" t="s">
        <v>75</v>
      </c>
      <c r="Q51" s="13" t="s">
        <v>131</v>
      </c>
    </row>
    <row r="52">
      <c r="A52" s="21">
        <f t="shared" si="1"/>
        <v>50</v>
      </c>
      <c r="B52" s="11" t="s">
        <v>327</v>
      </c>
      <c r="C52" s="11" t="s">
        <v>328</v>
      </c>
      <c r="D52" s="11" t="s">
        <v>329</v>
      </c>
      <c r="E52" s="11" t="s">
        <v>330</v>
      </c>
      <c r="F52" s="17"/>
      <c r="G52" s="13" t="s">
        <v>73</v>
      </c>
      <c r="H52" s="13" t="s">
        <v>73</v>
      </c>
      <c r="I52" s="13" t="s">
        <v>73</v>
      </c>
      <c r="J52" s="13" t="s">
        <v>73</v>
      </c>
      <c r="K52" s="13" t="s">
        <v>73</v>
      </c>
      <c r="L52" s="13" t="s">
        <v>131</v>
      </c>
      <c r="M52" s="13" t="s">
        <v>73</v>
      </c>
      <c r="N52" s="13" t="s">
        <v>73</v>
      </c>
      <c r="O52" s="13" t="s">
        <v>73</v>
      </c>
      <c r="P52" s="13" t="s">
        <v>75</v>
      </c>
      <c r="Q52" s="13" t="s">
        <v>73</v>
      </c>
    </row>
    <row r="53">
      <c r="A53" s="21">
        <f t="shared" si="1"/>
        <v>51</v>
      </c>
      <c r="B53" s="11" t="s">
        <v>331</v>
      </c>
      <c r="C53" s="11" t="s">
        <v>332</v>
      </c>
      <c r="D53" s="11" t="s">
        <v>333</v>
      </c>
      <c r="E53" s="11" t="s">
        <v>334</v>
      </c>
      <c r="F53" s="17"/>
      <c r="G53" s="13" t="s">
        <v>73</v>
      </c>
      <c r="H53" s="13" t="s">
        <v>73</v>
      </c>
      <c r="I53" s="13" t="s">
        <v>75</v>
      </c>
      <c r="J53" s="13" t="s">
        <v>73</v>
      </c>
      <c r="K53" s="13" t="s">
        <v>73</v>
      </c>
      <c r="L53" s="13" t="s">
        <v>73</v>
      </c>
      <c r="M53" s="13" t="s">
        <v>73</v>
      </c>
      <c r="N53" s="13" t="s">
        <v>73</v>
      </c>
      <c r="O53" s="13" t="s">
        <v>73</v>
      </c>
      <c r="P53" s="13" t="s">
        <v>73</v>
      </c>
      <c r="Q53" s="13" t="s">
        <v>131</v>
      </c>
    </row>
    <row r="54">
      <c r="A54" s="21">
        <f t="shared" si="1"/>
        <v>52</v>
      </c>
      <c r="B54" s="11" t="s">
        <v>335</v>
      </c>
      <c r="C54" s="11" t="s">
        <v>336</v>
      </c>
      <c r="D54" s="11" t="s">
        <v>337</v>
      </c>
      <c r="E54" s="11" t="s">
        <v>338</v>
      </c>
      <c r="F54" s="17"/>
      <c r="G54" s="13" t="s">
        <v>73</v>
      </c>
      <c r="H54" s="13" t="s">
        <v>73</v>
      </c>
      <c r="I54" s="13" t="s">
        <v>131</v>
      </c>
      <c r="J54" s="13" t="s">
        <v>75</v>
      </c>
      <c r="K54" s="13" t="s">
        <v>73</v>
      </c>
      <c r="L54" s="13" t="s">
        <v>73</v>
      </c>
      <c r="M54" s="13" t="s">
        <v>73</v>
      </c>
      <c r="N54" s="13" t="s">
        <v>73</v>
      </c>
      <c r="O54" s="13" t="s">
        <v>73</v>
      </c>
      <c r="P54" s="13" t="s">
        <v>73</v>
      </c>
      <c r="Q54" s="13" t="s">
        <v>73</v>
      </c>
    </row>
    <row r="55">
      <c r="A55" s="21">
        <f t="shared" si="1"/>
        <v>53</v>
      </c>
      <c r="B55" s="11" t="s">
        <v>339</v>
      </c>
      <c r="C55" s="11" t="s">
        <v>340</v>
      </c>
      <c r="D55" s="11" t="s">
        <v>341</v>
      </c>
      <c r="E55" s="11" t="s">
        <v>342</v>
      </c>
      <c r="F55" s="17"/>
      <c r="G55" s="13" t="s">
        <v>73</v>
      </c>
      <c r="H55" s="13" t="s">
        <v>73</v>
      </c>
      <c r="I55" s="13" t="s">
        <v>73</v>
      </c>
      <c r="J55" s="13" t="s">
        <v>73</v>
      </c>
      <c r="K55" s="13" t="s">
        <v>73</v>
      </c>
      <c r="L55" s="13" t="s">
        <v>75</v>
      </c>
      <c r="M55" s="13" t="s">
        <v>73</v>
      </c>
      <c r="N55" s="13" t="s">
        <v>73</v>
      </c>
      <c r="O55" s="13" t="s">
        <v>73</v>
      </c>
      <c r="P55" s="13" t="s">
        <v>73</v>
      </c>
      <c r="Q55" s="13" t="s">
        <v>131</v>
      </c>
    </row>
    <row r="56">
      <c r="A56" s="21">
        <f t="shared" si="1"/>
        <v>54</v>
      </c>
      <c r="B56" s="11" t="s">
        <v>343</v>
      </c>
      <c r="C56" s="11" t="s">
        <v>344</v>
      </c>
      <c r="D56" s="11" t="s">
        <v>345</v>
      </c>
      <c r="E56" s="11" t="s">
        <v>346</v>
      </c>
      <c r="F56" s="17"/>
      <c r="G56" s="13" t="s">
        <v>73</v>
      </c>
      <c r="H56" s="13" t="s">
        <v>73</v>
      </c>
      <c r="I56" s="13" t="s">
        <v>73</v>
      </c>
      <c r="J56" s="13" t="s">
        <v>73</v>
      </c>
      <c r="K56" s="13" t="s">
        <v>73</v>
      </c>
      <c r="L56" s="13" t="s">
        <v>73</v>
      </c>
      <c r="M56" s="13" t="s">
        <v>73</v>
      </c>
      <c r="N56" s="13" t="s">
        <v>73</v>
      </c>
      <c r="O56" s="13" t="s">
        <v>75</v>
      </c>
      <c r="P56" s="13" t="s">
        <v>73</v>
      </c>
      <c r="Q56" s="13" t="s">
        <v>131</v>
      </c>
    </row>
    <row r="57">
      <c r="A57" s="21">
        <f t="shared" si="1"/>
        <v>55</v>
      </c>
      <c r="B57" s="11" t="s">
        <v>347</v>
      </c>
      <c r="C57" s="12" t="s">
        <v>145</v>
      </c>
      <c r="D57" s="12" t="s">
        <v>146</v>
      </c>
      <c r="E57" s="11" t="s">
        <v>348</v>
      </c>
      <c r="F57" s="17"/>
      <c r="G57" s="13" t="s">
        <v>75</v>
      </c>
      <c r="H57" s="13" t="s">
        <v>73</v>
      </c>
      <c r="I57" s="13" t="s">
        <v>73</v>
      </c>
      <c r="J57" s="13" t="s">
        <v>73</v>
      </c>
      <c r="K57" s="13" t="s">
        <v>73</v>
      </c>
      <c r="L57" s="13" t="s">
        <v>73</v>
      </c>
      <c r="M57" s="13" t="s">
        <v>73</v>
      </c>
      <c r="N57" s="13" t="s">
        <v>73</v>
      </c>
      <c r="O57" s="13" t="s">
        <v>73</v>
      </c>
      <c r="P57" s="13" t="s">
        <v>73</v>
      </c>
      <c r="Q57" s="13" t="s">
        <v>73</v>
      </c>
    </row>
  </sheetData>
  <dataValidations>
    <dataValidation type="list" allowBlank="1" showErrorMessage="1" sqref="K2:K57 M2:M57 P2:P57">
      <formula1>"W,X,-"</formula1>
    </dataValidation>
    <dataValidation type="custom" allowBlank="1" showDropDown="1" sqref="A2:A57">
      <formula1>AND(ISNUMBER(A2),(NOT(OR(NOT(ISERROR(DATEVALUE(A2))), AND(ISNUMBER(A2), LEFT(CELL("format", A2))="D")))))</formula1>
    </dataValidation>
    <dataValidation type="list" allowBlank="1" showErrorMessage="1" sqref="G2:J57 L2:L57 N2:O57 Q2:Q57">
      <formula1>"W,X,-"</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71"/>
    <col customWidth="1" min="2" max="2" width="46.14"/>
    <col customWidth="1" min="3" max="3" width="32.86"/>
    <col customWidth="1" min="4" max="4" width="36.29"/>
    <col customWidth="1" min="5" max="5" width="41.14"/>
    <col customWidth="1" min="6" max="6" width="42.14"/>
    <col customWidth="1" min="7" max="7" width="14.43"/>
    <col customWidth="1" min="8" max="8" width="10.0"/>
    <col customWidth="1" min="9" max="9" width="16.14"/>
    <col customWidth="1" min="10" max="10" width="50.43"/>
    <col customWidth="1" min="11" max="11" width="35.57"/>
    <col customWidth="1" min="12" max="12" width="18.0"/>
    <col customWidth="1" min="13" max="13" width="55.57"/>
    <col customWidth="1" min="14" max="15" width="12.43"/>
  </cols>
  <sheetData>
    <row r="1">
      <c r="A1" s="1" t="s">
        <v>49</v>
      </c>
      <c r="B1" s="1" t="s">
        <v>349</v>
      </c>
      <c r="C1" s="2" t="s">
        <v>350</v>
      </c>
      <c r="D1" s="2" t="s">
        <v>351</v>
      </c>
      <c r="E1" s="2" t="s">
        <v>352</v>
      </c>
      <c r="F1" s="2" t="s">
        <v>353</v>
      </c>
      <c r="G1" s="1" t="s">
        <v>354</v>
      </c>
      <c r="H1" s="2" t="s">
        <v>355</v>
      </c>
      <c r="I1" s="2" t="s">
        <v>356</v>
      </c>
      <c r="J1" s="2" t="s">
        <v>357</v>
      </c>
      <c r="K1" s="29" t="s">
        <v>358</v>
      </c>
      <c r="L1" s="29" t="s">
        <v>359</v>
      </c>
      <c r="M1" s="29" t="s">
        <v>360</v>
      </c>
    </row>
    <row r="2">
      <c r="A2" s="30">
        <f t="shared" ref="A2:A114" si="1">ROW()-ROW($A$2)</f>
        <v>0</v>
      </c>
      <c r="B2" s="30" t="s">
        <v>361</v>
      </c>
      <c r="C2" s="31" t="s">
        <v>362</v>
      </c>
      <c r="D2" s="32" t="s">
        <v>363</v>
      </c>
      <c r="E2" s="33" t="s">
        <v>364</v>
      </c>
      <c r="F2" s="31" t="s">
        <v>364</v>
      </c>
      <c r="G2" s="34" t="b">
        <v>0</v>
      </c>
      <c r="H2" s="34" t="b">
        <v>0</v>
      </c>
      <c r="I2" s="34" t="b">
        <v>0</v>
      </c>
      <c r="J2" s="31" t="s">
        <v>364</v>
      </c>
      <c r="K2" s="35" t="s">
        <v>365</v>
      </c>
      <c r="L2" s="36" t="b">
        <v>0</v>
      </c>
      <c r="M2" s="37" t="s">
        <v>366</v>
      </c>
    </row>
    <row r="3">
      <c r="A3" s="30">
        <f t="shared" si="1"/>
        <v>1</v>
      </c>
      <c r="B3" s="30" t="s">
        <v>367</v>
      </c>
      <c r="C3" s="31" t="s">
        <v>368</v>
      </c>
      <c r="D3" s="32" t="s">
        <v>369</v>
      </c>
      <c r="E3" s="33" t="s">
        <v>370</v>
      </c>
      <c r="F3" s="31" t="s">
        <v>364</v>
      </c>
      <c r="G3" s="34" t="b">
        <v>0</v>
      </c>
      <c r="H3" s="34" t="b">
        <v>0</v>
      </c>
      <c r="I3" s="34" t="b">
        <v>0</v>
      </c>
      <c r="J3" s="31" t="s">
        <v>364</v>
      </c>
      <c r="K3" s="35" t="s">
        <v>371</v>
      </c>
      <c r="L3" s="36" t="b">
        <v>0</v>
      </c>
      <c r="M3" s="37" t="s">
        <v>366</v>
      </c>
    </row>
    <row r="4">
      <c r="A4" s="30">
        <f t="shared" si="1"/>
        <v>2</v>
      </c>
      <c r="B4" s="30" t="s">
        <v>372</v>
      </c>
      <c r="C4" s="31" t="s">
        <v>373</v>
      </c>
      <c r="D4" s="32" t="s">
        <v>374</v>
      </c>
      <c r="E4" s="33" t="s">
        <v>375</v>
      </c>
      <c r="F4" s="31" t="s">
        <v>376</v>
      </c>
      <c r="G4" s="34" t="b">
        <v>0</v>
      </c>
      <c r="H4" s="34" t="b">
        <v>0</v>
      </c>
      <c r="I4" s="34" t="b">
        <v>0</v>
      </c>
      <c r="J4" s="31" t="s">
        <v>364</v>
      </c>
      <c r="K4" s="35" t="s">
        <v>365</v>
      </c>
      <c r="L4" s="36" t="b">
        <v>0</v>
      </c>
      <c r="M4" s="37" t="s">
        <v>377</v>
      </c>
    </row>
    <row r="5">
      <c r="A5" s="30">
        <f t="shared" si="1"/>
        <v>3</v>
      </c>
      <c r="B5" s="30" t="s">
        <v>378</v>
      </c>
      <c r="C5" s="31" t="s">
        <v>379</v>
      </c>
      <c r="D5" s="32" t="s">
        <v>374</v>
      </c>
      <c r="E5" s="33" t="s">
        <v>380</v>
      </c>
      <c r="F5" s="31" t="s">
        <v>380</v>
      </c>
      <c r="G5" s="34" t="b">
        <v>1</v>
      </c>
      <c r="H5" s="34" t="b">
        <v>0</v>
      </c>
      <c r="I5" s="34" t="b">
        <v>0</v>
      </c>
      <c r="J5" s="31" t="s">
        <v>381</v>
      </c>
      <c r="K5" s="35" t="s">
        <v>365</v>
      </c>
      <c r="L5" s="36" t="b">
        <v>0</v>
      </c>
      <c r="M5" s="37" t="s">
        <v>382</v>
      </c>
    </row>
    <row r="6">
      <c r="A6" s="30">
        <f t="shared" si="1"/>
        <v>4</v>
      </c>
      <c r="B6" s="30" t="s">
        <v>383</v>
      </c>
      <c r="C6" s="31" t="s">
        <v>384</v>
      </c>
      <c r="D6" s="32" t="s">
        <v>374</v>
      </c>
      <c r="E6" s="33" t="s">
        <v>385</v>
      </c>
      <c r="F6" s="31" t="s">
        <v>385</v>
      </c>
      <c r="G6" s="34" t="b">
        <v>0</v>
      </c>
      <c r="H6" s="34" t="b">
        <v>0</v>
      </c>
      <c r="I6" s="34" t="b">
        <v>0</v>
      </c>
      <c r="J6" s="31" t="s">
        <v>364</v>
      </c>
      <c r="K6" s="35" t="s">
        <v>365</v>
      </c>
      <c r="L6" s="36" t="b">
        <v>0</v>
      </c>
      <c r="M6" s="37" t="s">
        <v>386</v>
      </c>
    </row>
    <row r="7">
      <c r="A7" s="30">
        <f t="shared" si="1"/>
        <v>5</v>
      </c>
      <c r="B7" s="30" t="s">
        <v>387</v>
      </c>
      <c r="C7" s="31" t="s">
        <v>384</v>
      </c>
      <c r="D7" s="32" t="s">
        <v>374</v>
      </c>
      <c r="E7" s="33" t="s">
        <v>388</v>
      </c>
      <c r="F7" s="31" t="s">
        <v>388</v>
      </c>
      <c r="G7" s="34" t="b">
        <v>0</v>
      </c>
      <c r="H7" s="34" t="b">
        <v>0</v>
      </c>
      <c r="I7" s="34" t="b">
        <v>0</v>
      </c>
      <c r="J7" s="31" t="s">
        <v>364</v>
      </c>
      <c r="K7" s="35" t="s">
        <v>365</v>
      </c>
      <c r="L7" s="36" t="b">
        <v>0</v>
      </c>
      <c r="M7" s="37" t="s">
        <v>389</v>
      </c>
    </row>
    <row r="8">
      <c r="A8" s="30">
        <f t="shared" si="1"/>
        <v>6</v>
      </c>
      <c r="B8" s="30" t="s">
        <v>390</v>
      </c>
      <c r="C8" s="31" t="s">
        <v>391</v>
      </c>
      <c r="D8" s="32" t="s">
        <v>392</v>
      </c>
      <c r="E8" s="33" t="s">
        <v>385</v>
      </c>
      <c r="F8" s="31" t="s">
        <v>385</v>
      </c>
      <c r="G8" s="34" t="b">
        <v>0</v>
      </c>
      <c r="H8" s="34" t="b">
        <v>0</v>
      </c>
      <c r="I8" s="34" t="b">
        <v>0</v>
      </c>
      <c r="J8" s="31" t="s">
        <v>364</v>
      </c>
      <c r="K8" s="35" t="s">
        <v>365</v>
      </c>
      <c r="L8" s="36" t="b">
        <v>0</v>
      </c>
      <c r="M8" s="37" t="s">
        <v>366</v>
      </c>
    </row>
    <row r="9">
      <c r="A9" s="30">
        <f t="shared" si="1"/>
        <v>7</v>
      </c>
      <c r="B9" s="30" t="s">
        <v>37</v>
      </c>
      <c r="C9" s="31" t="s">
        <v>393</v>
      </c>
      <c r="D9" s="32" t="s">
        <v>394</v>
      </c>
      <c r="E9" s="33" t="s">
        <v>395</v>
      </c>
      <c r="F9" s="31" t="s">
        <v>395</v>
      </c>
      <c r="G9" s="34" t="b">
        <v>0</v>
      </c>
      <c r="H9" s="34" t="b">
        <v>0</v>
      </c>
      <c r="I9" s="34" t="b">
        <v>0</v>
      </c>
      <c r="J9" s="31" t="s">
        <v>364</v>
      </c>
      <c r="K9" s="35" t="s">
        <v>365</v>
      </c>
      <c r="L9" s="36" t="b">
        <v>0</v>
      </c>
      <c r="M9" s="37" t="s">
        <v>396</v>
      </c>
    </row>
    <row r="10">
      <c r="A10" s="30">
        <f t="shared" si="1"/>
        <v>8</v>
      </c>
      <c r="B10" s="30" t="s">
        <v>397</v>
      </c>
      <c r="C10" s="31" t="s">
        <v>391</v>
      </c>
      <c r="D10" s="32" t="s">
        <v>392</v>
      </c>
      <c r="E10" s="33" t="s">
        <v>385</v>
      </c>
      <c r="F10" s="31" t="s">
        <v>385</v>
      </c>
      <c r="G10" s="34" t="b">
        <v>0</v>
      </c>
      <c r="H10" s="34" t="b">
        <v>0</v>
      </c>
      <c r="I10" s="34" t="b">
        <v>0</v>
      </c>
      <c r="J10" s="31" t="s">
        <v>364</v>
      </c>
      <c r="K10" s="35" t="s">
        <v>365</v>
      </c>
      <c r="L10" s="36" t="b">
        <v>0</v>
      </c>
      <c r="M10" s="37" t="s">
        <v>366</v>
      </c>
    </row>
    <row r="11">
      <c r="A11" s="30">
        <f t="shared" si="1"/>
        <v>9</v>
      </c>
      <c r="B11" s="30" t="s">
        <v>398</v>
      </c>
      <c r="C11" s="31" t="s">
        <v>391</v>
      </c>
      <c r="D11" s="32" t="s">
        <v>392</v>
      </c>
      <c r="E11" s="33" t="s">
        <v>385</v>
      </c>
      <c r="F11" s="31" t="s">
        <v>385</v>
      </c>
      <c r="G11" s="34" t="b">
        <v>0</v>
      </c>
      <c r="H11" s="34" t="b">
        <v>0</v>
      </c>
      <c r="I11" s="34" t="b">
        <v>0</v>
      </c>
      <c r="J11" s="31" t="s">
        <v>364</v>
      </c>
      <c r="K11" s="35" t="s">
        <v>365</v>
      </c>
      <c r="L11" s="36" t="b">
        <v>0</v>
      </c>
      <c r="M11" s="37" t="s">
        <v>366</v>
      </c>
    </row>
    <row r="12">
      <c r="A12" s="30">
        <f t="shared" si="1"/>
        <v>10</v>
      </c>
      <c r="B12" s="30" t="s">
        <v>399</v>
      </c>
      <c r="C12" s="31" t="s">
        <v>400</v>
      </c>
      <c r="D12" s="32" t="s">
        <v>374</v>
      </c>
      <c r="E12" s="33" t="s">
        <v>385</v>
      </c>
      <c r="F12" s="31" t="s">
        <v>385</v>
      </c>
      <c r="G12" s="34" t="b">
        <v>0</v>
      </c>
      <c r="H12" s="34" t="b">
        <v>0</v>
      </c>
      <c r="I12" s="34" t="b">
        <v>0</v>
      </c>
      <c r="J12" s="31" t="s">
        <v>364</v>
      </c>
      <c r="K12" s="35" t="s">
        <v>365</v>
      </c>
      <c r="L12" s="36" t="b">
        <v>0</v>
      </c>
      <c r="M12" s="37" t="s">
        <v>366</v>
      </c>
    </row>
    <row r="13">
      <c r="A13" s="30">
        <f t="shared" si="1"/>
        <v>11</v>
      </c>
      <c r="B13" s="30" t="s">
        <v>401</v>
      </c>
      <c r="C13" s="31" t="s">
        <v>402</v>
      </c>
      <c r="D13" s="32" t="s">
        <v>374</v>
      </c>
      <c r="E13" s="33" t="s">
        <v>385</v>
      </c>
      <c r="F13" s="31" t="s">
        <v>385</v>
      </c>
      <c r="G13" s="34" t="b">
        <v>0</v>
      </c>
      <c r="H13" s="34" t="b">
        <v>0</v>
      </c>
      <c r="I13" s="34" t="b">
        <v>0</v>
      </c>
      <c r="J13" s="31" t="s">
        <v>364</v>
      </c>
      <c r="K13" s="35" t="s">
        <v>365</v>
      </c>
      <c r="L13" s="36" t="b">
        <v>0</v>
      </c>
      <c r="M13" s="37" t="s">
        <v>403</v>
      </c>
    </row>
    <row r="14">
      <c r="A14" s="30">
        <f t="shared" si="1"/>
        <v>12</v>
      </c>
      <c r="B14" s="30" t="s">
        <v>404</v>
      </c>
      <c r="C14" s="31" t="s">
        <v>391</v>
      </c>
      <c r="D14" s="32" t="s">
        <v>392</v>
      </c>
      <c r="E14" s="33" t="s">
        <v>385</v>
      </c>
      <c r="F14" s="31" t="s">
        <v>385</v>
      </c>
      <c r="G14" s="34" t="b">
        <v>0</v>
      </c>
      <c r="H14" s="34" t="b">
        <v>0</v>
      </c>
      <c r="I14" s="34" t="b">
        <v>0</v>
      </c>
      <c r="J14" s="31" t="s">
        <v>364</v>
      </c>
      <c r="K14" s="35" t="s">
        <v>365</v>
      </c>
      <c r="L14" s="36" t="b">
        <v>0</v>
      </c>
      <c r="M14" s="37" t="s">
        <v>405</v>
      </c>
    </row>
    <row r="15">
      <c r="A15" s="30">
        <f t="shared" si="1"/>
        <v>13</v>
      </c>
      <c r="B15" s="30" t="s">
        <v>406</v>
      </c>
      <c r="C15" s="31" t="s">
        <v>407</v>
      </c>
      <c r="D15" s="32" t="s">
        <v>363</v>
      </c>
      <c r="E15" s="33" t="s">
        <v>385</v>
      </c>
      <c r="F15" s="31" t="s">
        <v>385</v>
      </c>
      <c r="G15" s="34" t="b">
        <v>0</v>
      </c>
      <c r="H15" s="34" t="b">
        <v>0</v>
      </c>
      <c r="I15" s="34" t="b">
        <v>0</v>
      </c>
      <c r="J15" s="31" t="s">
        <v>364</v>
      </c>
      <c r="K15" s="35" t="s">
        <v>365</v>
      </c>
      <c r="L15" s="36" t="b">
        <v>0</v>
      </c>
      <c r="M15" s="37" t="s">
        <v>366</v>
      </c>
    </row>
    <row r="16">
      <c r="A16" s="30">
        <f t="shared" si="1"/>
        <v>14</v>
      </c>
      <c r="B16" s="30" t="s">
        <v>408</v>
      </c>
      <c r="C16" s="31" t="s">
        <v>409</v>
      </c>
      <c r="D16" s="32" t="s">
        <v>374</v>
      </c>
      <c r="E16" s="33" t="s">
        <v>410</v>
      </c>
      <c r="F16" s="38" t="s">
        <v>410</v>
      </c>
      <c r="G16" s="34" t="b">
        <v>1</v>
      </c>
      <c r="H16" s="34" t="b">
        <v>0</v>
      </c>
      <c r="I16" s="34" t="b">
        <v>0</v>
      </c>
      <c r="J16" s="31" t="s">
        <v>410</v>
      </c>
      <c r="K16" s="35" t="s">
        <v>365</v>
      </c>
      <c r="L16" s="36" t="b">
        <v>0</v>
      </c>
      <c r="M16" s="37" t="s">
        <v>411</v>
      </c>
    </row>
    <row r="17">
      <c r="A17" s="30">
        <f t="shared" si="1"/>
        <v>15</v>
      </c>
      <c r="B17" s="30" t="s">
        <v>412</v>
      </c>
      <c r="C17" s="31" t="s">
        <v>413</v>
      </c>
      <c r="D17" s="32" t="s">
        <v>374</v>
      </c>
      <c r="E17" s="33" t="s">
        <v>385</v>
      </c>
      <c r="F17" s="31" t="s">
        <v>385</v>
      </c>
      <c r="G17" s="34" t="b">
        <v>0</v>
      </c>
      <c r="H17" s="34" t="b">
        <v>0</v>
      </c>
      <c r="I17" s="34" t="b">
        <v>0</v>
      </c>
      <c r="J17" s="31" t="s">
        <v>364</v>
      </c>
      <c r="K17" s="35" t="s">
        <v>365</v>
      </c>
      <c r="L17" s="36" t="b">
        <v>0</v>
      </c>
      <c r="M17" s="37" t="s">
        <v>414</v>
      </c>
    </row>
    <row r="18">
      <c r="A18" s="30">
        <f t="shared" si="1"/>
        <v>16</v>
      </c>
      <c r="B18" s="30" t="s">
        <v>415</v>
      </c>
      <c r="C18" s="31" t="s">
        <v>416</v>
      </c>
      <c r="D18" s="32" t="s">
        <v>392</v>
      </c>
      <c r="E18" s="33" t="s">
        <v>385</v>
      </c>
      <c r="F18" s="31" t="s">
        <v>385</v>
      </c>
      <c r="G18" s="34" t="b">
        <v>0</v>
      </c>
      <c r="H18" s="34" t="b">
        <v>0</v>
      </c>
      <c r="I18" s="34" t="b">
        <v>0</v>
      </c>
      <c r="J18" s="31" t="s">
        <v>364</v>
      </c>
      <c r="K18" s="35" t="s">
        <v>365</v>
      </c>
      <c r="L18" s="36" t="b">
        <v>0</v>
      </c>
      <c r="M18" s="37" t="s">
        <v>417</v>
      </c>
    </row>
    <row r="19">
      <c r="A19" s="30">
        <f t="shared" si="1"/>
        <v>17</v>
      </c>
      <c r="B19" s="30" t="s">
        <v>418</v>
      </c>
      <c r="C19" s="31" t="s">
        <v>419</v>
      </c>
      <c r="D19" s="32" t="s">
        <v>392</v>
      </c>
      <c r="E19" s="33" t="s">
        <v>385</v>
      </c>
      <c r="F19" s="31" t="s">
        <v>385</v>
      </c>
      <c r="G19" s="34" t="b">
        <v>0</v>
      </c>
      <c r="H19" s="34" t="b">
        <v>0</v>
      </c>
      <c r="I19" s="34" t="b">
        <v>0</v>
      </c>
      <c r="J19" s="31" t="s">
        <v>364</v>
      </c>
      <c r="K19" s="35" t="s">
        <v>365</v>
      </c>
      <c r="L19" s="36" t="b">
        <v>0</v>
      </c>
      <c r="M19" s="37" t="s">
        <v>366</v>
      </c>
    </row>
    <row r="20">
      <c r="A20" s="30">
        <f t="shared" si="1"/>
        <v>18</v>
      </c>
      <c r="B20" s="30" t="s">
        <v>420</v>
      </c>
      <c r="C20" s="31" t="s">
        <v>421</v>
      </c>
      <c r="D20" s="32" t="s">
        <v>392</v>
      </c>
      <c r="E20" s="33" t="s">
        <v>385</v>
      </c>
      <c r="F20" s="31" t="s">
        <v>385</v>
      </c>
      <c r="G20" s="34" t="b">
        <v>0</v>
      </c>
      <c r="H20" s="34" t="b">
        <v>0</v>
      </c>
      <c r="I20" s="34" t="b">
        <v>0</v>
      </c>
      <c r="J20" s="31" t="s">
        <v>364</v>
      </c>
      <c r="K20" s="35" t="s">
        <v>365</v>
      </c>
      <c r="L20" s="36" t="b">
        <v>0</v>
      </c>
      <c r="M20" s="37" t="s">
        <v>366</v>
      </c>
    </row>
    <row r="21">
      <c r="A21" s="30">
        <f t="shared" si="1"/>
        <v>19</v>
      </c>
      <c r="B21" s="30" t="s">
        <v>422</v>
      </c>
      <c r="C21" s="31" t="s">
        <v>423</v>
      </c>
      <c r="D21" s="32" t="s">
        <v>392</v>
      </c>
      <c r="E21" s="33" t="s">
        <v>385</v>
      </c>
      <c r="F21" s="31" t="s">
        <v>385</v>
      </c>
      <c r="G21" s="34" t="b">
        <v>0</v>
      </c>
      <c r="H21" s="34" t="b">
        <v>0</v>
      </c>
      <c r="I21" s="34" t="b">
        <v>0</v>
      </c>
      <c r="J21" s="31" t="s">
        <v>364</v>
      </c>
      <c r="K21" s="35" t="s">
        <v>365</v>
      </c>
      <c r="L21" s="36" t="b">
        <v>0</v>
      </c>
      <c r="M21" s="37" t="s">
        <v>366</v>
      </c>
    </row>
    <row r="22">
      <c r="A22" s="30">
        <f t="shared" si="1"/>
        <v>20</v>
      </c>
      <c r="B22" s="30" t="s">
        <v>424</v>
      </c>
      <c r="C22" s="31" t="s">
        <v>425</v>
      </c>
      <c r="D22" s="32" t="s">
        <v>394</v>
      </c>
      <c r="E22" s="33" t="s">
        <v>426</v>
      </c>
      <c r="F22" s="38" t="s">
        <v>426</v>
      </c>
      <c r="G22" s="34" t="b">
        <v>0</v>
      </c>
      <c r="H22" s="34" t="b">
        <v>0</v>
      </c>
      <c r="I22" s="34" t="b">
        <v>0</v>
      </c>
      <c r="J22" s="31" t="s">
        <v>364</v>
      </c>
      <c r="K22" s="35" t="s">
        <v>365</v>
      </c>
      <c r="L22" s="36" t="b">
        <v>0</v>
      </c>
      <c r="M22" s="37" t="s">
        <v>427</v>
      </c>
    </row>
    <row r="23">
      <c r="A23" s="30">
        <f t="shared" si="1"/>
        <v>21</v>
      </c>
      <c r="B23" s="30" t="s">
        <v>428</v>
      </c>
      <c r="C23" s="31" t="s">
        <v>429</v>
      </c>
      <c r="D23" s="32" t="s">
        <v>394</v>
      </c>
      <c r="E23" s="33" t="s">
        <v>430</v>
      </c>
      <c r="F23" s="31" t="s">
        <v>430</v>
      </c>
      <c r="G23" s="34" t="b">
        <v>0</v>
      </c>
      <c r="H23" s="34" t="b">
        <v>0</v>
      </c>
      <c r="I23" s="34" t="b">
        <v>0</v>
      </c>
      <c r="J23" s="31" t="s">
        <v>364</v>
      </c>
      <c r="K23" s="35" t="s">
        <v>365</v>
      </c>
      <c r="L23" s="36" t="b">
        <v>0</v>
      </c>
      <c r="M23" s="37" t="s">
        <v>431</v>
      </c>
    </row>
    <row r="24">
      <c r="A24" s="30">
        <f t="shared" si="1"/>
        <v>22</v>
      </c>
      <c r="B24" s="30" t="s">
        <v>432</v>
      </c>
      <c r="C24" s="31" t="s">
        <v>433</v>
      </c>
      <c r="D24" s="32" t="s">
        <v>374</v>
      </c>
      <c r="E24" s="33" t="s">
        <v>434</v>
      </c>
      <c r="F24" s="31" t="s">
        <v>434</v>
      </c>
      <c r="G24" s="34" t="b">
        <v>1</v>
      </c>
      <c r="H24" s="34" t="b">
        <v>0</v>
      </c>
      <c r="I24" s="34" t="b">
        <v>0</v>
      </c>
      <c r="J24" s="31" t="s">
        <v>435</v>
      </c>
      <c r="K24" s="35" t="s">
        <v>365</v>
      </c>
      <c r="L24" s="36" t="b">
        <v>0</v>
      </c>
      <c r="M24" s="37" t="s">
        <v>436</v>
      </c>
    </row>
    <row r="25">
      <c r="A25" s="30">
        <f t="shared" si="1"/>
        <v>23</v>
      </c>
      <c r="B25" s="30" t="s">
        <v>437</v>
      </c>
      <c r="C25" s="31" t="s">
        <v>438</v>
      </c>
      <c r="D25" s="32" t="s">
        <v>392</v>
      </c>
      <c r="E25" s="33" t="s">
        <v>385</v>
      </c>
      <c r="F25" s="31" t="s">
        <v>385</v>
      </c>
      <c r="G25" s="34" t="b">
        <v>0</v>
      </c>
      <c r="H25" s="34" t="b">
        <v>0</v>
      </c>
      <c r="I25" s="34" t="b">
        <v>0</v>
      </c>
      <c r="J25" s="31" t="s">
        <v>364</v>
      </c>
      <c r="K25" s="35" t="s">
        <v>365</v>
      </c>
      <c r="L25" s="36" t="b">
        <v>0</v>
      </c>
      <c r="M25" s="37" t="s">
        <v>366</v>
      </c>
    </row>
    <row r="26">
      <c r="A26" s="30">
        <f t="shared" si="1"/>
        <v>24</v>
      </c>
      <c r="B26" s="30" t="s">
        <v>439</v>
      </c>
      <c r="C26" s="31" t="s">
        <v>440</v>
      </c>
      <c r="D26" s="32" t="s">
        <v>394</v>
      </c>
      <c r="E26" s="33" t="s">
        <v>441</v>
      </c>
      <c r="F26" s="38" t="s">
        <v>441</v>
      </c>
      <c r="G26" s="34" t="b">
        <v>0</v>
      </c>
      <c r="H26" s="34" t="b">
        <v>0</v>
      </c>
      <c r="I26" s="34" t="b">
        <v>0</v>
      </c>
      <c r="J26" s="31" t="s">
        <v>364</v>
      </c>
      <c r="K26" s="35" t="s">
        <v>365</v>
      </c>
      <c r="L26" s="36" t="b">
        <v>0</v>
      </c>
      <c r="M26" s="37" t="s">
        <v>442</v>
      </c>
    </row>
    <row r="27">
      <c r="A27" s="30">
        <f t="shared" si="1"/>
        <v>25</v>
      </c>
      <c r="B27" s="30" t="s">
        <v>443</v>
      </c>
      <c r="C27" s="31" t="s">
        <v>444</v>
      </c>
      <c r="D27" s="32" t="s">
        <v>374</v>
      </c>
      <c r="E27" s="33" t="s">
        <v>385</v>
      </c>
      <c r="F27" s="31" t="s">
        <v>385</v>
      </c>
      <c r="G27" s="34" t="b">
        <v>0</v>
      </c>
      <c r="H27" s="34" t="b">
        <v>0</v>
      </c>
      <c r="I27" s="34" t="b">
        <v>0</v>
      </c>
      <c r="J27" s="31" t="s">
        <v>364</v>
      </c>
      <c r="K27" s="35" t="s">
        <v>365</v>
      </c>
      <c r="L27" s="36" t="b">
        <v>0</v>
      </c>
      <c r="M27" s="37" t="s">
        <v>445</v>
      </c>
    </row>
    <row r="28">
      <c r="A28" s="30">
        <f t="shared" si="1"/>
        <v>26</v>
      </c>
      <c r="B28" s="30" t="s">
        <v>446</v>
      </c>
      <c r="C28" s="31" t="s">
        <v>440</v>
      </c>
      <c r="D28" s="32" t="s">
        <v>394</v>
      </c>
      <c r="E28" s="33" t="s">
        <v>385</v>
      </c>
      <c r="F28" s="31" t="s">
        <v>385</v>
      </c>
      <c r="G28" s="34" t="b">
        <v>0</v>
      </c>
      <c r="H28" s="34" t="b">
        <v>0</v>
      </c>
      <c r="I28" s="34" t="b">
        <v>0</v>
      </c>
      <c r="J28" s="31" t="s">
        <v>364</v>
      </c>
      <c r="K28" s="35" t="s">
        <v>365</v>
      </c>
      <c r="L28" s="36" t="b">
        <v>0</v>
      </c>
      <c r="M28" s="37" t="s">
        <v>447</v>
      </c>
    </row>
    <row r="29">
      <c r="A29" s="30">
        <f t="shared" si="1"/>
        <v>27</v>
      </c>
      <c r="B29" s="30" t="s">
        <v>448</v>
      </c>
      <c r="C29" s="31" t="s">
        <v>449</v>
      </c>
      <c r="D29" s="32" t="s">
        <v>394</v>
      </c>
      <c r="E29" s="33" t="s">
        <v>385</v>
      </c>
      <c r="F29" s="31" t="s">
        <v>385</v>
      </c>
      <c r="G29" s="34" t="b">
        <v>0</v>
      </c>
      <c r="H29" s="34" t="b">
        <v>0</v>
      </c>
      <c r="I29" s="34" t="b">
        <v>0</v>
      </c>
      <c r="J29" s="31" t="s">
        <v>364</v>
      </c>
      <c r="K29" s="35" t="s">
        <v>365</v>
      </c>
      <c r="L29" s="36" t="b">
        <v>0</v>
      </c>
      <c r="M29" s="37" t="s">
        <v>366</v>
      </c>
    </row>
    <row r="30">
      <c r="A30" s="30">
        <f t="shared" si="1"/>
        <v>28</v>
      </c>
      <c r="B30" s="30" t="s">
        <v>450</v>
      </c>
      <c r="C30" s="31" t="s">
        <v>451</v>
      </c>
      <c r="D30" s="32" t="s">
        <v>394</v>
      </c>
      <c r="E30" s="33" t="s">
        <v>452</v>
      </c>
      <c r="F30" s="31" t="s">
        <v>452</v>
      </c>
      <c r="G30" s="34" t="b">
        <v>0</v>
      </c>
      <c r="H30" s="34" t="b">
        <v>0</v>
      </c>
      <c r="I30" s="34" t="b">
        <v>0</v>
      </c>
      <c r="J30" s="31" t="s">
        <v>364</v>
      </c>
      <c r="K30" s="35" t="s">
        <v>365</v>
      </c>
      <c r="L30" s="36" t="b">
        <v>0</v>
      </c>
      <c r="M30" s="37" t="s">
        <v>453</v>
      </c>
    </row>
    <row r="31">
      <c r="A31" s="30">
        <f t="shared" si="1"/>
        <v>29</v>
      </c>
      <c r="B31" s="30" t="s">
        <v>454</v>
      </c>
      <c r="C31" s="31" t="s">
        <v>455</v>
      </c>
      <c r="D31" s="32" t="s">
        <v>374</v>
      </c>
      <c r="E31" s="33" t="s">
        <v>456</v>
      </c>
      <c r="F31" s="31" t="s">
        <v>456</v>
      </c>
      <c r="G31" s="34" t="b">
        <v>0</v>
      </c>
      <c r="H31" s="34" t="b">
        <v>0</v>
      </c>
      <c r="I31" s="34" t="b">
        <v>0</v>
      </c>
      <c r="J31" s="31" t="s">
        <v>364</v>
      </c>
      <c r="K31" s="35" t="s">
        <v>365</v>
      </c>
      <c r="L31" s="36" t="b">
        <v>0</v>
      </c>
      <c r="M31" s="37" t="s">
        <v>457</v>
      </c>
    </row>
    <row r="32">
      <c r="A32" s="30">
        <f t="shared" si="1"/>
        <v>30</v>
      </c>
      <c r="B32" s="30" t="s">
        <v>458</v>
      </c>
      <c r="C32" s="31" t="s">
        <v>459</v>
      </c>
      <c r="D32" s="32" t="s">
        <v>374</v>
      </c>
      <c r="E32" s="33" t="s">
        <v>385</v>
      </c>
      <c r="F32" s="31" t="s">
        <v>385</v>
      </c>
      <c r="G32" s="34" t="b">
        <v>0</v>
      </c>
      <c r="H32" s="34" t="b">
        <v>0</v>
      </c>
      <c r="I32" s="34" t="b">
        <v>0</v>
      </c>
      <c r="J32" s="31" t="s">
        <v>364</v>
      </c>
      <c r="K32" s="35" t="s">
        <v>365</v>
      </c>
      <c r="L32" s="36" t="b">
        <v>0</v>
      </c>
      <c r="M32" s="37" t="s">
        <v>460</v>
      </c>
    </row>
    <row r="33">
      <c r="A33" s="30">
        <f t="shared" si="1"/>
        <v>31</v>
      </c>
      <c r="B33" s="30" t="s">
        <v>461</v>
      </c>
      <c r="C33" s="31" t="s">
        <v>462</v>
      </c>
      <c r="D33" s="32" t="s">
        <v>374</v>
      </c>
      <c r="E33" s="33" t="s">
        <v>385</v>
      </c>
      <c r="F33" s="31" t="s">
        <v>385</v>
      </c>
      <c r="G33" s="34" t="b">
        <v>0</v>
      </c>
      <c r="H33" s="34" t="b">
        <v>0</v>
      </c>
      <c r="I33" s="34" t="b">
        <v>0</v>
      </c>
      <c r="J33" s="31" t="s">
        <v>364</v>
      </c>
      <c r="K33" s="35" t="s">
        <v>365</v>
      </c>
      <c r="L33" s="36" t="b">
        <v>0</v>
      </c>
      <c r="M33" s="37" t="s">
        <v>463</v>
      </c>
    </row>
    <row r="34">
      <c r="A34" s="30">
        <f t="shared" si="1"/>
        <v>32</v>
      </c>
      <c r="B34" s="30" t="s">
        <v>464</v>
      </c>
      <c r="C34" s="31" t="s">
        <v>459</v>
      </c>
      <c r="D34" s="32" t="s">
        <v>374</v>
      </c>
      <c r="E34" s="33" t="s">
        <v>385</v>
      </c>
      <c r="F34" s="31" t="s">
        <v>385</v>
      </c>
      <c r="G34" s="34" t="b">
        <v>0</v>
      </c>
      <c r="H34" s="34" t="b">
        <v>0</v>
      </c>
      <c r="I34" s="34" t="b">
        <v>0</v>
      </c>
      <c r="J34" s="31" t="s">
        <v>364</v>
      </c>
      <c r="K34" s="35" t="s">
        <v>365</v>
      </c>
      <c r="L34" s="36" t="b">
        <v>0</v>
      </c>
      <c r="M34" s="37" t="s">
        <v>465</v>
      </c>
    </row>
    <row r="35">
      <c r="A35" s="30">
        <f t="shared" si="1"/>
        <v>33</v>
      </c>
      <c r="B35" s="30" t="s">
        <v>466</v>
      </c>
      <c r="C35" s="31" t="s">
        <v>467</v>
      </c>
      <c r="D35" s="32" t="s">
        <v>374</v>
      </c>
      <c r="E35" s="33" t="s">
        <v>468</v>
      </c>
      <c r="F35" s="31" t="s">
        <v>468</v>
      </c>
      <c r="G35" s="34" t="b">
        <v>1</v>
      </c>
      <c r="H35" s="34" t="b">
        <v>0</v>
      </c>
      <c r="I35" s="34" t="b">
        <v>0</v>
      </c>
      <c r="J35" s="31" t="s">
        <v>469</v>
      </c>
      <c r="K35" s="35" t="s">
        <v>365</v>
      </c>
      <c r="L35" s="36" t="b">
        <v>0</v>
      </c>
      <c r="M35" s="37" t="s">
        <v>470</v>
      </c>
    </row>
    <row r="36">
      <c r="A36" s="30">
        <f t="shared" si="1"/>
        <v>34</v>
      </c>
      <c r="B36" s="30" t="s">
        <v>471</v>
      </c>
      <c r="C36" s="31" t="s">
        <v>472</v>
      </c>
      <c r="D36" s="32" t="s">
        <v>374</v>
      </c>
      <c r="E36" s="33" t="s">
        <v>473</v>
      </c>
      <c r="F36" s="31" t="s">
        <v>473</v>
      </c>
      <c r="G36" s="34" t="b">
        <v>0</v>
      </c>
      <c r="H36" s="34" t="b">
        <v>0</v>
      </c>
      <c r="I36" s="34" t="b">
        <v>0</v>
      </c>
      <c r="J36" s="31" t="s">
        <v>364</v>
      </c>
      <c r="K36" s="35" t="s">
        <v>365</v>
      </c>
      <c r="L36" s="36" t="b">
        <v>0</v>
      </c>
      <c r="M36" s="37" t="s">
        <v>474</v>
      </c>
    </row>
    <row r="37">
      <c r="A37" s="30">
        <f t="shared" si="1"/>
        <v>35</v>
      </c>
      <c r="B37" s="30" t="s">
        <v>475</v>
      </c>
      <c r="C37" s="31" t="s">
        <v>476</v>
      </c>
      <c r="D37" s="32" t="s">
        <v>394</v>
      </c>
      <c r="E37" s="33" t="s">
        <v>477</v>
      </c>
      <c r="F37" s="31" t="s">
        <v>477</v>
      </c>
      <c r="G37" s="34" t="b">
        <v>0</v>
      </c>
      <c r="H37" s="34" t="b">
        <v>0</v>
      </c>
      <c r="I37" s="34" t="b">
        <v>0</v>
      </c>
      <c r="J37" s="31" t="s">
        <v>364</v>
      </c>
      <c r="K37" s="35" t="s">
        <v>365</v>
      </c>
      <c r="L37" s="36" t="b">
        <v>0</v>
      </c>
      <c r="M37" s="37" t="s">
        <v>478</v>
      </c>
    </row>
    <row r="38">
      <c r="A38" s="30">
        <f t="shared" si="1"/>
        <v>36</v>
      </c>
      <c r="B38" s="30" t="s">
        <v>479</v>
      </c>
      <c r="C38" s="31" t="s">
        <v>480</v>
      </c>
      <c r="D38" s="32" t="s">
        <v>374</v>
      </c>
      <c r="E38" s="33" t="s">
        <v>385</v>
      </c>
      <c r="F38" s="31" t="s">
        <v>385</v>
      </c>
      <c r="G38" s="34" t="b">
        <v>1</v>
      </c>
      <c r="H38" s="34" t="b">
        <v>0</v>
      </c>
      <c r="I38" s="34" t="b">
        <v>0</v>
      </c>
      <c r="J38" s="31" t="s">
        <v>481</v>
      </c>
      <c r="K38" s="35" t="s">
        <v>482</v>
      </c>
      <c r="L38" s="36" t="b">
        <v>1</v>
      </c>
      <c r="M38" s="37" t="s">
        <v>366</v>
      </c>
    </row>
    <row r="39">
      <c r="A39" s="30">
        <f t="shared" si="1"/>
        <v>37</v>
      </c>
      <c r="B39" s="30" t="s">
        <v>483</v>
      </c>
      <c r="C39" s="31" t="s">
        <v>484</v>
      </c>
      <c r="D39" s="32" t="s">
        <v>374</v>
      </c>
      <c r="E39" s="33" t="s">
        <v>385</v>
      </c>
      <c r="F39" s="31" t="s">
        <v>385</v>
      </c>
      <c r="G39" s="34" t="b">
        <v>0</v>
      </c>
      <c r="H39" s="34" t="b">
        <v>0</v>
      </c>
      <c r="I39" s="34" t="b">
        <v>0</v>
      </c>
      <c r="J39" s="31" t="s">
        <v>364</v>
      </c>
      <c r="K39" s="35" t="s">
        <v>365</v>
      </c>
      <c r="L39" s="36" t="b">
        <v>0</v>
      </c>
      <c r="M39" s="37" t="s">
        <v>485</v>
      </c>
    </row>
    <row r="40">
      <c r="A40" s="30">
        <f t="shared" si="1"/>
        <v>38</v>
      </c>
      <c r="B40" s="30" t="s">
        <v>486</v>
      </c>
      <c r="C40" s="31" t="s">
        <v>487</v>
      </c>
      <c r="D40" s="32" t="s">
        <v>374</v>
      </c>
      <c r="E40" s="33" t="s">
        <v>488</v>
      </c>
      <c r="F40" s="31" t="s">
        <v>488</v>
      </c>
      <c r="G40" s="34" t="b">
        <v>0</v>
      </c>
      <c r="H40" s="34" t="b">
        <v>0</v>
      </c>
      <c r="I40" s="34" t="b">
        <v>0</v>
      </c>
      <c r="J40" s="31" t="s">
        <v>364</v>
      </c>
      <c r="K40" s="35" t="s">
        <v>365</v>
      </c>
      <c r="L40" s="36" t="b">
        <v>0</v>
      </c>
      <c r="M40" s="37" t="s">
        <v>489</v>
      </c>
    </row>
    <row r="41">
      <c r="A41" s="30">
        <f t="shared" si="1"/>
        <v>39</v>
      </c>
      <c r="B41" s="30" t="s">
        <v>490</v>
      </c>
      <c r="C41" s="31" t="s">
        <v>491</v>
      </c>
      <c r="D41" s="32" t="s">
        <v>374</v>
      </c>
      <c r="E41" s="33" t="s">
        <v>492</v>
      </c>
      <c r="F41" s="31" t="s">
        <v>492</v>
      </c>
      <c r="G41" s="34" t="b">
        <v>0</v>
      </c>
      <c r="H41" s="34" t="b">
        <v>0</v>
      </c>
      <c r="I41" s="34" t="b">
        <v>0</v>
      </c>
      <c r="J41" s="31" t="s">
        <v>364</v>
      </c>
      <c r="K41" s="35" t="s">
        <v>365</v>
      </c>
      <c r="L41" s="36" t="b">
        <v>0</v>
      </c>
      <c r="M41" s="37" t="s">
        <v>493</v>
      </c>
    </row>
    <row r="42">
      <c r="A42" s="30">
        <f t="shared" si="1"/>
        <v>40</v>
      </c>
      <c r="B42" s="30" t="s">
        <v>494</v>
      </c>
      <c r="C42" s="31" t="s">
        <v>495</v>
      </c>
      <c r="D42" s="32" t="s">
        <v>394</v>
      </c>
      <c r="E42" s="33" t="s">
        <v>496</v>
      </c>
      <c r="F42" s="31" t="s">
        <v>496</v>
      </c>
      <c r="G42" s="34" t="b">
        <v>0</v>
      </c>
      <c r="H42" s="34" t="b">
        <v>0</v>
      </c>
      <c r="I42" s="34" t="b">
        <v>0</v>
      </c>
      <c r="J42" s="31" t="s">
        <v>364</v>
      </c>
      <c r="K42" s="35" t="s">
        <v>365</v>
      </c>
      <c r="L42" s="36" t="b">
        <v>0</v>
      </c>
      <c r="M42" s="37" t="s">
        <v>497</v>
      </c>
    </row>
    <row r="43">
      <c r="A43" s="30">
        <f t="shared" si="1"/>
        <v>41</v>
      </c>
      <c r="B43" s="30" t="s">
        <v>498</v>
      </c>
      <c r="C43" s="31" t="s">
        <v>391</v>
      </c>
      <c r="D43" s="32" t="s">
        <v>392</v>
      </c>
      <c r="E43" s="33" t="s">
        <v>385</v>
      </c>
      <c r="F43" s="31" t="s">
        <v>385</v>
      </c>
      <c r="G43" s="34" t="b">
        <v>0</v>
      </c>
      <c r="H43" s="34" t="b">
        <v>0</v>
      </c>
      <c r="I43" s="34" t="b">
        <v>0</v>
      </c>
      <c r="J43" s="31" t="s">
        <v>364</v>
      </c>
      <c r="K43" s="35" t="s">
        <v>365</v>
      </c>
      <c r="L43" s="36" t="b">
        <v>0</v>
      </c>
      <c r="M43" s="37" t="s">
        <v>499</v>
      </c>
    </row>
    <row r="44">
      <c r="A44" s="30">
        <f t="shared" si="1"/>
        <v>42</v>
      </c>
      <c r="B44" s="30" t="s">
        <v>500</v>
      </c>
      <c r="C44" s="31" t="s">
        <v>391</v>
      </c>
      <c r="D44" s="32" t="s">
        <v>392</v>
      </c>
      <c r="E44" s="33" t="s">
        <v>501</v>
      </c>
      <c r="F44" s="31" t="s">
        <v>501</v>
      </c>
      <c r="G44" s="34" t="b">
        <v>0</v>
      </c>
      <c r="H44" s="34" t="b">
        <v>0</v>
      </c>
      <c r="I44" s="34" t="b">
        <v>0</v>
      </c>
      <c r="J44" s="31" t="s">
        <v>364</v>
      </c>
      <c r="K44" s="35" t="s">
        <v>365</v>
      </c>
      <c r="L44" s="36" t="b">
        <v>0</v>
      </c>
      <c r="M44" s="37" t="s">
        <v>366</v>
      </c>
    </row>
    <row r="45">
      <c r="A45" s="30">
        <f t="shared" si="1"/>
        <v>43</v>
      </c>
      <c r="B45" s="30" t="s">
        <v>502</v>
      </c>
      <c r="C45" s="31" t="s">
        <v>503</v>
      </c>
      <c r="D45" s="32" t="s">
        <v>374</v>
      </c>
      <c r="E45" s="33" t="s">
        <v>504</v>
      </c>
      <c r="F45" s="31" t="s">
        <v>505</v>
      </c>
      <c r="G45" s="34" t="b">
        <v>0</v>
      </c>
      <c r="H45" s="34" t="b">
        <v>0</v>
      </c>
      <c r="I45" s="34" t="b">
        <v>0</v>
      </c>
      <c r="J45" s="31" t="s">
        <v>364</v>
      </c>
      <c r="K45" s="35" t="s">
        <v>365</v>
      </c>
      <c r="L45" s="36" t="b">
        <v>0</v>
      </c>
      <c r="M45" s="37" t="s">
        <v>366</v>
      </c>
    </row>
    <row r="46">
      <c r="A46" s="30">
        <f t="shared" si="1"/>
        <v>44</v>
      </c>
      <c r="B46" s="30" t="s">
        <v>506</v>
      </c>
      <c r="C46" s="31" t="s">
        <v>391</v>
      </c>
      <c r="D46" s="32" t="s">
        <v>392</v>
      </c>
      <c r="E46" s="33" t="s">
        <v>507</v>
      </c>
      <c r="F46" s="31" t="s">
        <v>507</v>
      </c>
      <c r="G46" s="34" t="b">
        <v>0</v>
      </c>
      <c r="H46" s="34" t="b">
        <v>0</v>
      </c>
      <c r="I46" s="34" t="b">
        <v>0</v>
      </c>
      <c r="J46" s="31" t="s">
        <v>364</v>
      </c>
      <c r="K46" s="35" t="s">
        <v>365</v>
      </c>
      <c r="L46" s="36" t="b">
        <v>0</v>
      </c>
      <c r="M46" s="37" t="s">
        <v>366</v>
      </c>
    </row>
    <row r="47">
      <c r="A47" s="30">
        <f t="shared" si="1"/>
        <v>45</v>
      </c>
      <c r="B47" s="30" t="s">
        <v>508</v>
      </c>
      <c r="C47" s="31" t="s">
        <v>509</v>
      </c>
      <c r="D47" s="32" t="s">
        <v>394</v>
      </c>
      <c r="E47" s="33" t="s">
        <v>510</v>
      </c>
      <c r="F47" s="31" t="s">
        <v>510</v>
      </c>
      <c r="G47" s="34" t="b">
        <v>0</v>
      </c>
      <c r="H47" s="34" t="b">
        <v>0</v>
      </c>
      <c r="I47" s="34" t="b">
        <v>0</v>
      </c>
      <c r="J47" s="31" t="s">
        <v>364</v>
      </c>
      <c r="K47" s="35" t="s">
        <v>365</v>
      </c>
      <c r="L47" s="36" t="b">
        <v>0</v>
      </c>
      <c r="M47" s="37" t="s">
        <v>366</v>
      </c>
    </row>
    <row r="48">
      <c r="A48" s="30">
        <f t="shared" si="1"/>
        <v>46</v>
      </c>
      <c r="B48" s="30" t="s">
        <v>511</v>
      </c>
      <c r="C48" s="31" t="s">
        <v>512</v>
      </c>
      <c r="D48" s="32" t="s">
        <v>394</v>
      </c>
      <c r="E48" s="33" t="s">
        <v>513</v>
      </c>
      <c r="F48" s="31" t="s">
        <v>513</v>
      </c>
      <c r="G48" s="34" t="b">
        <v>0</v>
      </c>
      <c r="H48" s="34" t="b">
        <v>0</v>
      </c>
      <c r="I48" s="34" t="b">
        <v>0</v>
      </c>
      <c r="J48" s="31" t="s">
        <v>364</v>
      </c>
      <c r="K48" s="35" t="s">
        <v>365</v>
      </c>
      <c r="L48" s="36" t="b">
        <v>0</v>
      </c>
      <c r="M48" s="37" t="s">
        <v>514</v>
      </c>
    </row>
    <row r="49">
      <c r="A49" s="30">
        <f t="shared" si="1"/>
        <v>47</v>
      </c>
      <c r="B49" s="30" t="s">
        <v>515</v>
      </c>
      <c r="C49" s="31" t="s">
        <v>516</v>
      </c>
      <c r="D49" s="32" t="s">
        <v>394</v>
      </c>
      <c r="E49" s="33" t="s">
        <v>517</v>
      </c>
      <c r="F49" s="31" t="s">
        <v>517</v>
      </c>
      <c r="G49" s="34" t="b">
        <v>0</v>
      </c>
      <c r="H49" s="34" t="b">
        <v>0</v>
      </c>
      <c r="I49" s="34" t="b">
        <v>0</v>
      </c>
      <c r="J49" s="31" t="s">
        <v>364</v>
      </c>
      <c r="K49" s="35" t="s">
        <v>365</v>
      </c>
      <c r="L49" s="36" t="b">
        <v>0</v>
      </c>
      <c r="M49" s="37" t="s">
        <v>518</v>
      </c>
    </row>
    <row r="50">
      <c r="A50" s="30">
        <f t="shared" si="1"/>
        <v>48</v>
      </c>
      <c r="B50" s="30" t="s">
        <v>519</v>
      </c>
      <c r="C50" s="31" t="s">
        <v>476</v>
      </c>
      <c r="D50" s="32" t="s">
        <v>374</v>
      </c>
      <c r="E50" s="33" t="s">
        <v>477</v>
      </c>
      <c r="F50" s="31" t="s">
        <v>477</v>
      </c>
      <c r="G50" s="34" t="b">
        <v>0</v>
      </c>
      <c r="H50" s="34" t="b">
        <v>0</v>
      </c>
      <c r="I50" s="34" t="b">
        <v>0</v>
      </c>
      <c r="J50" s="31" t="s">
        <v>364</v>
      </c>
      <c r="K50" s="35" t="s">
        <v>365</v>
      </c>
      <c r="L50" s="36" t="b">
        <v>0</v>
      </c>
      <c r="M50" s="37" t="s">
        <v>520</v>
      </c>
    </row>
    <row r="51">
      <c r="A51" s="30">
        <f t="shared" si="1"/>
        <v>49</v>
      </c>
      <c r="B51" s="30" t="s">
        <v>521</v>
      </c>
      <c r="C51" s="31" t="s">
        <v>522</v>
      </c>
      <c r="D51" s="32" t="s">
        <v>394</v>
      </c>
      <c r="E51" s="33" t="s">
        <v>523</v>
      </c>
      <c r="F51" s="31" t="s">
        <v>523</v>
      </c>
      <c r="G51" s="34" t="b">
        <v>0</v>
      </c>
      <c r="H51" s="34" t="b">
        <v>0</v>
      </c>
      <c r="I51" s="34" t="b">
        <v>0</v>
      </c>
      <c r="J51" s="31" t="s">
        <v>364</v>
      </c>
      <c r="K51" s="35" t="s">
        <v>365</v>
      </c>
      <c r="L51" s="36" t="b">
        <v>0</v>
      </c>
      <c r="M51" s="37" t="s">
        <v>524</v>
      </c>
    </row>
    <row r="52">
      <c r="A52" s="30">
        <f t="shared" si="1"/>
        <v>50</v>
      </c>
      <c r="B52" s="30" t="s">
        <v>525</v>
      </c>
      <c r="C52" s="31" t="s">
        <v>526</v>
      </c>
      <c r="D52" s="32" t="s">
        <v>394</v>
      </c>
      <c r="E52" s="33" t="s">
        <v>527</v>
      </c>
      <c r="F52" s="31" t="s">
        <v>527</v>
      </c>
      <c r="G52" s="34" t="b">
        <v>0</v>
      </c>
      <c r="H52" s="34" t="b">
        <v>0</v>
      </c>
      <c r="I52" s="34" t="b">
        <v>0</v>
      </c>
      <c r="J52" s="31" t="s">
        <v>364</v>
      </c>
      <c r="K52" s="35" t="s">
        <v>365</v>
      </c>
      <c r="L52" s="36" t="b">
        <v>0</v>
      </c>
      <c r="M52" s="37" t="s">
        <v>528</v>
      </c>
    </row>
    <row r="53">
      <c r="A53" s="30">
        <f t="shared" si="1"/>
        <v>51</v>
      </c>
      <c r="B53" s="30" t="s">
        <v>529</v>
      </c>
      <c r="C53" s="31" t="s">
        <v>480</v>
      </c>
      <c r="D53" s="32" t="s">
        <v>374</v>
      </c>
      <c r="E53" s="33" t="s">
        <v>530</v>
      </c>
      <c r="F53" s="31" t="s">
        <v>530</v>
      </c>
      <c r="G53" s="34" t="b">
        <v>1</v>
      </c>
      <c r="H53" s="34" t="b">
        <v>0</v>
      </c>
      <c r="I53" s="34" t="b">
        <v>0</v>
      </c>
      <c r="J53" s="31" t="s">
        <v>530</v>
      </c>
      <c r="K53" s="35" t="s">
        <v>365</v>
      </c>
      <c r="L53" s="36" t="b">
        <v>0</v>
      </c>
      <c r="M53" s="37" t="s">
        <v>366</v>
      </c>
    </row>
    <row r="54">
      <c r="A54" s="30">
        <f t="shared" si="1"/>
        <v>52</v>
      </c>
      <c r="B54" s="30" t="s">
        <v>531</v>
      </c>
      <c r="C54" s="31" t="s">
        <v>532</v>
      </c>
      <c r="D54" s="32" t="s">
        <v>374</v>
      </c>
      <c r="E54" s="33" t="s">
        <v>385</v>
      </c>
      <c r="F54" s="31" t="s">
        <v>385</v>
      </c>
      <c r="G54" s="34" t="b">
        <v>0</v>
      </c>
      <c r="H54" s="34" t="b">
        <v>0</v>
      </c>
      <c r="I54" s="34" t="b">
        <v>0</v>
      </c>
      <c r="J54" s="31" t="s">
        <v>364</v>
      </c>
      <c r="K54" s="35" t="s">
        <v>365</v>
      </c>
      <c r="L54" s="36" t="b">
        <v>0</v>
      </c>
      <c r="M54" s="37" t="s">
        <v>533</v>
      </c>
    </row>
    <row r="55">
      <c r="A55" s="30">
        <f t="shared" si="1"/>
        <v>53</v>
      </c>
      <c r="B55" s="30" t="s">
        <v>534</v>
      </c>
      <c r="C55" s="31" t="s">
        <v>535</v>
      </c>
      <c r="D55" s="32" t="s">
        <v>374</v>
      </c>
      <c r="E55" s="33" t="s">
        <v>536</v>
      </c>
      <c r="F55" s="31" t="s">
        <v>536</v>
      </c>
      <c r="G55" s="34" t="b">
        <v>0</v>
      </c>
      <c r="H55" s="34" t="b">
        <v>0</v>
      </c>
      <c r="I55" s="34" t="b">
        <v>0</v>
      </c>
      <c r="J55" s="31" t="s">
        <v>364</v>
      </c>
      <c r="K55" s="35" t="s">
        <v>365</v>
      </c>
      <c r="L55" s="36" t="b">
        <v>0</v>
      </c>
      <c r="M55" s="37" t="s">
        <v>537</v>
      </c>
    </row>
    <row r="56">
      <c r="A56" s="30">
        <f t="shared" si="1"/>
        <v>54</v>
      </c>
      <c r="B56" s="30" t="s">
        <v>538</v>
      </c>
      <c r="C56" s="31" t="s">
        <v>539</v>
      </c>
      <c r="D56" s="32" t="s">
        <v>374</v>
      </c>
      <c r="E56" s="33" t="s">
        <v>540</v>
      </c>
      <c r="F56" s="31" t="s">
        <v>540</v>
      </c>
      <c r="G56" s="34" t="b">
        <v>0</v>
      </c>
      <c r="H56" s="34" t="b">
        <v>0</v>
      </c>
      <c r="I56" s="34" t="b">
        <v>0</v>
      </c>
      <c r="J56" s="31" t="s">
        <v>364</v>
      </c>
      <c r="K56" s="35" t="s">
        <v>365</v>
      </c>
      <c r="L56" s="36" t="b">
        <v>0</v>
      </c>
      <c r="M56" s="37" t="s">
        <v>541</v>
      </c>
    </row>
    <row r="57">
      <c r="A57" s="30">
        <f t="shared" si="1"/>
        <v>55</v>
      </c>
      <c r="B57" s="30" t="s">
        <v>542</v>
      </c>
      <c r="C57" s="31" t="s">
        <v>543</v>
      </c>
      <c r="D57" s="32" t="s">
        <v>374</v>
      </c>
      <c r="E57" s="33" t="s">
        <v>544</v>
      </c>
      <c r="F57" s="31" t="s">
        <v>544</v>
      </c>
      <c r="G57" s="34" t="b">
        <v>1</v>
      </c>
      <c r="H57" s="34" t="b">
        <v>0</v>
      </c>
      <c r="I57" s="34" t="b">
        <v>0</v>
      </c>
      <c r="J57" s="31" t="s">
        <v>544</v>
      </c>
      <c r="K57" s="35" t="s">
        <v>365</v>
      </c>
      <c r="L57" s="36" t="b">
        <v>0</v>
      </c>
      <c r="M57" s="37" t="s">
        <v>545</v>
      </c>
    </row>
    <row r="58">
      <c r="A58" s="30">
        <f t="shared" si="1"/>
        <v>56</v>
      </c>
      <c r="B58" s="30" t="s">
        <v>546</v>
      </c>
      <c r="C58" s="31" t="s">
        <v>547</v>
      </c>
      <c r="D58" s="32" t="s">
        <v>374</v>
      </c>
      <c r="E58" s="33" t="s">
        <v>385</v>
      </c>
      <c r="F58" s="31" t="s">
        <v>385</v>
      </c>
      <c r="G58" s="34" t="b">
        <v>0</v>
      </c>
      <c r="H58" s="34" t="b">
        <v>0</v>
      </c>
      <c r="I58" s="34" t="b">
        <v>0</v>
      </c>
      <c r="J58" s="31" t="s">
        <v>364</v>
      </c>
      <c r="K58" s="35" t="s">
        <v>365</v>
      </c>
      <c r="L58" s="36" t="b">
        <v>0</v>
      </c>
      <c r="M58" s="37" t="s">
        <v>548</v>
      </c>
    </row>
    <row r="59">
      <c r="A59" s="30">
        <f t="shared" si="1"/>
        <v>57</v>
      </c>
      <c r="B59" s="30" t="s">
        <v>549</v>
      </c>
      <c r="C59" s="31" t="s">
        <v>550</v>
      </c>
      <c r="D59" s="32" t="s">
        <v>374</v>
      </c>
      <c r="E59" s="33" t="s">
        <v>551</v>
      </c>
      <c r="F59" s="38" t="s">
        <v>551</v>
      </c>
      <c r="G59" s="34" t="b">
        <v>1</v>
      </c>
      <c r="H59" s="39" t="b">
        <v>0</v>
      </c>
      <c r="I59" s="39" t="b">
        <v>0</v>
      </c>
      <c r="J59" s="38" t="s">
        <v>551</v>
      </c>
      <c r="K59" s="35" t="s">
        <v>365</v>
      </c>
      <c r="L59" s="36" t="b">
        <v>0</v>
      </c>
      <c r="M59" s="37" t="s">
        <v>552</v>
      </c>
    </row>
    <row r="60">
      <c r="A60" s="30">
        <f t="shared" si="1"/>
        <v>58</v>
      </c>
      <c r="B60" s="30" t="s">
        <v>553</v>
      </c>
      <c r="C60" s="31" t="s">
        <v>526</v>
      </c>
      <c r="D60" s="32" t="s">
        <v>394</v>
      </c>
      <c r="E60" s="33" t="s">
        <v>554</v>
      </c>
      <c r="F60" s="31" t="s">
        <v>554</v>
      </c>
      <c r="G60" s="34" t="b">
        <v>0</v>
      </c>
      <c r="H60" s="34" t="b">
        <v>0</v>
      </c>
      <c r="I60" s="34" t="b">
        <v>0</v>
      </c>
      <c r="J60" s="31" t="s">
        <v>364</v>
      </c>
      <c r="K60" s="35" t="s">
        <v>365</v>
      </c>
      <c r="L60" s="36" t="b">
        <v>0</v>
      </c>
      <c r="M60" s="37" t="s">
        <v>366</v>
      </c>
    </row>
    <row r="61">
      <c r="A61" s="30">
        <f t="shared" si="1"/>
        <v>59</v>
      </c>
      <c r="B61" s="30" t="s">
        <v>555</v>
      </c>
      <c r="C61" s="31" t="s">
        <v>526</v>
      </c>
      <c r="D61" s="32" t="s">
        <v>394</v>
      </c>
      <c r="E61" s="33" t="s">
        <v>556</v>
      </c>
      <c r="F61" s="40" t="s">
        <v>556</v>
      </c>
      <c r="G61" s="34" t="b">
        <v>0</v>
      </c>
      <c r="H61" s="34" t="b">
        <v>0</v>
      </c>
      <c r="I61" s="34" t="b">
        <v>0</v>
      </c>
      <c r="J61" s="31" t="s">
        <v>364</v>
      </c>
      <c r="K61" s="35" t="s">
        <v>365</v>
      </c>
      <c r="L61" s="36" t="b">
        <v>0</v>
      </c>
      <c r="M61" s="37" t="s">
        <v>557</v>
      </c>
    </row>
    <row r="62">
      <c r="A62" s="30">
        <f t="shared" si="1"/>
        <v>60</v>
      </c>
      <c r="B62" s="30" t="s">
        <v>558</v>
      </c>
      <c r="C62" s="31" t="s">
        <v>559</v>
      </c>
      <c r="D62" s="32" t="s">
        <v>394</v>
      </c>
      <c r="E62" s="33" t="s">
        <v>560</v>
      </c>
      <c r="F62" s="31" t="s">
        <v>560</v>
      </c>
      <c r="G62" s="34" t="b">
        <v>0</v>
      </c>
      <c r="H62" s="34" t="b">
        <v>0</v>
      </c>
      <c r="I62" s="34" t="b">
        <v>0</v>
      </c>
      <c r="J62" s="31" t="s">
        <v>364</v>
      </c>
      <c r="K62" s="35" t="s">
        <v>365</v>
      </c>
      <c r="L62" s="36" t="b">
        <v>0</v>
      </c>
      <c r="M62" s="37" t="s">
        <v>366</v>
      </c>
    </row>
    <row r="63">
      <c r="A63" s="30">
        <f t="shared" si="1"/>
        <v>61</v>
      </c>
      <c r="B63" s="30" t="s">
        <v>561</v>
      </c>
      <c r="C63" s="31" t="s">
        <v>495</v>
      </c>
      <c r="D63" s="32" t="s">
        <v>394</v>
      </c>
      <c r="E63" s="33" t="s">
        <v>496</v>
      </c>
      <c r="F63" s="38" t="s">
        <v>496</v>
      </c>
      <c r="G63" s="34" t="b">
        <v>0</v>
      </c>
      <c r="H63" s="34" t="b">
        <v>0</v>
      </c>
      <c r="I63" s="34" t="b">
        <v>0</v>
      </c>
      <c r="J63" s="31" t="s">
        <v>364</v>
      </c>
      <c r="K63" s="35" t="s">
        <v>365</v>
      </c>
      <c r="L63" s="36" t="b">
        <v>0</v>
      </c>
      <c r="M63" s="37" t="s">
        <v>366</v>
      </c>
    </row>
    <row r="64">
      <c r="A64" s="30">
        <f t="shared" si="1"/>
        <v>62</v>
      </c>
      <c r="B64" s="30" t="s">
        <v>562</v>
      </c>
      <c r="C64" s="31" t="s">
        <v>368</v>
      </c>
      <c r="D64" s="32" t="s">
        <v>369</v>
      </c>
      <c r="E64" s="33" t="s">
        <v>364</v>
      </c>
      <c r="F64" s="31" t="s">
        <v>364</v>
      </c>
      <c r="G64" s="34" t="b">
        <v>0</v>
      </c>
      <c r="H64" s="34" t="b">
        <v>0</v>
      </c>
      <c r="I64" s="34" t="b">
        <v>0</v>
      </c>
      <c r="J64" s="31" t="s">
        <v>364</v>
      </c>
      <c r="K64" s="35" t="s">
        <v>563</v>
      </c>
      <c r="L64" s="36" t="b">
        <v>0</v>
      </c>
      <c r="M64" s="37" t="s">
        <v>366</v>
      </c>
    </row>
    <row r="65">
      <c r="A65" s="30">
        <f t="shared" si="1"/>
        <v>63</v>
      </c>
      <c r="B65" s="30" t="s">
        <v>564</v>
      </c>
      <c r="C65" s="31" t="s">
        <v>565</v>
      </c>
      <c r="D65" s="32" t="s">
        <v>374</v>
      </c>
      <c r="E65" s="33" t="s">
        <v>385</v>
      </c>
      <c r="F65" s="31" t="s">
        <v>385</v>
      </c>
      <c r="G65" s="34" t="b">
        <v>0</v>
      </c>
      <c r="H65" s="34" t="b">
        <v>0</v>
      </c>
      <c r="I65" s="34" t="b">
        <v>0</v>
      </c>
      <c r="J65" s="31" t="s">
        <v>364</v>
      </c>
      <c r="K65" s="35" t="s">
        <v>365</v>
      </c>
      <c r="L65" s="36" t="b">
        <v>0</v>
      </c>
      <c r="M65" s="37" t="s">
        <v>566</v>
      </c>
    </row>
    <row r="66">
      <c r="A66" s="30">
        <f t="shared" si="1"/>
        <v>64</v>
      </c>
      <c r="B66" s="30" t="s">
        <v>567</v>
      </c>
      <c r="C66" s="31" t="s">
        <v>568</v>
      </c>
      <c r="D66" s="32" t="s">
        <v>374</v>
      </c>
      <c r="E66" s="33" t="s">
        <v>385</v>
      </c>
      <c r="F66" s="31" t="s">
        <v>385</v>
      </c>
      <c r="G66" s="34" t="b">
        <v>0</v>
      </c>
      <c r="H66" s="34" t="b">
        <v>0</v>
      </c>
      <c r="I66" s="34" t="b">
        <v>0</v>
      </c>
      <c r="J66" s="31" t="s">
        <v>364</v>
      </c>
      <c r="K66" s="35" t="s">
        <v>365</v>
      </c>
      <c r="L66" s="36" t="b">
        <v>0</v>
      </c>
      <c r="M66" s="37" t="s">
        <v>569</v>
      </c>
    </row>
    <row r="67">
      <c r="A67" s="30">
        <f t="shared" si="1"/>
        <v>65</v>
      </c>
      <c r="B67" s="30" t="s">
        <v>570</v>
      </c>
      <c r="C67" s="31" t="s">
        <v>571</v>
      </c>
      <c r="D67" s="32" t="s">
        <v>374</v>
      </c>
      <c r="E67" s="33" t="s">
        <v>385</v>
      </c>
      <c r="F67" s="31" t="s">
        <v>385</v>
      </c>
      <c r="G67" s="34" t="b">
        <v>0</v>
      </c>
      <c r="H67" s="34" t="b">
        <v>0</v>
      </c>
      <c r="I67" s="34" t="b">
        <v>0</v>
      </c>
      <c r="J67" s="31" t="s">
        <v>364</v>
      </c>
      <c r="K67" s="35" t="s">
        <v>365</v>
      </c>
      <c r="L67" s="36" t="b">
        <v>0</v>
      </c>
      <c r="M67" s="37" t="s">
        <v>572</v>
      </c>
    </row>
    <row r="68">
      <c r="A68" s="30">
        <f t="shared" si="1"/>
        <v>66</v>
      </c>
      <c r="B68" s="30" t="s">
        <v>573</v>
      </c>
      <c r="C68" s="31" t="s">
        <v>574</v>
      </c>
      <c r="D68" s="32" t="s">
        <v>394</v>
      </c>
      <c r="E68" s="33" t="s">
        <v>575</v>
      </c>
      <c r="F68" s="38" t="s">
        <v>575</v>
      </c>
      <c r="G68" s="34" t="b">
        <v>0</v>
      </c>
      <c r="H68" s="34" t="b">
        <v>0</v>
      </c>
      <c r="I68" s="34" t="b">
        <v>0</v>
      </c>
      <c r="J68" s="31" t="s">
        <v>364</v>
      </c>
      <c r="K68" s="35" t="s">
        <v>365</v>
      </c>
      <c r="L68" s="36" t="b">
        <v>0</v>
      </c>
      <c r="M68" s="37" t="s">
        <v>576</v>
      </c>
    </row>
    <row r="69">
      <c r="A69" s="30">
        <f t="shared" si="1"/>
        <v>67</v>
      </c>
      <c r="B69" s="30" t="s">
        <v>577</v>
      </c>
      <c r="C69" s="31" t="s">
        <v>578</v>
      </c>
      <c r="D69" s="32" t="s">
        <v>394</v>
      </c>
      <c r="E69" s="33" t="s">
        <v>579</v>
      </c>
      <c r="F69" s="32" t="s">
        <v>579</v>
      </c>
      <c r="G69" s="34" t="b">
        <v>0</v>
      </c>
      <c r="H69" s="34" t="b">
        <v>0</v>
      </c>
      <c r="I69" s="34" t="b">
        <v>0</v>
      </c>
      <c r="J69" s="31" t="s">
        <v>364</v>
      </c>
      <c r="K69" s="35" t="s">
        <v>365</v>
      </c>
      <c r="L69" s="36" t="b">
        <v>0</v>
      </c>
      <c r="M69" s="37" t="s">
        <v>580</v>
      </c>
    </row>
    <row r="70">
      <c r="A70" s="30">
        <f t="shared" si="1"/>
        <v>68</v>
      </c>
      <c r="B70" s="30" t="s">
        <v>581</v>
      </c>
      <c r="C70" s="31" t="s">
        <v>582</v>
      </c>
      <c r="D70" s="32" t="s">
        <v>394</v>
      </c>
      <c r="E70" s="33" t="s">
        <v>583</v>
      </c>
      <c r="F70" s="31" t="s">
        <v>583</v>
      </c>
      <c r="G70" s="34" t="b">
        <v>0</v>
      </c>
      <c r="H70" s="34" t="b">
        <v>0</v>
      </c>
      <c r="I70" s="34" t="b">
        <v>0</v>
      </c>
      <c r="J70" s="31" t="s">
        <v>364</v>
      </c>
      <c r="K70" s="35" t="s">
        <v>365</v>
      </c>
      <c r="L70" s="36" t="b">
        <v>0</v>
      </c>
      <c r="M70" s="37" t="s">
        <v>584</v>
      </c>
    </row>
    <row r="71">
      <c r="A71" s="30">
        <f t="shared" si="1"/>
        <v>69</v>
      </c>
      <c r="B71" s="30" t="s">
        <v>585</v>
      </c>
      <c r="C71" s="31" t="s">
        <v>391</v>
      </c>
      <c r="D71" s="32" t="s">
        <v>392</v>
      </c>
      <c r="E71" s="33" t="s">
        <v>385</v>
      </c>
      <c r="F71" s="31" t="s">
        <v>385</v>
      </c>
      <c r="G71" s="34" t="b">
        <v>0</v>
      </c>
      <c r="H71" s="34" t="b">
        <v>0</v>
      </c>
      <c r="I71" s="34" t="b">
        <v>0</v>
      </c>
      <c r="J71" s="31" t="s">
        <v>364</v>
      </c>
      <c r="K71" s="35" t="s">
        <v>365</v>
      </c>
      <c r="L71" s="36" t="b">
        <v>0</v>
      </c>
      <c r="M71" s="37" t="s">
        <v>586</v>
      </c>
    </row>
    <row r="72">
      <c r="A72" s="30">
        <f t="shared" si="1"/>
        <v>70</v>
      </c>
      <c r="B72" s="30" t="s">
        <v>587</v>
      </c>
      <c r="C72" s="31" t="s">
        <v>368</v>
      </c>
      <c r="D72" s="32" t="s">
        <v>369</v>
      </c>
      <c r="E72" s="33" t="s">
        <v>385</v>
      </c>
      <c r="F72" s="31" t="s">
        <v>385</v>
      </c>
      <c r="G72" s="34" t="b">
        <v>0</v>
      </c>
      <c r="H72" s="34" t="b">
        <v>0</v>
      </c>
      <c r="I72" s="34" t="b">
        <v>0</v>
      </c>
      <c r="J72" s="31" t="s">
        <v>364</v>
      </c>
      <c r="K72" s="35" t="s">
        <v>365</v>
      </c>
      <c r="L72" s="36" t="b">
        <v>0</v>
      </c>
      <c r="M72" s="37" t="s">
        <v>366</v>
      </c>
    </row>
    <row r="73">
      <c r="A73" s="30">
        <f t="shared" si="1"/>
        <v>71</v>
      </c>
      <c r="B73" s="30" t="s">
        <v>588</v>
      </c>
      <c r="C73" s="31" t="s">
        <v>589</v>
      </c>
      <c r="D73" s="32" t="s">
        <v>374</v>
      </c>
      <c r="E73" s="33" t="s">
        <v>590</v>
      </c>
      <c r="F73" s="31" t="s">
        <v>590</v>
      </c>
      <c r="G73" s="34" t="b">
        <v>1</v>
      </c>
      <c r="H73" s="34" t="b">
        <v>0</v>
      </c>
      <c r="I73" s="34" t="b">
        <v>0</v>
      </c>
      <c r="J73" s="31" t="s">
        <v>590</v>
      </c>
      <c r="K73" s="35" t="s">
        <v>365</v>
      </c>
      <c r="L73" s="36" t="b">
        <v>0</v>
      </c>
      <c r="M73" s="37" t="s">
        <v>591</v>
      </c>
    </row>
    <row r="74">
      <c r="A74" s="30">
        <f t="shared" si="1"/>
        <v>72</v>
      </c>
      <c r="B74" s="30" t="s">
        <v>592</v>
      </c>
      <c r="C74" s="31" t="s">
        <v>593</v>
      </c>
      <c r="D74" s="32" t="s">
        <v>374</v>
      </c>
      <c r="E74" s="33" t="s">
        <v>594</v>
      </c>
      <c r="F74" s="31" t="s">
        <v>594</v>
      </c>
      <c r="G74" s="34" t="b">
        <v>0</v>
      </c>
      <c r="H74" s="34" t="b">
        <v>0</v>
      </c>
      <c r="I74" s="34" t="b">
        <v>0</v>
      </c>
      <c r="J74" s="31" t="s">
        <v>364</v>
      </c>
      <c r="K74" s="35" t="s">
        <v>595</v>
      </c>
      <c r="L74" s="36" t="b">
        <v>0</v>
      </c>
      <c r="M74" s="37" t="s">
        <v>366</v>
      </c>
    </row>
    <row r="75">
      <c r="A75" s="30">
        <f t="shared" si="1"/>
        <v>73</v>
      </c>
      <c r="B75" s="30" t="s">
        <v>596</v>
      </c>
      <c r="C75" s="31" t="s">
        <v>421</v>
      </c>
      <c r="D75" s="32" t="s">
        <v>597</v>
      </c>
      <c r="E75" s="33" t="s">
        <v>385</v>
      </c>
      <c r="F75" s="31" t="s">
        <v>385</v>
      </c>
      <c r="G75" s="34" t="b">
        <v>0</v>
      </c>
      <c r="H75" s="34" t="b">
        <v>0</v>
      </c>
      <c r="I75" s="34" t="b">
        <v>0</v>
      </c>
      <c r="J75" s="31" t="s">
        <v>364</v>
      </c>
      <c r="K75" s="35" t="s">
        <v>365</v>
      </c>
      <c r="L75" s="36" t="b">
        <v>0</v>
      </c>
      <c r="M75" s="37" t="s">
        <v>366</v>
      </c>
    </row>
    <row r="76">
      <c r="A76" s="30">
        <f t="shared" si="1"/>
        <v>74</v>
      </c>
      <c r="B76" s="30" t="s">
        <v>598</v>
      </c>
      <c r="C76" s="31" t="s">
        <v>419</v>
      </c>
      <c r="D76" s="32" t="s">
        <v>597</v>
      </c>
      <c r="E76" s="33" t="s">
        <v>385</v>
      </c>
      <c r="F76" s="31" t="s">
        <v>385</v>
      </c>
      <c r="G76" s="34" t="b">
        <v>0</v>
      </c>
      <c r="H76" s="34" t="b">
        <v>0</v>
      </c>
      <c r="I76" s="34" t="b">
        <v>0</v>
      </c>
      <c r="J76" s="31" t="s">
        <v>364</v>
      </c>
      <c r="K76" s="35" t="s">
        <v>365</v>
      </c>
      <c r="L76" s="36" t="b">
        <v>0</v>
      </c>
      <c r="M76" s="37" t="s">
        <v>366</v>
      </c>
    </row>
    <row r="77">
      <c r="A77" s="30">
        <f t="shared" si="1"/>
        <v>75</v>
      </c>
      <c r="B77" s="30" t="s">
        <v>599</v>
      </c>
      <c r="C77" s="31" t="s">
        <v>416</v>
      </c>
      <c r="D77" s="32" t="s">
        <v>597</v>
      </c>
      <c r="E77" s="41" t="s">
        <v>385</v>
      </c>
      <c r="F77" s="42" t="s">
        <v>385</v>
      </c>
      <c r="G77" s="43" t="b">
        <v>0</v>
      </c>
      <c r="H77" s="44" t="b">
        <v>0</v>
      </c>
      <c r="I77" s="44" t="b">
        <v>0</v>
      </c>
      <c r="J77" s="42" t="s">
        <v>364</v>
      </c>
      <c r="K77" s="45" t="s">
        <v>365</v>
      </c>
      <c r="L77" s="46" t="b">
        <v>0</v>
      </c>
      <c r="M77" s="47" t="s">
        <v>417</v>
      </c>
    </row>
    <row r="78">
      <c r="A78" s="30">
        <f t="shared" si="1"/>
        <v>76</v>
      </c>
      <c r="B78" s="30" t="s">
        <v>600</v>
      </c>
      <c r="C78" s="31" t="s">
        <v>601</v>
      </c>
      <c r="D78" s="32" t="s">
        <v>374</v>
      </c>
      <c r="E78" s="33" t="s">
        <v>385</v>
      </c>
      <c r="F78" s="31" t="s">
        <v>385</v>
      </c>
      <c r="G78" s="34" t="b">
        <v>0</v>
      </c>
      <c r="H78" s="34" t="b">
        <v>0</v>
      </c>
      <c r="I78" s="34" t="b">
        <v>0</v>
      </c>
      <c r="J78" s="31" t="s">
        <v>364</v>
      </c>
      <c r="K78" s="35" t="s">
        <v>365</v>
      </c>
      <c r="L78" s="36" t="b">
        <v>0</v>
      </c>
      <c r="M78" s="37" t="s">
        <v>602</v>
      </c>
    </row>
    <row r="79">
      <c r="A79" s="30">
        <f t="shared" si="1"/>
        <v>77</v>
      </c>
      <c r="B79" s="30" t="s">
        <v>603</v>
      </c>
      <c r="C79" s="31" t="s">
        <v>604</v>
      </c>
      <c r="D79" s="32" t="s">
        <v>374</v>
      </c>
      <c r="E79" s="33" t="s">
        <v>605</v>
      </c>
      <c r="F79" s="31" t="s">
        <v>605</v>
      </c>
      <c r="G79" s="34" t="b">
        <v>1</v>
      </c>
      <c r="H79" s="34" t="b">
        <v>0</v>
      </c>
      <c r="I79" s="34" t="b">
        <v>0</v>
      </c>
      <c r="J79" s="31" t="s">
        <v>606</v>
      </c>
      <c r="K79" s="35" t="s">
        <v>365</v>
      </c>
      <c r="L79" s="36" t="b">
        <v>0</v>
      </c>
      <c r="M79" s="37" t="s">
        <v>607</v>
      </c>
    </row>
    <row r="80">
      <c r="A80" s="30">
        <f t="shared" si="1"/>
        <v>78</v>
      </c>
      <c r="B80" s="30" t="s">
        <v>608</v>
      </c>
      <c r="C80" s="31" t="s">
        <v>609</v>
      </c>
      <c r="D80" s="32" t="s">
        <v>374</v>
      </c>
      <c r="E80" s="33" t="s">
        <v>610</v>
      </c>
      <c r="F80" s="38" t="s">
        <v>610</v>
      </c>
      <c r="G80" s="34" t="b">
        <v>1</v>
      </c>
      <c r="H80" s="34" t="b">
        <v>0</v>
      </c>
      <c r="I80" s="34" t="b">
        <v>0</v>
      </c>
      <c r="J80" s="38" t="s">
        <v>610</v>
      </c>
      <c r="K80" s="35" t="s">
        <v>365</v>
      </c>
      <c r="L80" s="36" t="b">
        <v>0</v>
      </c>
      <c r="M80" s="37" t="s">
        <v>611</v>
      </c>
    </row>
    <row r="81">
      <c r="A81" s="30">
        <f t="shared" si="1"/>
        <v>79</v>
      </c>
      <c r="B81" s="30" t="s">
        <v>612</v>
      </c>
      <c r="C81" s="31" t="s">
        <v>613</v>
      </c>
      <c r="D81" s="32" t="s">
        <v>374</v>
      </c>
      <c r="E81" s="33" t="s">
        <v>385</v>
      </c>
      <c r="F81" s="31" t="s">
        <v>385</v>
      </c>
      <c r="G81" s="34" t="b">
        <v>0</v>
      </c>
      <c r="H81" s="34" t="b">
        <v>0</v>
      </c>
      <c r="I81" s="34" t="b">
        <v>0</v>
      </c>
      <c r="J81" s="31" t="s">
        <v>364</v>
      </c>
      <c r="K81" s="35" t="s">
        <v>365</v>
      </c>
      <c r="L81" s="36" t="b">
        <v>0</v>
      </c>
      <c r="M81" s="37" t="s">
        <v>614</v>
      </c>
    </row>
    <row r="82">
      <c r="A82" s="30">
        <f t="shared" si="1"/>
        <v>80</v>
      </c>
      <c r="B82" s="30" t="s">
        <v>615</v>
      </c>
      <c r="C82" s="31" t="s">
        <v>613</v>
      </c>
      <c r="D82" s="32" t="s">
        <v>392</v>
      </c>
      <c r="E82" s="33" t="s">
        <v>616</v>
      </c>
      <c r="F82" s="31" t="s">
        <v>617</v>
      </c>
      <c r="G82" s="34" t="b">
        <v>0</v>
      </c>
      <c r="H82" s="34" t="b">
        <v>0</v>
      </c>
      <c r="I82" s="34" t="b">
        <v>0</v>
      </c>
      <c r="J82" s="31" t="s">
        <v>364</v>
      </c>
      <c r="K82" s="35" t="s">
        <v>365</v>
      </c>
      <c r="L82" s="36" t="b">
        <v>0</v>
      </c>
      <c r="M82" s="37" t="s">
        <v>366</v>
      </c>
    </row>
    <row r="83">
      <c r="A83" s="30">
        <f t="shared" si="1"/>
        <v>81</v>
      </c>
      <c r="B83" s="30" t="s">
        <v>618</v>
      </c>
      <c r="C83" s="31" t="s">
        <v>619</v>
      </c>
      <c r="D83" s="32" t="s">
        <v>374</v>
      </c>
      <c r="E83" s="33" t="s">
        <v>385</v>
      </c>
      <c r="F83" s="31" t="s">
        <v>385</v>
      </c>
      <c r="G83" s="34" t="b">
        <v>0</v>
      </c>
      <c r="H83" s="34" t="b">
        <v>0</v>
      </c>
      <c r="I83" s="34" t="b">
        <v>0</v>
      </c>
      <c r="J83" s="31" t="s">
        <v>364</v>
      </c>
      <c r="K83" s="35" t="s">
        <v>365</v>
      </c>
      <c r="L83" s="36" t="b">
        <v>0</v>
      </c>
      <c r="M83" s="37" t="s">
        <v>620</v>
      </c>
    </row>
    <row r="84">
      <c r="A84" s="30">
        <f t="shared" si="1"/>
        <v>82</v>
      </c>
      <c r="B84" s="30" t="s">
        <v>621</v>
      </c>
      <c r="C84" s="31" t="s">
        <v>622</v>
      </c>
      <c r="D84" s="32" t="s">
        <v>374</v>
      </c>
      <c r="E84" s="33" t="s">
        <v>623</v>
      </c>
      <c r="F84" s="31" t="s">
        <v>624</v>
      </c>
      <c r="G84" s="34" t="b">
        <v>1</v>
      </c>
      <c r="H84" s="34" t="b">
        <v>0</v>
      </c>
      <c r="I84" s="34" t="b">
        <v>0</v>
      </c>
      <c r="J84" s="31" t="s">
        <v>625</v>
      </c>
      <c r="K84" s="35" t="s">
        <v>365</v>
      </c>
      <c r="L84" s="36" t="b">
        <v>0</v>
      </c>
      <c r="M84" s="37" t="s">
        <v>626</v>
      </c>
    </row>
    <row r="85">
      <c r="A85" s="30">
        <f t="shared" si="1"/>
        <v>83</v>
      </c>
      <c r="B85" s="30" t="s">
        <v>627</v>
      </c>
      <c r="C85" s="31" t="s">
        <v>628</v>
      </c>
      <c r="D85" s="32" t="s">
        <v>374</v>
      </c>
      <c r="E85" s="33" t="s">
        <v>629</v>
      </c>
      <c r="F85" s="31" t="s">
        <v>629</v>
      </c>
      <c r="G85" s="34" t="b">
        <v>1</v>
      </c>
      <c r="H85" s="34" t="b">
        <v>0</v>
      </c>
      <c r="I85" s="34" t="b">
        <v>0</v>
      </c>
      <c r="J85" s="31" t="s">
        <v>630</v>
      </c>
      <c r="K85" s="35" t="s">
        <v>365</v>
      </c>
      <c r="L85" s="36" t="b">
        <v>0</v>
      </c>
      <c r="M85" s="37" t="s">
        <v>631</v>
      </c>
    </row>
    <row r="86">
      <c r="A86" s="30">
        <f t="shared" si="1"/>
        <v>84</v>
      </c>
      <c r="B86" s="30" t="s">
        <v>632</v>
      </c>
      <c r="C86" s="31" t="s">
        <v>633</v>
      </c>
      <c r="D86" s="32" t="s">
        <v>374</v>
      </c>
      <c r="E86" s="33" t="s">
        <v>634</v>
      </c>
      <c r="F86" s="31" t="s">
        <v>634</v>
      </c>
      <c r="G86" s="34" t="b">
        <v>1</v>
      </c>
      <c r="H86" s="34" t="b">
        <v>0</v>
      </c>
      <c r="I86" s="34" t="b">
        <v>0</v>
      </c>
      <c r="J86" s="31" t="s">
        <v>634</v>
      </c>
      <c r="K86" s="35" t="s">
        <v>365</v>
      </c>
      <c r="L86" s="36" t="b">
        <v>0</v>
      </c>
      <c r="M86" s="37" t="s">
        <v>635</v>
      </c>
    </row>
    <row r="87">
      <c r="A87" s="30">
        <f t="shared" si="1"/>
        <v>85</v>
      </c>
      <c r="B87" s="30" t="s">
        <v>636</v>
      </c>
      <c r="C87" s="31" t="s">
        <v>637</v>
      </c>
      <c r="D87" s="32" t="s">
        <v>374</v>
      </c>
      <c r="E87" s="33" t="s">
        <v>385</v>
      </c>
      <c r="F87" s="31" t="s">
        <v>385</v>
      </c>
      <c r="G87" s="34" t="b">
        <v>0</v>
      </c>
      <c r="H87" s="34" t="b">
        <v>0</v>
      </c>
      <c r="I87" s="34" t="b">
        <v>0</v>
      </c>
      <c r="J87" s="31" t="s">
        <v>364</v>
      </c>
      <c r="K87" s="35" t="s">
        <v>365</v>
      </c>
      <c r="L87" s="36" t="b">
        <v>0</v>
      </c>
      <c r="M87" s="37" t="s">
        <v>638</v>
      </c>
    </row>
    <row r="88">
      <c r="A88" s="30">
        <f t="shared" si="1"/>
        <v>86</v>
      </c>
      <c r="B88" s="30" t="s">
        <v>639</v>
      </c>
      <c r="C88" s="31" t="s">
        <v>640</v>
      </c>
      <c r="D88" s="32" t="s">
        <v>374</v>
      </c>
      <c r="E88" s="33" t="s">
        <v>641</v>
      </c>
      <c r="F88" s="38" t="s">
        <v>641</v>
      </c>
      <c r="G88" s="34" t="b">
        <v>1</v>
      </c>
      <c r="H88" s="39" t="b">
        <v>0</v>
      </c>
      <c r="I88" s="39" t="b">
        <v>0</v>
      </c>
      <c r="J88" s="38" t="s">
        <v>641</v>
      </c>
      <c r="K88" s="35" t="s">
        <v>365</v>
      </c>
      <c r="L88" s="36" t="b">
        <v>0</v>
      </c>
      <c r="M88" s="37" t="s">
        <v>642</v>
      </c>
    </row>
    <row r="89">
      <c r="A89" s="30">
        <f t="shared" si="1"/>
        <v>87</v>
      </c>
      <c r="B89" s="30" t="s">
        <v>643</v>
      </c>
      <c r="C89" s="31" t="s">
        <v>609</v>
      </c>
      <c r="D89" s="32" t="s">
        <v>374</v>
      </c>
      <c r="E89" s="33" t="s">
        <v>610</v>
      </c>
      <c r="F89" s="38" t="s">
        <v>610</v>
      </c>
      <c r="G89" s="34" t="b">
        <v>0</v>
      </c>
      <c r="H89" s="34" t="b">
        <v>0</v>
      </c>
      <c r="I89" s="34" t="b">
        <v>0</v>
      </c>
      <c r="J89" s="31" t="s">
        <v>364</v>
      </c>
      <c r="K89" s="35" t="s">
        <v>365</v>
      </c>
      <c r="L89" s="36" t="b">
        <v>0</v>
      </c>
      <c r="M89" s="37" t="s">
        <v>366</v>
      </c>
    </row>
    <row r="90">
      <c r="A90" s="30">
        <f t="shared" si="1"/>
        <v>88</v>
      </c>
      <c r="B90" s="30" t="s">
        <v>644</v>
      </c>
      <c r="C90" s="31" t="s">
        <v>609</v>
      </c>
      <c r="D90" s="32" t="s">
        <v>374</v>
      </c>
      <c r="E90" s="33" t="s">
        <v>645</v>
      </c>
      <c r="F90" s="31" t="s">
        <v>645</v>
      </c>
      <c r="G90" s="34" t="b">
        <v>0</v>
      </c>
      <c r="H90" s="34" t="b">
        <v>0</v>
      </c>
      <c r="I90" s="34" t="b">
        <v>0</v>
      </c>
      <c r="J90" s="31" t="s">
        <v>364</v>
      </c>
      <c r="K90" s="35" t="s">
        <v>365</v>
      </c>
      <c r="L90" s="36" t="b">
        <v>0</v>
      </c>
      <c r="M90" s="37" t="s">
        <v>646</v>
      </c>
    </row>
    <row r="91">
      <c r="A91" s="30">
        <f t="shared" si="1"/>
        <v>89</v>
      </c>
      <c r="B91" s="30" t="s">
        <v>647</v>
      </c>
      <c r="C91" s="31" t="s">
        <v>648</v>
      </c>
      <c r="D91" s="32" t="s">
        <v>374</v>
      </c>
      <c r="E91" s="33" t="s">
        <v>649</v>
      </c>
      <c r="F91" s="31" t="s">
        <v>385</v>
      </c>
      <c r="G91" s="34" t="b">
        <v>0</v>
      </c>
      <c r="H91" s="34" t="b">
        <v>0</v>
      </c>
      <c r="I91" s="34" t="b">
        <v>0</v>
      </c>
      <c r="J91" s="31" t="s">
        <v>364</v>
      </c>
      <c r="K91" s="35" t="s">
        <v>365</v>
      </c>
      <c r="L91" s="36" t="b">
        <v>0</v>
      </c>
      <c r="M91" s="37" t="s">
        <v>366</v>
      </c>
    </row>
    <row r="92">
      <c r="A92" s="30">
        <f t="shared" si="1"/>
        <v>90</v>
      </c>
      <c r="B92" s="30" t="s">
        <v>650</v>
      </c>
      <c r="C92" s="31" t="s">
        <v>651</v>
      </c>
      <c r="D92" s="32" t="s">
        <v>652</v>
      </c>
      <c r="E92" s="33" t="s">
        <v>653</v>
      </c>
      <c r="F92" s="40" t="s">
        <v>653</v>
      </c>
      <c r="G92" s="34" t="b">
        <v>1</v>
      </c>
      <c r="H92" s="34" t="b">
        <v>1</v>
      </c>
      <c r="I92" s="34" t="b">
        <v>0</v>
      </c>
      <c r="J92" s="40" t="s">
        <v>653</v>
      </c>
      <c r="K92" s="35" t="s">
        <v>365</v>
      </c>
      <c r="L92" s="36" t="b">
        <v>0</v>
      </c>
      <c r="M92" s="37" t="s">
        <v>366</v>
      </c>
    </row>
    <row r="93">
      <c r="A93" s="30">
        <f t="shared" si="1"/>
        <v>91</v>
      </c>
      <c r="B93" s="30" t="s">
        <v>654</v>
      </c>
      <c r="C93" s="31" t="s">
        <v>655</v>
      </c>
      <c r="D93" s="32" t="s">
        <v>652</v>
      </c>
      <c r="E93" s="33" t="s">
        <v>656</v>
      </c>
      <c r="F93" s="38" t="s">
        <v>656</v>
      </c>
      <c r="G93" s="34" t="b">
        <v>1</v>
      </c>
      <c r="H93" s="34" t="b">
        <v>1</v>
      </c>
      <c r="I93" s="39" t="b">
        <v>0</v>
      </c>
      <c r="J93" s="38" t="s">
        <v>656</v>
      </c>
      <c r="K93" s="35" t="s">
        <v>365</v>
      </c>
      <c r="L93" s="36" t="b">
        <v>0</v>
      </c>
      <c r="M93" s="37" t="s">
        <v>657</v>
      </c>
    </row>
    <row r="94">
      <c r="A94" s="30">
        <f t="shared" si="1"/>
        <v>92</v>
      </c>
      <c r="B94" s="30" t="s">
        <v>658</v>
      </c>
      <c r="C94" s="31" t="s">
        <v>659</v>
      </c>
      <c r="D94" s="32" t="s">
        <v>652</v>
      </c>
      <c r="E94" s="33" t="s">
        <v>660</v>
      </c>
      <c r="F94" s="31" t="s">
        <v>660</v>
      </c>
      <c r="G94" s="34" t="b">
        <v>1</v>
      </c>
      <c r="H94" s="34" t="b">
        <v>1</v>
      </c>
      <c r="I94" s="34" t="b">
        <v>0</v>
      </c>
      <c r="J94" s="31" t="s">
        <v>660</v>
      </c>
      <c r="K94" s="35" t="s">
        <v>365</v>
      </c>
      <c r="L94" s="36" t="b">
        <v>0</v>
      </c>
      <c r="M94" s="37" t="s">
        <v>661</v>
      </c>
    </row>
    <row r="95">
      <c r="A95" s="30">
        <f t="shared" si="1"/>
        <v>93</v>
      </c>
      <c r="B95" s="30" t="s">
        <v>662</v>
      </c>
      <c r="C95" s="31" t="s">
        <v>663</v>
      </c>
      <c r="D95" s="32" t="s">
        <v>374</v>
      </c>
      <c r="E95" s="33" t="s">
        <v>385</v>
      </c>
      <c r="F95" s="31" t="s">
        <v>385</v>
      </c>
      <c r="G95" s="34" t="b">
        <v>0</v>
      </c>
      <c r="H95" s="34" t="b">
        <v>0</v>
      </c>
      <c r="I95" s="34" t="b">
        <v>0</v>
      </c>
      <c r="J95" s="31" t="s">
        <v>385</v>
      </c>
      <c r="K95" s="35" t="s">
        <v>365</v>
      </c>
      <c r="L95" s="36" t="b">
        <v>0</v>
      </c>
      <c r="M95" s="37" t="s">
        <v>664</v>
      </c>
    </row>
    <row r="96">
      <c r="A96" s="30">
        <f t="shared" si="1"/>
        <v>94</v>
      </c>
      <c r="B96" s="30" t="s">
        <v>665</v>
      </c>
      <c r="C96" s="31" t="s">
        <v>666</v>
      </c>
      <c r="D96" s="32" t="s">
        <v>374</v>
      </c>
      <c r="E96" s="33" t="s">
        <v>385</v>
      </c>
      <c r="F96" s="31" t="s">
        <v>385</v>
      </c>
      <c r="G96" s="34" t="b">
        <v>0</v>
      </c>
      <c r="H96" s="34" t="b">
        <v>0</v>
      </c>
      <c r="I96" s="34" t="b">
        <v>0</v>
      </c>
      <c r="J96" s="31" t="s">
        <v>385</v>
      </c>
      <c r="K96" s="35" t="s">
        <v>365</v>
      </c>
      <c r="L96" s="36" t="b">
        <v>0</v>
      </c>
      <c r="M96" s="37" t="s">
        <v>667</v>
      </c>
    </row>
    <row r="97">
      <c r="A97" s="30">
        <f t="shared" si="1"/>
        <v>95</v>
      </c>
      <c r="B97" s="30" t="s">
        <v>668</v>
      </c>
      <c r="C97" s="31" t="s">
        <v>669</v>
      </c>
      <c r="D97" s="32" t="s">
        <v>374</v>
      </c>
      <c r="E97" s="33" t="s">
        <v>670</v>
      </c>
      <c r="F97" s="38" t="s">
        <v>670</v>
      </c>
      <c r="G97" s="34" t="b">
        <v>1</v>
      </c>
      <c r="H97" s="34" t="b">
        <v>0</v>
      </c>
      <c r="I97" s="34" t="b">
        <v>1</v>
      </c>
      <c r="J97" s="38" t="s">
        <v>670</v>
      </c>
      <c r="K97" s="35" t="s">
        <v>365</v>
      </c>
      <c r="L97" s="36" t="b">
        <v>0</v>
      </c>
      <c r="M97" s="37" t="s">
        <v>671</v>
      </c>
    </row>
    <row r="98">
      <c r="A98" s="30">
        <f t="shared" si="1"/>
        <v>96</v>
      </c>
      <c r="B98" s="30" t="s">
        <v>672</v>
      </c>
      <c r="C98" s="31" t="s">
        <v>673</v>
      </c>
      <c r="D98" s="32" t="s">
        <v>374</v>
      </c>
      <c r="E98" s="33" t="s">
        <v>674</v>
      </c>
      <c r="F98" s="38" t="s">
        <v>674</v>
      </c>
      <c r="G98" s="34" t="b">
        <v>1</v>
      </c>
      <c r="H98" s="34" t="b">
        <v>0</v>
      </c>
      <c r="I98" s="34" t="b">
        <v>1</v>
      </c>
      <c r="J98" s="38" t="s">
        <v>674</v>
      </c>
      <c r="K98" s="35" t="s">
        <v>365</v>
      </c>
      <c r="L98" s="36" t="b">
        <v>0</v>
      </c>
      <c r="M98" s="37" t="s">
        <v>675</v>
      </c>
    </row>
    <row r="99">
      <c r="A99" s="30">
        <f t="shared" si="1"/>
        <v>97</v>
      </c>
      <c r="B99" s="30" t="s">
        <v>676</v>
      </c>
      <c r="C99" s="31" t="s">
        <v>677</v>
      </c>
      <c r="D99" s="32" t="s">
        <v>374</v>
      </c>
      <c r="E99" s="33" t="s">
        <v>678</v>
      </c>
      <c r="F99" s="38" t="s">
        <v>678</v>
      </c>
      <c r="G99" s="34" t="b">
        <v>1</v>
      </c>
      <c r="H99" s="34" t="b">
        <v>0</v>
      </c>
      <c r="I99" s="34" t="b">
        <v>1</v>
      </c>
      <c r="J99" s="38" t="s">
        <v>678</v>
      </c>
      <c r="K99" s="35" t="s">
        <v>365</v>
      </c>
      <c r="L99" s="36" t="b">
        <v>0</v>
      </c>
      <c r="M99" s="37" t="s">
        <v>679</v>
      </c>
    </row>
    <row r="100">
      <c r="A100" s="30">
        <f t="shared" si="1"/>
        <v>98</v>
      </c>
      <c r="B100" s="30" t="s">
        <v>680</v>
      </c>
      <c r="C100" s="31" t="s">
        <v>681</v>
      </c>
      <c r="D100" s="32" t="s">
        <v>374</v>
      </c>
      <c r="E100" s="33" t="s">
        <v>682</v>
      </c>
      <c r="F100" s="38" t="s">
        <v>682</v>
      </c>
      <c r="G100" s="34" t="b">
        <v>1</v>
      </c>
      <c r="H100" s="34" t="b">
        <v>0</v>
      </c>
      <c r="I100" s="34" t="b">
        <v>1</v>
      </c>
      <c r="J100" s="38" t="s">
        <v>682</v>
      </c>
      <c r="K100" s="35" t="s">
        <v>365</v>
      </c>
      <c r="L100" s="36" t="b">
        <v>0</v>
      </c>
      <c r="M100" s="37" t="s">
        <v>683</v>
      </c>
    </row>
    <row r="101">
      <c r="A101" s="30">
        <f t="shared" si="1"/>
        <v>99</v>
      </c>
      <c r="B101" s="30" t="s">
        <v>684</v>
      </c>
      <c r="C101" s="31" t="s">
        <v>685</v>
      </c>
      <c r="D101" s="32" t="s">
        <v>374</v>
      </c>
      <c r="E101" s="33" t="s">
        <v>385</v>
      </c>
      <c r="F101" s="32" t="s">
        <v>385</v>
      </c>
      <c r="G101" s="34" t="b">
        <v>0</v>
      </c>
      <c r="H101" s="34" t="b">
        <v>0</v>
      </c>
      <c r="I101" s="34" t="b">
        <v>0</v>
      </c>
      <c r="J101" s="31" t="s">
        <v>364</v>
      </c>
      <c r="K101" s="35" t="s">
        <v>365</v>
      </c>
      <c r="L101" s="36" t="b">
        <v>0</v>
      </c>
      <c r="M101" s="37" t="s">
        <v>686</v>
      </c>
    </row>
    <row r="102">
      <c r="A102" s="30">
        <f t="shared" si="1"/>
        <v>100</v>
      </c>
      <c r="B102" s="30" t="s">
        <v>687</v>
      </c>
      <c r="C102" s="31" t="s">
        <v>11</v>
      </c>
      <c r="D102" s="32" t="s">
        <v>374</v>
      </c>
      <c r="E102" s="30" t="s">
        <v>385</v>
      </c>
      <c r="F102" s="31" t="s">
        <v>385</v>
      </c>
      <c r="G102" s="34" t="b">
        <v>1</v>
      </c>
      <c r="H102" s="34" t="b">
        <v>0</v>
      </c>
      <c r="I102" s="34" t="b">
        <v>0</v>
      </c>
      <c r="J102" s="31" t="s">
        <v>688</v>
      </c>
      <c r="K102" s="35" t="s">
        <v>365</v>
      </c>
      <c r="L102" s="36" t="b">
        <v>0</v>
      </c>
      <c r="M102" s="37" t="s">
        <v>689</v>
      </c>
    </row>
    <row r="103">
      <c r="A103" s="30">
        <f t="shared" si="1"/>
        <v>101</v>
      </c>
      <c r="B103" s="30" t="s">
        <v>690</v>
      </c>
      <c r="C103" s="31" t="s">
        <v>604</v>
      </c>
      <c r="D103" s="32" t="s">
        <v>363</v>
      </c>
      <c r="E103" s="33" t="s">
        <v>634</v>
      </c>
      <c r="F103" s="38" t="s">
        <v>634</v>
      </c>
      <c r="G103" s="34" t="b">
        <v>0</v>
      </c>
      <c r="H103" s="34" t="b">
        <v>0</v>
      </c>
      <c r="I103" s="34" t="b">
        <v>0</v>
      </c>
      <c r="J103" s="31" t="s">
        <v>364</v>
      </c>
      <c r="K103" s="35" t="s">
        <v>365</v>
      </c>
      <c r="L103" s="36" t="b">
        <v>0</v>
      </c>
      <c r="M103" s="37" t="s">
        <v>366</v>
      </c>
    </row>
    <row r="104">
      <c r="A104" s="30">
        <f t="shared" si="1"/>
        <v>102</v>
      </c>
      <c r="B104" s="30" t="s">
        <v>691</v>
      </c>
      <c r="C104" s="31" t="s">
        <v>11</v>
      </c>
      <c r="D104" s="32" t="s">
        <v>363</v>
      </c>
      <c r="E104" s="33" t="s">
        <v>385</v>
      </c>
      <c r="F104" s="31" t="s">
        <v>385</v>
      </c>
      <c r="G104" s="34" t="b">
        <v>0</v>
      </c>
      <c r="H104" s="34" t="b">
        <v>0</v>
      </c>
      <c r="I104" s="34" t="b">
        <v>0</v>
      </c>
      <c r="J104" s="31" t="s">
        <v>364</v>
      </c>
      <c r="K104" s="35" t="s">
        <v>365</v>
      </c>
      <c r="L104" s="36" t="b">
        <v>0</v>
      </c>
      <c r="M104" s="37" t="s">
        <v>366</v>
      </c>
    </row>
    <row r="105">
      <c r="A105" s="30">
        <f t="shared" si="1"/>
        <v>103</v>
      </c>
      <c r="B105" s="30" t="s">
        <v>692</v>
      </c>
      <c r="C105" s="31" t="s">
        <v>622</v>
      </c>
      <c r="D105" s="32" t="s">
        <v>374</v>
      </c>
      <c r="E105" s="33" t="s">
        <v>693</v>
      </c>
      <c r="F105" s="31" t="s">
        <v>624</v>
      </c>
      <c r="G105" s="34" t="b">
        <v>0</v>
      </c>
      <c r="H105" s="34" t="b">
        <v>0</v>
      </c>
      <c r="I105" s="34" t="b">
        <v>0</v>
      </c>
      <c r="J105" s="31" t="s">
        <v>364</v>
      </c>
      <c r="K105" s="35" t="s">
        <v>365</v>
      </c>
      <c r="L105" s="36" t="b">
        <v>0</v>
      </c>
      <c r="M105" s="37" t="s">
        <v>694</v>
      </c>
    </row>
    <row r="106">
      <c r="A106" s="30">
        <f t="shared" si="1"/>
        <v>104</v>
      </c>
      <c r="B106" s="30" t="s">
        <v>695</v>
      </c>
      <c r="C106" s="31" t="s">
        <v>696</v>
      </c>
      <c r="D106" s="32" t="s">
        <v>374</v>
      </c>
      <c r="E106" s="33" t="s">
        <v>697</v>
      </c>
      <c r="F106" s="38" t="s">
        <v>697</v>
      </c>
      <c r="G106" s="34" t="b">
        <v>1</v>
      </c>
      <c r="H106" s="34" t="b">
        <v>0</v>
      </c>
      <c r="I106" s="34" t="b">
        <v>0</v>
      </c>
      <c r="J106" s="38" t="s">
        <v>697</v>
      </c>
      <c r="K106" s="35" t="s">
        <v>365</v>
      </c>
      <c r="L106" s="36" t="b">
        <v>0</v>
      </c>
      <c r="M106" s="37" t="s">
        <v>698</v>
      </c>
    </row>
    <row r="107">
      <c r="A107" s="30">
        <f t="shared" si="1"/>
        <v>105</v>
      </c>
      <c r="B107" s="30" t="s">
        <v>699</v>
      </c>
      <c r="C107" s="31" t="s">
        <v>700</v>
      </c>
      <c r="D107" s="32" t="s">
        <v>374</v>
      </c>
      <c r="E107" s="33" t="s">
        <v>701</v>
      </c>
      <c r="F107" s="31" t="s">
        <v>701</v>
      </c>
      <c r="G107" s="34" t="b">
        <v>1</v>
      </c>
      <c r="H107" s="34" t="b">
        <v>0</v>
      </c>
      <c r="I107" s="34" t="b">
        <v>0</v>
      </c>
      <c r="J107" s="31" t="s">
        <v>701</v>
      </c>
      <c r="K107" s="35" t="s">
        <v>365</v>
      </c>
      <c r="L107" s="36" t="b">
        <v>0</v>
      </c>
      <c r="M107" s="37" t="s">
        <v>702</v>
      </c>
    </row>
    <row r="108">
      <c r="A108" s="30">
        <f t="shared" si="1"/>
        <v>106</v>
      </c>
      <c r="B108" s="30" t="s">
        <v>703</v>
      </c>
      <c r="C108" s="31" t="s">
        <v>368</v>
      </c>
      <c r="D108" s="32" t="s">
        <v>363</v>
      </c>
      <c r="E108" s="33" t="s">
        <v>704</v>
      </c>
      <c r="F108" s="31" t="s">
        <v>364</v>
      </c>
      <c r="G108" s="34" t="b">
        <v>0</v>
      </c>
      <c r="H108" s="34" t="b">
        <v>0</v>
      </c>
      <c r="I108" s="34" t="b">
        <v>0</v>
      </c>
      <c r="J108" s="31" t="s">
        <v>364</v>
      </c>
      <c r="K108" s="35" t="s">
        <v>365</v>
      </c>
      <c r="L108" s="36" t="b">
        <v>0</v>
      </c>
      <c r="M108" s="37" t="s">
        <v>366</v>
      </c>
    </row>
    <row r="109">
      <c r="A109" s="30">
        <f t="shared" si="1"/>
        <v>107</v>
      </c>
      <c r="B109" s="30" t="s">
        <v>705</v>
      </c>
      <c r="C109" s="31" t="s">
        <v>368</v>
      </c>
      <c r="D109" s="32" t="s">
        <v>363</v>
      </c>
      <c r="E109" s="33" t="s">
        <v>706</v>
      </c>
      <c r="F109" s="31" t="s">
        <v>364</v>
      </c>
      <c r="G109" s="34" t="b">
        <v>0</v>
      </c>
      <c r="H109" s="34" t="b">
        <v>0</v>
      </c>
      <c r="I109" s="34" t="b">
        <v>0</v>
      </c>
      <c r="J109" s="31" t="s">
        <v>364</v>
      </c>
      <c r="K109" s="35" t="s">
        <v>365</v>
      </c>
      <c r="L109" s="36" t="b">
        <v>0</v>
      </c>
      <c r="M109" s="37" t="s">
        <v>366</v>
      </c>
    </row>
    <row r="110">
      <c r="A110" s="30">
        <f t="shared" si="1"/>
        <v>108</v>
      </c>
      <c r="B110" s="30" t="s">
        <v>707</v>
      </c>
      <c r="C110" s="31" t="s">
        <v>708</v>
      </c>
      <c r="D110" s="32" t="s">
        <v>597</v>
      </c>
      <c r="E110" s="33" t="s">
        <v>385</v>
      </c>
      <c r="F110" s="31" t="s">
        <v>385</v>
      </c>
      <c r="G110" s="34" t="b">
        <v>0</v>
      </c>
      <c r="H110" s="34" t="b">
        <v>0</v>
      </c>
      <c r="I110" s="34" t="b">
        <v>0</v>
      </c>
      <c r="J110" s="31" t="s">
        <v>364</v>
      </c>
      <c r="K110" s="35" t="s">
        <v>365</v>
      </c>
      <c r="L110" s="36" t="b">
        <v>0</v>
      </c>
      <c r="M110" s="37" t="s">
        <v>366</v>
      </c>
    </row>
    <row r="111">
      <c r="A111" s="30">
        <f t="shared" si="1"/>
        <v>109</v>
      </c>
      <c r="B111" s="30" t="s">
        <v>709</v>
      </c>
      <c r="C111" s="31" t="s">
        <v>710</v>
      </c>
      <c r="D111" s="32" t="s">
        <v>394</v>
      </c>
      <c r="E111" s="33" t="s">
        <v>711</v>
      </c>
      <c r="F111" s="31" t="s">
        <v>711</v>
      </c>
      <c r="G111" s="34" t="b">
        <v>0</v>
      </c>
      <c r="H111" s="34" t="b">
        <v>0</v>
      </c>
      <c r="I111" s="34" t="b">
        <v>0</v>
      </c>
      <c r="J111" s="31" t="s">
        <v>364</v>
      </c>
      <c r="K111" s="35" t="s">
        <v>365</v>
      </c>
      <c r="L111" s="36" t="b">
        <v>0</v>
      </c>
      <c r="M111" s="37" t="s">
        <v>712</v>
      </c>
    </row>
    <row r="112">
      <c r="A112" s="30">
        <f t="shared" si="1"/>
        <v>110</v>
      </c>
      <c r="B112" s="30" t="s">
        <v>713</v>
      </c>
      <c r="C112" s="31" t="s">
        <v>714</v>
      </c>
      <c r="D112" s="32" t="s">
        <v>652</v>
      </c>
      <c r="E112" s="33" t="s">
        <v>715</v>
      </c>
      <c r="F112" s="38" t="s">
        <v>715</v>
      </c>
      <c r="G112" s="34" t="b">
        <v>1</v>
      </c>
      <c r="H112" s="34" t="b">
        <v>1</v>
      </c>
      <c r="I112" s="34" t="b">
        <v>0</v>
      </c>
      <c r="J112" s="38" t="s">
        <v>715</v>
      </c>
      <c r="K112" s="35" t="s">
        <v>365</v>
      </c>
      <c r="L112" s="36" t="b">
        <v>0</v>
      </c>
      <c r="M112" s="37" t="s">
        <v>366</v>
      </c>
    </row>
    <row r="113">
      <c r="A113" s="30">
        <f t="shared" si="1"/>
        <v>111</v>
      </c>
      <c r="B113" s="30" t="s">
        <v>716</v>
      </c>
      <c r="C113" s="31" t="s">
        <v>717</v>
      </c>
      <c r="D113" s="32" t="s">
        <v>394</v>
      </c>
      <c r="E113" s="33" t="s">
        <v>718</v>
      </c>
      <c r="F113" s="38" t="s">
        <v>718</v>
      </c>
      <c r="G113" s="34" t="b">
        <v>0</v>
      </c>
      <c r="H113" s="34" t="b">
        <v>0</v>
      </c>
      <c r="I113" s="34" t="b">
        <v>0</v>
      </c>
      <c r="J113" s="31" t="s">
        <v>364</v>
      </c>
      <c r="K113" s="35" t="s">
        <v>365</v>
      </c>
      <c r="L113" s="36" t="b">
        <v>0</v>
      </c>
      <c r="M113" s="37" t="s">
        <v>366</v>
      </c>
    </row>
    <row r="114">
      <c r="A114" s="30">
        <f t="shared" si="1"/>
        <v>112</v>
      </c>
      <c r="B114" s="30" t="s">
        <v>719</v>
      </c>
      <c r="C114" s="31" t="s">
        <v>720</v>
      </c>
      <c r="D114" s="32" t="s">
        <v>363</v>
      </c>
      <c r="E114" s="33" t="s">
        <v>721</v>
      </c>
      <c r="F114" s="31" t="s">
        <v>721</v>
      </c>
      <c r="G114" s="34" t="b">
        <v>0</v>
      </c>
      <c r="H114" s="34" t="b">
        <v>0</v>
      </c>
      <c r="I114" s="34" t="b">
        <v>0</v>
      </c>
      <c r="J114" s="31" t="s">
        <v>364</v>
      </c>
      <c r="K114" s="35" t="s">
        <v>365</v>
      </c>
      <c r="L114" s="36" t="b">
        <v>0</v>
      </c>
      <c r="M114" s="37" t="s">
        <v>366</v>
      </c>
    </row>
  </sheetData>
  <dataValidations>
    <dataValidation type="list" allowBlank="1" sqref="E2:E114 M2:M114">
      <formula1>#REF!</formula1>
    </dataValidation>
    <dataValidation type="list" allowBlank="1" sqref="C2:D114 F2:F114 J2:K114">
      <formula1>#REF!</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29"/>
    <col customWidth="1" min="2" max="2" width="65.57"/>
    <col customWidth="1" min="3" max="3" width="52.29"/>
    <col customWidth="1" min="4" max="4" width="48.43"/>
    <col customWidth="1" min="5" max="5" width="39.71"/>
    <col customWidth="1" min="6" max="6" width="38.86"/>
    <col customWidth="1" min="7" max="7" width="44.57"/>
    <col customWidth="1" min="8" max="8" width="36.29"/>
    <col customWidth="1" min="9" max="9" width="58.57"/>
    <col customWidth="1" min="10" max="10" width="71.14"/>
    <col customWidth="1" min="11" max="11" width="54.43"/>
    <col customWidth="1" min="12" max="12" width="48.86"/>
    <col customWidth="1" min="13" max="13" width="31.14"/>
    <col customWidth="1" min="14" max="14" width="71.14"/>
    <col customWidth="1" min="15" max="15" width="42.14"/>
    <col customWidth="1" min="16" max="16" width="24.71"/>
    <col customWidth="1" min="17" max="17" width="39.29"/>
    <col customWidth="1" min="18" max="18" width="34.14"/>
    <col customWidth="1" min="19" max="21" width="24.0"/>
    <col customWidth="1" min="22" max="22" width="18.0"/>
    <col customWidth="1" min="23" max="25" width="32.71"/>
  </cols>
  <sheetData>
    <row r="1">
      <c r="A1" s="1" t="s">
        <v>49</v>
      </c>
      <c r="B1" s="1" t="s">
        <v>722</v>
      </c>
      <c r="C1" s="1" t="s">
        <v>723</v>
      </c>
      <c r="D1" s="2" t="s">
        <v>724</v>
      </c>
      <c r="E1" s="2" t="s">
        <v>725</v>
      </c>
      <c r="F1" s="2" t="s">
        <v>726</v>
      </c>
      <c r="G1" s="2" t="s">
        <v>727</v>
      </c>
      <c r="H1" s="29" t="s">
        <v>728</v>
      </c>
      <c r="I1" s="29" t="s">
        <v>729</v>
      </c>
    </row>
    <row r="2">
      <c r="A2" s="48">
        <f>ROW()-ROW(Table_Action_Conditions[N])</f>
        <v>0</v>
      </c>
      <c r="B2" s="48" t="s">
        <v>366</v>
      </c>
      <c r="C2" s="49" t="s">
        <v>730</v>
      </c>
      <c r="D2" s="50" t="s">
        <v>731</v>
      </c>
      <c r="E2" s="50" t="s">
        <v>732</v>
      </c>
      <c r="F2" s="50" t="s">
        <v>361</v>
      </c>
      <c r="G2" s="50" t="s">
        <v>733</v>
      </c>
      <c r="H2" s="51"/>
      <c r="I2" s="51" t="s">
        <v>734</v>
      </c>
    </row>
    <row r="3">
      <c r="A3" s="48">
        <f>ROW()-ROW(Table_Action_Conditions[N])</f>
        <v>1</v>
      </c>
      <c r="B3" s="48" t="s">
        <v>735</v>
      </c>
      <c r="C3" s="52" t="s">
        <v>736</v>
      </c>
      <c r="D3" s="50" t="s">
        <v>731</v>
      </c>
      <c r="E3" s="50" t="s">
        <v>13</v>
      </c>
      <c r="F3" s="50" t="s">
        <v>361</v>
      </c>
      <c r="G3" s="50" t="s">
        <v>737</v>
      </c>
      <c r="H3" s="51"/>
      <c r="I3" s="51" t="s">
        <v>738</v>
      </c>
    </row>
    <row r="4">
      <c r="A4" s="48">
        <f>ROW()-ROW(Table_Action_Conditions[N])</f>
        <v>2</v>
      </c>
      <c r="B4" s="48" t="s">
        <v>739</v>
      </c>
      <c r="C4" s="52" t="s">
        <v>740</v>
      </c>
      <c r="D4" s="50" t="s">
        <v>731</v>
      </c>
      <c r="E4" s="50" t="s">
        <v>13</v>
      </c>
      <c r="F4" s="50" t="s">
        <v>361</v>
      </c>
      <c r="G4" s="50" t="s">
        <v>737</v>
      </c>
      <c r="H4" s="51"/>
      <c r="I4" s="51" t="s">
        <v>741</v>
      </c>
    </row>
    <row r="5">
      <c r="A5" s="48">
        <f>ROW()-ROW(Table_Action_Conditions[N])</f>
        <v>3</v>
      </c>
      <c r="B5" s="48" t="s">
        <v>382</v>
      </c>
      <c r="C5" s="52" t="s">
        <v>742</v>
      </c>
      <c r="D5" s="50" t="s">
        <v>731</v>
      </c>
      <c r="E5" s="50" t="s">
        <v>13</v>
      </c>
      <c r="F5" s="50" t="s">
        <v>361</v>
      </c>
      <c r="G5" s="50" t="s">
        <v>737</v>
      </c>
      <c r="H5" s="51"/>
      <c r="I5" s="51" t="s">
        <v>743</v>
      </c>
    </row>
    <row r="6">
      <c r="A6" s="48">
        <f>ROW()-ROW(Table_Action_Conditions[N])</f>
        <v>4</v>
      </c>
      <c r="B6" s="48" t="s">
        <v>386</v>
      </c>
      <c r="C6" s="52" t="s">
        <v>744</v>
      </c>
      <c r="D6" s="50" t="s">
        <v>731</v>
      </c>
      <c r="E6" s="50" t="s">
        <v>13</v>
      </c>
      <c r="F6" s="50" t="s">
        <v>361</v>
      </c>
      <c r="G6" s="50" t="s">
        <v>737</v>
      </c>
      <c r="H6" s="51"/>
      <c r="I6" s="51" t="s">
        <v>745</v>
      </c>
    </row>
    <row r="7">
      <c r="A7" s="48">
        <f>ROW()-ROW(Table_Action_Conditions[N])</f>
        <v>5</v>
      </c>
      <c r="B7" s="48" t="s">
        <v>389</v>
      </c>
      <c r="C7" s="52" t="s">
        <v>746</v>
      </c>
      <c r="D7" s="50" t="s">
        <v>731</v>
      </c>
      <c r="E7" s="50" t="s">
        <v>13</v>
      </c>
      <c r="F7" s="50" t="s">
        <v>361</v>
      </c>
      <c r="G7" s="50" t="s">
        <v>737</v>
      </c>
      <c r="H7" s="51"/>
      <c r="I7" s="51" t="s">
        <v>747</v>
      </c>
    </row>
    <row r="8">
      <c r="A8" s="48">
        <f>ROW()-ROW(Table_Action_Conditions[N])</f>
        <v>6</v>
      </c>
      <c r="B8" s="48" t="s">
        <v>748</v>
      </c>
      <c r="C8" s="52" t="s">
        <v>730</v>
      </c>
      <c r="D8" s="50" t="s">
        <v>731</v>
      </c>
      <c r="E8" s="50" t="s">
        <v>13</v>
      </c>
      <c r="F8" s="50" t="s">
        <v>361</v>
      </c>
      <c r="G8" s="50" t="s">
        <v>749</v>
      </c>
      <c r="H8" s="51"/>
      <c r="I8" s="51" t="s">
        <v>750</v>
      </c>
    </row>
    <row r="9">
      <c r="A9" s="48">
        <f>ROW()-ROW(Table_Action_Conditions[N])</f>
        <v>7</v>
      </c>
      <c r="B9" s="48" t="s">
        <v>403</v>
      </c>
      <c r="C9" s="52" t="s">
        <v>730</v>
      </c>
      <c r="D9" s="50" t="s">
        <v>731</v>
      </c>
      <c r="E9" s="50" t="s">
        <v>13</v>
      </c>
      <c r="F9" s="50" t="s">
        <v>361</v>
      </c>
      <c r="G9" s="50" t="s">
        <v>751</v>
      </c>
      <c r="H9" s="51"/>
      <c r="I9" s="51" t="s">
        <v>752</v>
      </c>
    </row>
    <row r="10">
      <c r="A10" s="48">
        <f>ROW()-ROW(Table_Action_Conditions[N])</f>
        <v>8</v>
      </c>
      <c r="B10" s="48" t="s">
        <v>405</v>
      </c>
      <c r="C10" s="52" t="s">
        <v>753</v>
      </c>
      <c r="D10" s="50" t="s">
        <v>731</v>
      </c>
      <c r="E10" s="50" t="s">
        <v>13</v>
      </c>
      <c r="F10" s="50" t="s">
        <v>361</v>
      </c>
      <c r="G10" s="50" t="s">
        <v>754</v>
      </c>
      <c r="H10" s="51"/>
      <c r="I10" s="51" t="s">
        <v>755</v>
      </c>
    </row>
    <row r="11">
      <c r="A11" s="48">
        <f>ROW()-ROW(Table_Action_Conditions[N])</f>
        <v>9</v>
      </c>
      <c r="B11" s="48" t="s">
        <v>411</v>
      </c>
      <c r="C11" s="52" t="s">
        <v>756</v>
      </c>
      <c r="D11" s="50" t="s">
        <v>731</v>
      </c>
      <c r="E11" s="50" t="s">
        <v>13</v>
      </c>
      <c r="F11" s="50" t="s">
        <v>361</v>
      </c>
      <c r="G11" s="50" t="s">
        <v>737</v>
      </c>
      <c r="H11" s="51"/>
      <c r="I11" s="51" t="s">
        <v>757</v>
      </c>
    </row>
    <row r="12">
      <c r="A12" s="48">
        <f>ROW()-ROW(Table_Action_Conditions[N])</f>
        <v>10</v>
      </c>
      <c r="B12" s="48" t="s">
        <v>758</v>
      </c>
      <c r="C12" s="52" t="s">
        <v>730</v>
      </c>
      <c r="D12" s="50" t="s">
        <v>731</v>
      </c>
      <c r="E12" s="50" t="s">
        <v>13</v>
      </c>
      <c r="F12" s="50" t="s">
        <v>378</v>
      </c>
      <c r="G12" s="50" t="s">
        <v>759</v>
      </c>
      <c r="H12" s="51"/>
      <c r="I12" s="51" t="s">
        <v>760</v>
      </c>
    </row>
    <row r="13">
      <c r="A13" s="48">
        <f>ROW()-ROW(Table_Action_Conditions[N])</f>
        <v>11</v>
      </c>
      <c r="B13" s="48" t="s">
        <v>761</v>
      </c>
      <c r="C13" s="52" t="s">
        <v>730</v>
      </c>
      <c r="D13" s="50" t="s">
        <v>731</v>
      </c>
      <c r="E13" s="50" t="s">
        <v>13</v>
      </c>
      <c r="F13" s="50" t="s">
        <v>361</v>
      </c>
      <c r="G13" s="50" t="s">
        <v>737</v>
      </c>
      <c r="H13" s="51"/>
      <c r="I13" s="51" t="s">
        <v>762</v>
      </c>
    </row>
    <row r="14">
      <c r="A14" s="48">
        <f>ROW()-ROW(Table_Action_Conditions[N])</f>
        <v>12</v>
      </c>
      <c r="B14" s="48" t="s">
        <v>417</v>
      </c>
      <c r="C14" s="52" t="s">
        <v>763</v>
      </c>
      <c r="D14" s="50" t="s">
        <v>731</v>
      </c>
      <c r="E14" s="50" t="s">
        <v>732</v>
      </c>
      <c r="F14" s="50" t="s">
        <v>361</v>
      </c>
      <c r="G14" s="50" t="s">
        <v>754</v>
      </c>
      <c r="H14" s="51"/>
      <c r="I14" s="51" t="s">
        <v>764</v>
      </c>
    </row>
    <row r="15">
      <c r="A15" s="48">
        <f>ROW()-ROW(Table_Action_Conditions[N])</f>
        <v>13</v>
      </c>
      <c r="B15" s="48" t="s">
        <v>765</v>
      </c>
      <c r="C15" s="52" t="s">
        <v>730</v>
      </c>
      <c r="D15" s="50" t="s">
        <v>731</v>
      </c>
      <c r="E15" s="50" t="s">
        <v>13</v>
      </c>
      <c r="F15" s="50" t="s">
        <v>361</v>
      </c>
      <c r="G15" s="50" t="s">
        <v>749</v>
      </c>
      <c r="H15" s="51"/>
      <c r="I15" s="51" t="s">
        <v>766</v>
      </c>
    </row>
    <row r="16">
      <c r="A16" s="48">
        <f>ROW()-ROW(Table_Action_Conditions[N])</f>
        <v>14</v>
      </c>
      <c r="B16" s="48" t="s">
        <v>767</v>
      </c>
      <c r="C16" s="52" t="s">
        <v>768</v>
      </c>
      <c r="D16" s="50" t="s">
        <v>731</v>
      </c>
      <c r="E16" s="50" t="s">
        <v>13</v>
      </c>
      <c r="F16" s="50" t="s">
        <v>713</v>
      </c>
      <c r="G16" s="50" t="s">
        <v>759</v>
      </c>
      <c r="H16" s="51"/>
      <c r="I16" s="51" t="s">
        <v>769</v>
      </c>
    </row>
    <row r="17">
      <c r="A17" s="48">
        <f>ROW()-ROW(Table_Action_Conditions[N])</f>
        <v>15</v>
      </c>
      <c r="B17" s="48" t="s">
        <v>431</v>
      </c>
      <c r="C17" s="52" t="s">
        <v>770</v>
      </c>
      <c r="D17" s="50" t="s">
        <v>731</v>
      </c>
      <c r="E17" s="50" t="s">
        <v>13</v>
      </c>
      <c r="F17" s="50" t="s">
        <v>361</v>
      </c>
      <c r="G17" s="50" t="s">
        <v>749</v>
      </c>
      <c r="H17" s="51"/>
      <c r="I17" s="51" t="s">
        <v>771</v>
      </c>
    </row>
    <row r="18">
      <c r="A18" s="48">
        <f>ROW()-ROW(Table_Action_Conditions[N])</f>
        <v>16</v>
      </c>
      <c r="B18" s="48" t="s">
        <v>772</v>
      </c>
      <c r="C18" s="52" t="s">
        <v>730</v>
      </c>
      <c r="D18" s="50" t="s">
        <v>731</v>
      </c>
      <c r="E18" s="50" t="s">
        <v>13</v>
      </c>
      <c r="F18" s="50" t="s">
        <v>361</v>
      </c>
      <c r="G18" s="50" t="s">
        <v>751</v>
      </c>
      <c r="H18" s="51"/>
      <c r="I18" s="51" t="s">
        <v>773</v>
      </c>
    </row>
    <row r="19">
      <c r="A19" s="48">
        <f>ROW()-ROW(Table_Action_Conditions[N])</f>
        <v>17</v>
      </c>
      <c r="B19" s="48" t="s">
        <v>445</v>
      </c>
      <c r="C19" s="52" t="s">
        <v>730</v>
      </c>
      <c r="D19" s="50" t="s">
        <v>731</v>
      </c>
      <c r="E19" s="50" t="s">
        <v>13</v>
      </c>
      <c r="F19" s="50" t="s">
        <v>361</v>
      </c>
      <c r="G19" s="50" t="s">
        <v>749</v>
      </c>
      <c r="H19" s="51"/>
      <c r="I19" s="51" t="s">
        <v>774</v>
      </c>
    </row>
    <row r="20">
      <c r="A20" s="48">
        <f>ROW()-ROW(Table_Action_Conditions[N])</f>
        <v>18</v>
      </c>
      <c r="B20" s="48" t="s">
        <v>447</v>
      </c>
      <c r="C20" s="52" t="s">
        <v>730</v>
      </c>
      <c r="D20" s="50" t="s">
        <v>731</v>
      </c>
      <c r="E20" s="50" t="s">
        <v>13</v>
      </c>
      <c r="F20" s="50" t="s">
        <v>361</v>
      </c>
      <c r="G20" s="50" t="s">
        <v>749</v>
      </c>
      <c r="H20" s="51"/>
      <c r="I20" s="51" t="s">
        <v>775</v>
      </c>
    </row>
    <row r="21">
      <c r="A21" s="48">
        <f>ROW()-ROW(Table_Action_Conditions[N])</f>
        <v>19</v>
      </c>
      <c r="B21" s="48" t="s">
        <v>776</v>
      </c>
      <c r="C21" s="52" t="s">
        <v>730</v>
      </c>
      <c r="D21" s="50" t="s">
        <v>777</v>
      </c>
      <c r="E21" s="50" t="s">
        <v>13</v>
      </c>
      <c r="F21" s="50" t="s">
        <v>650</v>
      </c>
      <c r="G21" s="50" t="s">
        <v>759</v>
      </c>
      <c r="H21" s="51"/>
      <c r="I21" s="51" t="s">
        <v>778</v>
      </c>
    </row>
    <row r="22">
      <c r="A22" s="48">
        <f>ROW()-ROW(Table_Action_Conditions[N])</f>
        <v>20</v>
      </c>
      <c r="B22" s="48" t="s">
        <v>779</v>
      </c>
      <c r="C22" s="52" t="s">
        <v>780</v>
      </c>
      <c r="D22" s="50" t="s">
        <v>777</v>
      </c>
      <c r="E22" s="50" t="s">
        <v>13</v>
      </c>
      <c r="F22" s="50" t="s">
        <v>361</v>
      </c>
      <c r="G22" s="50" t="s">
        <v>737</v>
      </c>
      <c r="H22" s="51"/>
      <c r="I22" s="51" t="s">
        <v>781</v>
      </c>
    </row>
    <row r="23">
      <c r="A23" s="48">
        <f>ROW()-ROW(Table_Action_Conditions[N])</f>
        <v>21</v>
      </c>
      <c r="B23" s="48" t="s">
        <v>782</v>
      </c>
      <c r="C23" s="52" t="s">
        <v>780</v>
      </c>
      <c r="D23" s="50" t="s">
        <v>783</v>
      </c>
      <c r="E23" s="50" t="s">
        <v>13</v>
      </c>
      <c r="F23" s="50" t="s">
        <v>361</v>
      </c>
      <c r="G23" s="50" t="s">
        <v>737</v>
      </c>
      <c r="H23" s="51"/>
      <c r="I23" s="51" t="s">
        <v>784</v>
      </c>
    </row>
    <row r="24">
      <c r="A24" s="48">
        <f>ROW()-ROW(Table_Action_Conditions[N])</f>
        <v>22</v>
      </c>
      <c r="B24" s="48" t="s">
        <v>785</v>
      </c>
      <c r="C24" s="52" t="s">
        <v>730</v>
      </c>
      <c r="D24" s="50" t="s">
        <v>731</v>
      </c>
      <c r="E24" s="50" t="s">
        <v>13</v>
      </c>
      <c r="F24" s="50" t="s">
        <v>361</v>
      </c>
      <c r="G24" s="50" t="s">
        <v>751</v>
      </c>
      <c r="H24" s="51"/>
      <c r="I24" s="51" t="s">
        <v>786</v>
      </c>
    </row>
    <row r="25">
      <c r="A25" s="48">
        <f>ROW()-ROW(Table_Action_Conditions[N])</f>
        <v>23</v>
      </c>
      <c r="B25" s="48" t="s">
        <v>787</v>
      </c>
      <c r="C25" s="52" t="s">
        <v>730</v>
      </c>
      <c r="D25" s="50" t="s">
        <v>731</v>
      </c>
      <c r="E25" s="50" t="s">
        <v>13</v>
      </c>
      <c r="F25" s="50" t="s">
        <v>361</v>
      </c>
      <c r="G25" s="50" t="s">
        <v>749</v>
      </c>
      <c r="H25" s="51"/>
      <c r="I25" s="51" t="s">
        <v>788</v>
      </c>
    </row>
    <row r="26">
      <c r="A26" s="48">
        <f>ROW()-ROW(Table_Action_Conditions[N])</f>
        <v>24</v>
      </c>
      <c r="B26" s="48" t="s">
        <v>789</v>
      </c>
      <c r="C26" s="52" t="s">
        <v>730</v>
      </c>
      <c r="D26" s="50" t="s">
        <v>731</v>
      </c>
      <c r="E26" s="50" t="s">
        <v>13</v>
      </c>
      <c r="F26" s="50" t="s">
        <v>361</v>
      </c>
      <c r="G26" s="50" t="s">
        <v>751</v>
      </c>
      <c r="H26" s="51"/>
      <c r="I26" s="51" t="s">
        <v>790</v>
      </c>
    </row>
    <row r="27">
      <c r="A27" s="48">
        <f>ROW()-ROW(Table_Action_Conditions[N])</f>
        <v>25</v>
      </c>
      <c r="B27" s="48" t="s">
        <v>791</v>
      </c>
      <c r="C27" s="52" t="s">
        <v>792</v>
      </c>
      <c r="D27" s="50" t="s">
        <v>731</v>
      </c>
      <c r="E27" s="50" t="s">
        <v>13</v>
      </c>
      <c r="F27" s="50" t="s">
        <v>361</v>
      </c>
      <c r="G27" s="50" t="s">
        <v>751</v>
      </c>
      <c r="H27" s="51"/>
      <c r="I27" s="51" t="s">
        <v>793</v>
      </c>
    </row>
    <row r="28">
      <c r="A28" s="48">
        <f>ROW()-ROW(Table_Action_Conditions[N])</f>
        <v>26</v>
      </c>
      <c r="B28" s="48" t="s">
        <v>794</v>
      </c>
      <c r="C28" s="52" t="s">
        <v>795</v>
      </c>
      <c r="D28" s="50" t="s">
        <v>731</v>
      </c>
      <c r="E28" s="50" t="s">
        <v>13</v>
      </c>
      <c r="F28" s="50" t="s">
        <v>361</v>
      </c>
      <c r="G28" s="50" t="s">
        <v>751</v>
      </c>
      <c r="H28" s="51"/>
      <c r="I28" s="51" t="s">
        <v>796</v>
      </c>
    </row>
    <row r="29">
      <c r="A29" s="48">
        <f>ROW()-ROW(Table_Action_Conditions[N])</f>
        <v>27</v>
      </c>
      <c r="B29" s="48" t="s">
        <v>797</v>
      </c>
      <c r="C29" s="52" t="s">
        <v>730</v>
      </c>
      <c r="D29" s="50" t="s">
        <v>731</v>
      </c>
      <c r="E29" s="50" t="s">
        <v>13</v>
      </c>
      <c r="F29" s="50" t="s">
        <v>361</v>
      </c>
      <c r="G29" s="50" t="s">
        <v>737</v>
      </c>
      <c r="H29" s="51"/>
      <c r="I29" s="51" t="s">
        <v>798</v>
      </c>
    </row>
    <row r="30">
      <c r="A30" s="48">
        <f>ROW()-ROW(Table_Action_Conditions[N])</f>
        <v>28</v>
      </c>
      <c r="B30" s="48" t="s">
        <v>799</v>
      </c>
      <c r="C30" s="52" t="s">
        <v>800</v>
      </c>
      <c r="D30" s="50" t="s">
        <v>731</v>
      </c>
      <c r="E30" s="50" t="s">
        <v>13</v>
      </c>
      <c r="F30" s="50" t="s">
        <v>361</v>
      </c>
      <c r="G30" s="50" t="s">
        <v>751</v>
      </c>
      <c r="H30" s="53"/>
      <c r="I30" s="53" t="s">
        <v>801</v>
      </c>
    </row>
    <row r="31">
      <c r="A31" s="48">
        <f>ROW()-ROW(Table_Action_Conditions[N])</f>
        <v>29</v>
      </c>
      <c r="B31" s="48" t="s">
        <v>802</v>
      </c>
      <c r="C31" s="52" t="s">
        <v>803</v>
      </c>
      <c r="D31" s="50" t="s">
        <v>731</v>
      </c>
      <c r="E31" s="50" t="s">
        <v>13</v>
      </c>
      <c r="F31" s="50" t="s">
        <v>361</v>
      </c>
      <c r="G31" s="50" t="s">
        <v>751</v>
      </c>
      <c r="H31" s="53"/>
      <c r="I31" s="53" t="s">
        <v>804</v>
      </c>
    </row>
    <row r="32">
      <c r="A32" s="48">
        <f>ROW()-ROW(Table_Action_Conditions[N])</f>
        <v>30</v>
      </c>
      <c r="B32" s="48" t="s">
        <v>805</v>
      </c>
      <c r="C32" s="52" t="s">
        <v>806</v>
      </c>
      <c r="D32" s="50" t="s">
        <v>731</v>
      </c>
      <c r="E32" s="50" t="s">
        <v>13</v>
      </c>
      <c r="F32" s="50" t="s">
        <v>361</v>
      </c>
      <c r="G32" s="50" t="s">
        <v>751</v>
      </c>
      <c r="H32" s="53"/>
      <c r="I32" s="53" t="s">
        <v>807</v>
      </c>
    </row>
    <row r="33">
      <c r="A33" s="48">
        <f>ROW()-ROW(Table_Action_Conditions[N])</f>
        <v>31</v>
      </c>
      <c r="B33" s="48" t="s">
        <v>808</v>
      </c>
      <c r="C33" s="52" t="s">
        <v>809</v>
      </c>
      <c r="D33" s="50" t="s">
        <v>731</v>
      </c>
      <c r="E33" s="50" t="s">
        <v>13</v>
      </c>
      <c r="F33" s="50" t="s">
        <v>361</v>
      </c>
      <c r="G33" s="50" t="s">
        <v>751</v>
      </c>
      <c r="H33" s="53"/>
      <c r="I33" s="53" t="s">
        <v>810</v>
      </c>
    </row>
    <row r="34">
      <c r="A34" s="48">
        <f>ROW()-ROW(Table_Action_Conditions[N])</f>
        <v>32</v>
      </c>
      <c r="B34" s="48" t="s">
        <v>811</v>
      </c>
      <c r="C34" s="52" t="s">
        <v>809</v>
      </c>
      <c r="D34" s="50" t="s">
        <v>783</v>
      </c>
      <c r="E34" s="50" t="s">
        <v>13</v>
      </c>
      <c r="F34" s="50" t="s">
        <v>361</v>
      </c>
      <c r="G34" s="50" t="s">
        <v>737</v>
      </c>
      <c r="H34" s="53"/>
      <c r="I34" s="53" t="s">
        <v>812</v>
      </c>
    </row>
    <row r="35">
      <c r="A35" s="48">
        <f>ROW()-ROW(Table_Action_Conditions[N])</f>
        <v>33</v>
      </c>
      <c r="B35" s="48" t="s">
        <v>813</v>
      </c>
      <c r="C35" s="52" t="s">
        <v>809</v>
      </c>
      <c r="D35" s="50" t="s">
        <v>777</v>
      </c>
      <c r="E35" s="50" t="s">
        <v>13</v>
      </c>
      <c r="F35" s="50" t="s">
        <v>361</v>
      </c>
      <c r="G35" s="50" t="s">
        <v>737</v>
      </c>
      <c r="H35" s="53"/>
      <c r="I35" s="53" t="s">
        <v>814</v>
      </c>
    </row>
    <row r="36">
      <c r="A36" s="48">
        <f>ROW()-ROW(Table_Action_Conditions[N])</f>
        <v>34</v>
      </c>
      <c r="B36" s="48" t="s">
        <v>815</v>
      </c>
      <c r="C36" s="52" t="s">
        <v>730</v>
      </c>
      <c r="D36" s="50" t="s">
        <v>731</v>
      </c>
      <c r="E36" s="50" t="s">
        <v>13</v>
      </c>
      <c r="F36" s="50" t="s">
        <v>361</v>
      </c>
      <c r="G36" s="50" t="s">
        <v>751</v>
      </c>
      <c r="H36" s="53"/>
      <c r="I36" s="53" t="s">
        <v>816</v>
      </c>
    </row>
    <row r="37">
      <c r="A37" s="48">
        <f>ROW()-ROW(Table_Action_Conditions[N])</f>
        <v>35</v>
      </c>
      <c r="B37" s="48" t="s">
        <v>817</v>
      </c>
      <c r="C37" s="52" t="s">
        <v>818</v>
      </c>
      <c r="D37" s="50" t="s">
        <v>731</v>
      </c>
      <c r="E37" s="50" t="s">
        <v>13</v>
      </c>
      <c r="F37" s="50" t="s">
        <v>361</v>
      </c>
      <c r="G37" s="50" t="s">
        <v>737</v>
      </c>
      <c r="H37" s="53"/>
      <c r="I37" s="53" t="s">
        <v>819</v>
      </c>
    </row>
    <row r="38">
      <c r="A38" s="48">
        <f>ROW()-ROW(Table_Action_Conditions[N])</f>
        <v>36</v>
      </c>
      <c r="B38" s="48" t="s">
        <v>820</v>
      </c>
      <c r="C38" s="52" t="s">
        <v>821</v>
      </c>
      <c r="D38" s="50" t="s">
        <v>777</v>
      </c>
      <c r="E38" s="50" t="s">
        <v>13</v>
      </c>
      <c r="F38" s="50" t="s">
        <v>361</v>
      </c>
      <c r="G38" s="50" t="s">
        <v>737</v>
      </c>
      <c r="H38" s="53"/>
      <c r="I38" s="53" t="s">
        <v>822</v>
      </c>
    </row>
    <row r="39">
      <c r="A39" s="48">
        <f>ROW()-ROW(Table_Action_Conditions[N])</f>
        <v>37</v>
      </c>
      <c r="B39" s="48" t="s">
        <v>823</v>
      </c>
      <c r="C39" s="52" t="s">
        <v>821</v>
      </c>
      <c r="D39" s="50" t="s">
        <v>783</v>
      </c>
      <c r="E39" s="50" t="s">
        <v>13</v>
      </c>
      <c r="F39" s="50" t="s">
        <v>361</v>
      </c>
      <c r="G39" s="50" t="s">
        <v>737</v>
      </c>
      <c r="H39" s="53"/>
      <c r="I39" s="53" t="s">
        <v>824</v>
      </c>
    </row>
    <row r="40">
      <c r="A40" s="48">
        <f>ROW()-ROW(Table_Action_Conditions[N])</f>
        <v>38</v>
      </c>
      <c r="B40" s="48" t="s">
        <v>825</v>
      </c>
      <c r="C40" s="52" t="s">
        <v>730</v>
      </c>
      <c r="D40" s="50" t="s">
        <v>731</v>
      </c>
      <c r="E40" s="50" t="s">
        <v>13</v>
      </c>
      <c r="F40" s="50" t="s">
        <v>361</v>
      </c>
      <c r="G40" s="50" t="s">
        <v>751</v>
      </c>
      <c r="H40" s="53"/>
      <c r="I40" s="53" t="s">
        <v>826</v>
      </c>
    </row>
    <row r="41">
      <c r="A41" s="48">
        <f>ROW()-ROW(Table_Action_Conditions[N])</f>
        <v>39</v>
      </c>
      <c r="B41" s="48" t="s">
        <v>827</v>
      </c>
      <c r="C41" s="52" t="s">
        <v>828</v>
      </c>
      <c r="D41" s="50" t="s">
        <v>783</v>
      </c>
      <c r="E41" s="50" t="s">
        <v>13</v>
      </c>
      <c r="F41" s="50" t="s">
        <v>466</v>
      </c>
      <c r="G41" s="50" t="s">
        <v>759</v>
      </c>
      <c r="H41" s="53"/>
      <c r="I41" s="53" t="s">
        <v>829</v>
      </c>
    </row>
    <row r="42">
      <c r="A42" s="48">
        <f>ROW()-ROW(Table_Action_Conditions[N])</f>
        <v>40</v>
      </c>
      <c r="B42" s="48" t="s">
        <v>830</v>
      </c>
      <c r="C42" s="52" t="s">
        <v>831</v>
      </c>
      <c r="D42" s="50" t="s">
        <v>783</v>
      </c>
      <c r="E42" s="50" t="s">
        <v>13</v>
      </c>
      <c r="F42" s="50" t="s">
        <v>361</v>
      </c>
      <c r="G42" s="50" t="s">
        <v>737</v>
      </c>
      <c r="H42" s="53"/>
      <c r="I42" s="53" t="s">
        <v>832</v>
      </c>
    </row>
    <row r="43">
      <c r="A43" s="48">
        <f>ROW()-ROW(Table_Action_Conditions[N])</f>
        <v>41</v>
      </c>
      <c r="B43" s="48" t="s">
        <v>833</v>
      </c>
      <c r="C43" s="52" t="s">
        <v>834</v>
      </c>
      <c r="D43" s="50" t="s">
        <v>731</v>
      </c>
      <c r="E43" s="50" t="s">
        <v>13</v>
      </c>
      <c r="F43" s="50" t="s">
        <v>361</v>
      </c>
      <c r="G43" s="50" t="s">
        <v>737</v>
      </c>
      <c r="H43" s="53"/>
      <c r="I43" s="53" t="s">
        <v>835</v>
      </c>
    </row>
    <row r="44">
      <c r="A44" s="48">
        <f>ROW()-ROW(Table_Action_Conditions[N])</f>
        <v>42</v>
      </c>
      <c r="B44" s="48" t="s">
        <v>836</v>
      </c>
      <c r="C44" s="52" t="s">
        <v>730</v>
      </c>
      <c r="D44" s="50" t="s">
        <v>731</v>
      </c>
      <c r="E44" s="50" t="s">
        <v>13</v>
      </c>
      <c r="F44" s="50" t="s">
        <v>361</v>
      </c>
      <c r="G44" s="50" t="s">
        <v>751</v>
      </c>
      <c r="H44" s="53"/>
      <c r="I44" s="53" t="s">
        <v>837</v>
      </c>
    </row>
    <row r="45">
      <c r="A45" s="48">
        <f>ROW()-ROW(Table_Action_Conditions[N])</f>
        <v>43</v>
      </c>
      <c r="B45" s="48" t="s">
        <v>838</v>
      </c>
      <c r="C45" s="52" t="s">
        <v>730</v>
      </c>
      <c r="D45" s="50" t="s">
        <v>731</v>
      </c>
      <c r="E45" s="50" t="s">
        <v>13</v>
      </c>
      <c r="F45" s="50" t="s">
        <v>361</v>
      </c>
      <c r="G45" s="50" t="s">
        <v>749</v>
      </c>
      <c r="H45" s="53"/>
      <c r="I45" s="53" t="s">
        <v>839</v>
      </c>
    </row>
    <row r="46">
      <c r="A46" s="48">
        <f>ROW()-ROW(Table_Action_Conditions[N])</f>
        <v>44</v>
      </c>
      <c r="B46" s="48" t="s">
        <v>840</v>
      </c>
      <c r="C46" s="52" t="s">
        <v>841</v>
      </c>
      <c r="D46" s="50" t="s">
        <v>731</v>
      </c>
      <c r="E46" s="50" t="s">
        <v>13</v>
      </c>
      <c r="F46" s="50" t="s">
        <v>361</v>
      </c>
      <c r="G46" s="50" t="s">
        <v>751</v>
      </c>
      <c r="H46" s="53"/>
      <c r="I46" s="53" t="s">
        <v>842</v>
      </c>
    </row>
    <row r="47">
      <c r="A47" s="48">
        <f>ROW()-ROW(Table_Action_Conditions[N])</f>
        <v>45</v>
      </c>
      <c r="B47" s="48" t="s">
        <v>843</v>
      </c>
      <c r="C47" s="52" t="s">
        <v>844</v>
      </c>
      <c r="D47" s="50" t="s">
        <v>731</v>
      </c>
      <c r="E47" s="50" t="s">
        <v>13</v>
      </c>
      <c r="F47" s="50" t="s">
        <v>361</v>
      </c>
      <c r="G47" s="50" t="s">
        <v>751</v>
      </c>
      <c r="H47" s="53"/>
      <c r="I47" s="53" t="s">
        <v>845</v>
      </c>
    </row>
    <row r="48">
      <c r="A48" s="48">
        <f>ROW()-ROW(Table_Action_Conditions[N])</f>
        <v>46</v>
      </c>
      <c r="B48" s="48" t="s">
        <v>846</v>
      </c>
      <c r="C48" s="52" t="s">
        <v>730</v>
      </c>
      <c r="D48" s="50" t="s">
        <v>731</v>
      </c>
      <c r="E48" s="50" t="s">
        <v>13</v>
      </c>
      <c r="F48" s="50" t="s">
        <v>361</v>
      </c>
      <c r="G48" s="50" t="s">
        <v>751</v>
      </c>
      <c r="H48" s="53"/>
      <c r="I48" s="53" t="s">
        <v>847</v>
      </c>
    </row>
    <row r="49">
      <c r="A49" s="48">
        <f>ROW()-ROW(Table_Action_Conditions[N])</f>
        <v>47</v>
      </c>
      <c r="B49" s="48" t="s">
        <v>848</v>
      </c>
      <c r="C49" s="52" t="s">
        <v>730</v>
      </c>
      <c r="D49" s="50" t="s">
        <v>731</v>
      </c>
      <c r="E49" s="50" t="s">
        <v>13</v>
      </c>
      <c r="F49" s="50" t="s">
        <v>361</v>
      </c>
      <c r="G49" s="50" t="s">
        <v>751</v>
      </c>
      <c r="H49" s="53"/>
      <c r="I49" s="53" t="s">
        <v>849</v>
      </c>
    </row>
    <row r="50">
      <c r="A50" s="48">
        <f>ROW()-ROW(Table_Action_Conditions[N])</f>
        <v>48</v>
      </c>
      <c r="B50" s="48" t="s">
        <v>850</v>
      </c>
      <c r="C50" s="52" t="s">
        <v>851</v>
      </c>
      <c r="D50" s="50" t="s">
        <v>731</v>
      </c>
      <c r="E50" s="50" t="s">
        <v>13</v>
      </c>
      <c r="F50" s="50" t="s">
        <v>361</v>
      </c>
      <c r="G50" s="50" t="s">
        <v>737</v>
      </c>
      <c r="H50" s="53"/>
      <c r="I50" s="53" t="s">
        <v>852</v>
      </c>
    </row>
    <row r="51">
      <c r="A51" s="48">
        <f>ROW()-ROW(Table_Action_Conditions[N])</f>
        <v>49</v>
      </c>
      <c r="B51" s="48" t="s">
        <v>853</v>
      </c>
      <c r="C51" s="52" t="s">
        <v>854</v>
      </c>
      <c r="D51" s="50" t="s">
        <v>731</v>
      </c>
      <c r="E51" s="50" t="s">
        <v>13</v>
      </c>
      <c r="F51" s="50" t="s">
        <v>361</v>
      </c>
      <c r="G51" s="50" t="s">
        <v>737</v>
      </c>
      <c r="H51" s="53"/>
      <c r="I51" s="53" t="s">
        <v>855</v>
      </c>
    </row>
    <row r="52">
      <c r="A52" s="48">
        <f>ROW()-ROW(Table_Action_Conditions[N])</f>
        <v>50</v>
      </c>
      <c r="B52" s="48" t="s">
        <v>856</v>
      </c>
      <c r="C52" s="52" t="s">
        <v>854</v>
      </c>
      <c r="D52" s="50" t="s">
        <v>731</v>
      </c>
      <c r="E52" s="50" t="s">
        <v>13</v>
      </c>
      <c r="F52" s="50" t="s">
        <v>479</v>
      </c>
      <c r="G52" s="50" t="s">
        <v>759</v>
      </c>
      <c r="H52" s="53"/>
      <c r="I52" s="53" t="s">
        <v>857</v>
      </c>
    </row>
    <row r="53">
      <c r="A53" s="48">
        <f>ROW()-ROW(Table_Action_Conditions[N])</f>
        <v>51</v>
      </c>
      <c r="B53" s="48" t="s">
        <v>858</v>
      </c>
      <c r="C53" s="52" t="s">
        <v>859</v>
      </c>
      <c r="D53" s="50" t="s">
        <v>731</v>
      </c>
      <c r="E53" s="50" t="s">
        <v>13</v>
      </c>
      <c r="F53" s="50" t="s">
        <v>432</v>
      </c>
      <c r="G53" s="50" t="s">
        <v>759</v>
      </c>
      <c r="H53" s="53"/>
      <c r="I53" s="53" t="s">
        <v>860</v>
      </c>
    </row>
    <row r="54">
      <c r="A54" s="48">
        <f>ROW()-ROW(Table_Action_Conditions[N])</f>
        <v>52</v>
      </c>
      <c r="B54" s="48" t="s">
        <v>861</v>
      </c>
      <c r="C54" s="52" t="s">
        <v>841</v>
      </c>
      <c r="D54" s="50" t="s">
        <v>731</v>
      </c>
      <c r="E54" s="50" t="s">
        <v>13</v>
      </c>
      <c r="F54" s="50" t="s">
        <v>479</v>
      </c>
      <c r="G54" s="50" t="s">
        <v>759</v>
      </c>
      <c r="H54" s="53"/>
      <c r="I54" s="53" t="s">
        <v>862</v>
      </c>
    </row>
    <row r="55">
      <c r="A55" s="48">
        <f>ROW()-ROW(Table_Action_Conditions[N])</f>
        <v>53</v>
      </c>
      <c r="B55" s="48" t="s">
        <v>863</v>
      </c>
      <c r="C55" s="52" t="s">
        <v>844</v>
      </c>
      <c r="D55" s="50" t="s">
        <v>731</v>
      </c>
      <c r="E55" s="50" t="s">
        <v>13</v>
      </c>
      <c r="F55" s="50" t="s">
        <v>479</v>
      </c>
      <c r="G55" s="50" t="s">
        <v>759</v>
      </c>
      <c r="H55" s="53"/>
      <c r="I55" s="53" t="s">
        <v>864</v>
      </c>
    </row>
    <row r="56">
      <c r="A56" s="48">
        <f>ROW()-ROW(Table_Action_Conditions[N])</f>
        <v>54</v>
      </c>
      <c r="B56" s="48" t="s">
        <v>497</v>
      </c>
      <c r="C56" s="52" t="s">
        <v>865</v>
      </c>
      <c r="D56" s="50" t="s">
        <v>731</v>
      </c>
      <c r="E56" s="50" t="s">
        <v>13</v>
      </c>
      <c r="F56" s="50" t="s">
        <v>361</v>
      </c>
      <c r="G56" s="50" t="s">
        <v>749</v>
      </c>
      <c r="H56" s="51"/>
      <c r="I56" s="51" t="s">
        <v>866</v>
      </c>
    </row>
    <row r="57">
      <c r="A57" s="48">
        <f>ROW()-ROW(Table_Action_Conditions[N])</f>
        <v>55</v>
      </c>
      <c r="B57" s="48" t="s">
        <v>499</v>
      </c>
      <c r="C57" s="52" t="s">
        <v>865</v>
      </c>
      <c r="D57" s="50" t="s">
        <v>731</v>
      </c>
      <c r="E57" s="50" t="s">
        <v>13</v>
      </c>
      <c r="F57" s="50" t="s">
        <v>361</v>
      </c>
      <c r="G57" s="50" t="s">
        <v>754</v>
      </c>
      <c r="H57" s="51"/>
      <c r="I57" s="51" t="s">
        <v>867</v>
      </c>
    </row>
    <row r="58">
      <c r="A58" s="48">
        <f>ROW()-ROW(Table_Action_Conditions[N])</f>
        <v>56</v>
      </c>
      <c r="B58" s="48" t="s">
        <v>868</v>
      </c>
      <c r="C58" s="52" t="s">
        <v>869</v>
      </c>
      <c r="D58" s="50" t="s">
        <v>731</v>
      </c>
      <c r="E58" s="50" t="s">
        <v>13</v>
      </c>
      <c r="F58" s="50" t="s">
        <v>361</v>
      </c>
      <c r="G58" s="50" t="s">
        <v>749</v>
      </c>
      <c r="H58" s="51"/>
      <c r="I58" s="51" t="s">
        <v>870</v>
      </c>
    </row>
    <row r="59">
      <c r="A59" s="48">
        <f>ROW()-ROW(Table_Action_Conditions[N])</f>
        <v>57</v>
      </c>
      <c r="B59" s="48" t="s">
        <v>871</v>
      </c>
      <c r="C59" s="52" t="s">
        <v>869</v>
      </c>
      <c r="D59" s="50" t="s">
        <v>731</v>
      </c>
      <c r="E59" s="50" t="s">
        <v>13</v>
      </c>
      <c r="F59" s="50" t="s">
        <v>479</v>
      </c>
      <c r="G59" s="50" t="s">
        <v>759</v>
      </c>
      <c r="H59" s="51"/>
      <c r="I59" s="51" t="s">
        <v>872</v>
      </c>
    </row>
    <row r="60">
      <c r="A60" s="48">
        <f>ROW()-ROW(Table_Action_Conditions[N])</f>
        <v>58</v>
      </c>
      <c r="B60" s="48" t="s">
        <v>873</v>
      </c>
      <c r="C60" s="52" t="s">
        <v>730</v>
      </c>
      <c r="D60" s="50" t="s">
        <v>731</v>
      </c>
      <c r="E60" s="50" t="s">
        <v>13</v>
      </c>
      <c r="F60" s="50" t="s">
        <v>361</v>
      </c>
      <c r="G60" s="50" t="s">
        <v>749</v>
      </c>
      <c r="H60" s="51"/>
      <c r="I60" s="51" t="s">
        <v>874</v>
      </c>
    </row>
    <row r="61">
      <c r="A61" s="48">
        <f>ROW()-ROW(Table_Action_Conditions[N])</f>
        <v>59</v>
      </c>
      <c r="B61" s="48" t="s">
        <v>875</v>
      </c>
      <c r="C61" s="52" t="s">
        <v>730</v>
      </c>
      <c r="D61" s="50" t="s">
        <v>731</v>
      </c>
      <c r="E61" s="50" t="s">
        <v>13</v>
      </c>
      <c r="F61" s="50" t="s">
        <v>361</v>
      </c>
      <c r="G61" s="50" t="s">
        <v>737</v>
      </c>
      <c r="H61" s="51"/>
      <c r="I61" s="51" t="s">
        <v>876</v>
      </c>
    </row>
    <row r="62">
      <c r="A62" s="48">
        <f>ROW()-ROW(Table_Action_Conditions[N])</f>
        <v>60</v>
      </c>
      <c r="B62" s="48" t="s">
        <v>877</v>
      </c>
      <c r="C62" s="52" t="s">
        <v>730</v>
      </c>
      <c r="D62" s="50" t="s">
        <v>731</v>
      </c>
      <c r="E62" s="50" t="s">
        <v>732</v>
      </c>
      <c r="F62" s="50" t="s">
        <v>361</v>
      </c>
      <c r="G62" s="50" t="s">
        <v>751</v>
      </c>
      <c r="H62" s="51"/>
      <c r="I62" s="51" t="s">
        <v>878</v>
      </c>
    </row>
    <row r="63">
      <c r="A63" s="48">
        <f>ROW()-ROW(Table_Action_Conditions[N])</f>
        <v>61</v>
      </c>
      <c r="B63" s="48" t="s">
        <v>879</v>
      </c>
      <c r="C63" s="52" t="s">
        <v>730</v>
      </c>
      <c r="D63" s="50" t="s">
        <v>731</v>
      </c>
      <c r="E63" s="50" t="s">
        <v>13</v>
      </c>
      <c r="F63" s="50" t="s">
        <v>361</v>
      </c>
      <c r="G63" s="50" t="s">
        <v>749</v>
      </c>
      <c r="H63" s="51"/>
      <c r="I63" s="51" t="s">
        <v>880</v>
      </c>
    </row>
    <row r="64">
      <c r="A64" s="48">
        <f>ROW()-ROW(Table_Action_Conditions[N])</f>
        <v>62</v>
      </c>
      <c r="B64" s="48" t="s">
        <v>881</v>
      </c>
      <c r="C64" s="52" t="s">
        <v>730</v>
      </c>
      <c r="D64" s="50" t="s">
        <v>731</v>
      </c>
      <c r="E64" s="50" t="s">
        <v>13</v>
      </c>
      <c r="F64" s="50" t="s">
        <v>361</v>
      </c>
      <c r="G64" s="50" t="s">
        <v>749</v>
      </c>
      <c r="H64" s="51"/>
      <c r="I64" s="51" t="s">
        <v>882</v>
      </c>
    </row>
    <row r="65">
      <c r="A65" s="48">
        <f>ROW()-ROW(Table_Action_Conditions[N])</f>
        <v>63</v>
      </c>
      <c r="B65" s="48" t="s">
        <v>883</v>
      </c>
      <c r="C65" s="52" t="s">
        <v>884</v>
      </c>
      <c r="D65" s="50" t="s">
        <v>731</v>
      </c>
      <c r="E65" s="50" t="s">
        <v>13</v>
      </c>
      <c r="F65" s="50" t="s">
        <v>361</v>
      </c>
      <c r="G65" s="50" t="s">
        <v>749</v>
      </c>
      <c r="H65" s="51"/>
      <c r="I65" s="51" t="s">
        <v>885</v>
      </c>
    </row>
    <row r="66">
      <c r="A66" s="48">
        <f>ROW()-ROW(Table_Action_Conditions[N])</f>
        <v>64</v>
      </c>
      <c r="B66" s="48" t="s">
        <v>886</v>
      </c>
      <c r="C66" s="52" t="s">
        <v>730</v>
      </c>
      <c r="D66" s="50" t="s">
        <v>731</v>
      </c>
      <c r="E66" s="50" t="s">
        <v>13</v>
      </c>
      <c r="F66" s="50" t="s">
        <v>361</v>
      </c>
      <c r="G66" s="50" t="s">
        <v>751</v>
      </c>
      <c r="H66" s="51"/>
      <c r="I66" s="51" t="s">
        <v>887</v>
      </c>
    </row>
    <row r="67">
      <c r="A67" s="48">
        <f>ROW()-ROW(Table_Action_Conditions[N])</f>
        <v>65</v>
      </c>
      <c r="B67" s="48" t="s">
        <v>888</v>
      </c>
      <c r="C67" s="52" t="s">
        <v>889</v>
      </c>
      <c r="D67" s="50" t="s">
        <v>731</v>
      </c>
      <c r="E67" s="50" t="s">
        <v>13</v>
      </c>
      <c r="F67" s="50" t="s">
        <v>361</v>
      </c>
      <c r="G67" s="50" t="s">
        <v>737</v>
      </c>
      <c r="H67" s="51"/>
      <c r="I67" s="51" t="s">
        <v>890</v>
      </c>
    </row>
    <row r="68">
      <c r="A68" s="48">
        <f>ROW()-ROW(Table_Action_Conditions[N])</f>
        <v>66</v>
      </c>
      <c r="B68" s="48" t="s">
        <v>891</v>
      </c>
      <c r="C68" s="52" t="s">
        <v>869</v>
      </c>
      <c r="D68" s="50" t="s">
        <v>731</v>
      </c>
      <c r="E68" s="50" t="s">
        <v>13</v>
      </c>
      <c r="F68" s="50" t="s">
        <v>529</v>
      </c>
      <c r="G68" s="50" t="s">
        <v>759</v>
      </c>
      <c r="H68" s="51"/>
      <c r="I68" s="51" t="s">
        <v>892</v>
      </c>
    </row>
    <row r="69">
      <c r="A69" s="48">
        <f>ROW()-ROW(Table_Action_Conditions[N])</f>
        <v>67</v>
      </c>
      <c r="B69" s="48" t="s">
        <v>893</v>
      </c>
      <c r="C69" s="52" t="s">
        <v>894</v>
      </c>
      <c r="D69" s="50" t="s">
        <v>731</v>
      </c>
      <c r="E69" s="50" t="s">
        <v>13</v>
      </c>
      <c r="F69" s="50" t="s">
        <v>361</v>
      </c>
      <c r="G69" s="50" t="s">
        <v>749</v>
      </c>
      <c r="H69" s="51"/>
      <c r="I69" s="51" t="s">
        <v>895</v>
      </c>
    </row>
    <row r="70">
      <c r="A70" s="48">
        <f>ROW()-ROW(Table_Action_Conditions[N])</f>
        <v>68</v>
      </c>
      <c r="B70" s="48" t="s">
        <v>896</v>
      </c>
      <c r="C70" s="52" t="s">
        <v>730</v>
      </c>
      <c r="D70" s="50" t="s">
        <v>731</v>
      </c>
      <c r="E70" s="50" t="s">
        <v>13</v>
      </c>
      <c r="F70" s="50" t="s">
        <v>361</v>
      </c>
      <c r="G70" s="50" t="s">
        <v>751</v>
      </c>
      <c r="H70" s="51"/>
      <c r="I70" s="51" t="s">
        <v>897</v>
      </c>
    </row>
    <row r="71">
      <c r="A71" s="48">
        <f>ROW()-ROW(Table_Action_Conditions[N])</f>
        <v>69</v>
      </c>
      <c r="B71" s="48" t="s">
        <v>898</v>
      </c>
      <c r="C71" s="52" t="s">
        <v>899</v>
      </c>
      <c r="D71" s="50" t="s">
        <v>731</v>
      </c>
      <c r="E71" s="50" t="s">
        <v>13</v>
      </c>
      <c r="F71" s="50" t="s">
        <v>361</v>
      </c>
      <c r="G71" s="50" t="s">
        <v>737</v>
      </c>
      <c r="H71" s="51"/>
      <c r="I71" s="51" t="s">
        <v>900</v>
      </c>
    </row>
    <row r="72">
      <c r="A72" s="48">
        <f>ROW()-ROW(Table_Action_Conditions[N])</f>
        <v>70</v>
      </c>
      <c r="B72" s="48" t="s">
        <v>901</v>
      </c>
      <c r="C72" s="52" t="s">
        <v>730</v>
      </c>
      <c r="D72" s="50" t="s">
        <v>731</v>
      </c>
      <c r="E72" s="50" t="s">
        <v>13</v>
      </c>
      <c r="F72" s="50" t="s">
        <v>361</v>
      </c>
      <c r="G72" s="50" t="s">
        <v>737</v>
      </c>
      <c r="H72" s="51"/>
      <c r="I72" s="51" t="s">
        <v>902</v>
      </c>
    </row>
    <row r="73">
      <c r="A73" s="48">
        <f>ROW()-ROW(Table_Action_Conditions[N])</f>
        <v>71</v>
      </c>
      <c r="B73" s="48" t="s">
        <v>903</v>
      </c>
      <c r="C73" s="52" t="s">
        <v>730</v>
      </c>
      <c r="D73" s="50" t="s">
        <v>731</v>
      </c>
      <c r="E73" s="50" t="s">
        <v>13</v>
      </c>
      <c r="F73" s="50" t="s">
        <v>361</v>
      </c>
      <c r="G73" s="50" t="s">
        <v>751</v>
      </c>
      <c r="H73" s="51"/>
      <c r="I73" s="51" t="s">
        <v>904</v>
      </c>
    </row>
    <row r="74">
      <c r="A74" s="48">
        <f>ROW()-ROW(Table_Action_Conditions[N])</f>
        <v>72</v>
      </c>
      <c r="B74" s="48" t="s">
        <v>905</v>
      </c>
      <c r="C74" s="52" t="s">
        <v>906</v>
      </c>
      <c r="D74" s="50" t="s">
        <v>731</v>
      </c>
      <c r="E74" s="50" t="s">
        <v>13</v>
      </c>
      <c r="F74" s="50" t="s">
        <v>361</v>
      </c>
      <c r="G74" s="50" t="s">
        <v>737</v>
      </c>
      <c r="H74" s="51"/>
      <c r="I74" s="51" t="s">
        <v>907</v>
      </c>
    </row>
    <row r="75">
      <c r="A75" s="48">
        <f>ROW()-ROW(Table_Action_Conditions[N])</f>
        <v>73</v>
      </c>
      <c r="B75" s="54" t="s">
        <v>908</v>
      </c>
      <c r="C75" s="51" t="s">
        <v>909</v>
      </c>
      <c r="D75" s="55" t="s">
        <v>731</v>
      </c>
      <c r="E75" s="55" t="s">
        <v>13</v>
      </c>
      <c r="F75" s="55" t="s">
        <v>361</v>
      </c>
      <c r="G75" s="55" t="s">
        <v>737</v>
      </c>
      <c r="H75" s="51"/>
      <c r="I75" s="51" t="s">
        <v>910</v>
      </c>
    </row>
    <row r="76">
      <c r="A76" s="48">
        <f>ROW()-ROW(Table_Action_Conditions[N])</f>
        <v>74</v>
      </c>
      <c r="B76" s="48" t="s">
        <v>911</v>
      </c>
      <c r="C76" s="51" t="s">
        <v>912</v>
      </c>
      <c r="D76" s="55" t="s">
        <v>731</v>
      </c>
      <c r="E76" s="55" t="s">
        <v>13</v>
      </c>
      <c r="F76" s="55" t="s">
        <v>361</v>
      </c>
      <c r="G76" s="55" t="s">
        <v>737</v>
      </c>
      <c r="H76" s="51"/>
      <c r="I76" s="51" t="s">
        <v>913</v>
      </c>
    </row>
    <row r="77">
      <c r="A77" s="48">
        <f>ROW()-ROW(Table_Action_Conditions[N])</f>
        <v>75</v>
      </c>
      <c r="B77" s="48" t="s">
        <v>914</v>
      </c>
      <c r="C77" s="52" t="s">
        <v>915</v>
      </c>
      <c r="D77" s="50" t="s">
        <v>731</v>
      </c>
      <c r="E77" s="50" t="s">
        <v>13</v>
      </c>
      <c r="F77" s="50" t="s">
        <v>361</v>
      </c>
      <c r="G77" s="50" t="s">
        <v>749</v>
      </c>
      <c r="H77" s="51"/>
      <c r="I77" s="51" t="s">
        <v>916</v>
      </c>
    </row>
    <row r="78">
      <c r="A78" s="48">
        <f>ROW()-ROW(Table_Action_Conditions[N])</f>
        <v>76</v>
      </c>
      <c r="B78" s="48" t="s">
        <v>917</v>
      </c>
      <c r="C78" s="52" t="s">
        <v>915</v>
      </c>
      <c r="D78" s="50" t="s">
        <v>731</v>
      </c>
      <c r="E78" s="50" t="s">
        <v>13</v>
      </c>
      <c r="F78" s="50" t="s">
        <v>361</v>
      </c>
      <c r="G78" s="50" t="s">
        <v>749</v>
      </c>
      <c r="H78" s="51"/>
      <c r="I78" s="51" t="s">
        <v>918</v>
      </c>
    </row>
    <row r="79">
      <c r="A79" s="48">
        <f>ROW()-ROW(Table_Action_Conditions[N])</f>
        <v>77</v>
      </c>
      <c r="B79" s="48" t="s">
        <v>545</v>
      </c>
      <c r="C79" s="52" t="s">
        <v>730</v>
      </c>
      <c r="D79" s="50" t="s">
        <v>731</v>
      </c>
      <c r="E79" s="50" t="s">
        <v>13</v>
      </c>
      <c r="F79" s="50" t="s">
        <v>361</v>
      </c>
      <c r="G79" s="50" t="s">
        <v>751</v>
      </c>
      <c r="H79" s="51"/>
      <c r="I79" s="51" t="s">
        <v>919</v>
      </c>
    </row>
    <row r="80">
      <c r="A80" s="48">
        <f>ROW()-ROW(Table_Action_Conditions[N])</f>
        <v>78</v>
      </c>
      <c r="B80" s="48" t="s">
        <v>920</v>
      </c>
      <c r="C80" s="52" t="s">
        <v>921</v>
      </c>
      <c r="D80" s="50" t="s">
        <v>731</v>
      </c>
      <c r="E80" s="50" t="s">
        <v>13</v>
      </c>
      <c r="F80" s="50" t="s">
        <v>361</v>
      </c>
      <c r="G80" s="50" t="s">
        <v>749</v>
      </c>
      <c r="H80" s="51"/>
      <c r="I80" s="51" t="s">
        <v>922</v>
      </c>
    </row>
    <row r="81">
      <c r="A81" s="48">
        <f>ROW()-ROW(Table_Action_Conditions[N])</f>
        <v>79</v>
      </c>
      <c r="B81" s="48" t="s">
        <v>923</v>
      </c>
      <c r="C81" s="52" t="s">
        <v>921</v>
      </c>
      <c r="D81" s="50" t="s">
        <v>731</v>
      </c>
      <c r="E81" s="50" t="s">
        <v>13</v>
      </c>
      <c r="F81" s="50" t="s">
        <v>542</v>
      </c>
      <c r="G81" s="50" t="s">
        <v>759</v>
      </c>
      <c r="H81" s="51"/>
      <c r="I81" s="51" t="s">
        <v>924</v>
      </c>
    </row>
    <row r="82">
      <c r="A82" s="48">
        <f>ROW()-ROW(Table_Action_Conditions[N])</f>
        <v>80</v>
      </c>
      <c r="B82" s="48" t="s">
        <v>925</v>
      </c>
      <c r="C82" s="52" t="s">
        <v>730</v>
      </c>
      <c r="D82" s="50" t="s">
        <v>731</v>
      </c>
      <c r="E82" s="50" t="s">
        <v>13</v>
      </c>
      <c r="F82" s="50" t="s">
        <v>361</v>
      </c>
      <c r="G82" s="50" t="s">
        <v>751</v>
      </c>
      <c r="H82" s="51"/>
      <c r="I82" s="51" t="s">
        <v>926</v>
      </c>
    </row>
    <row r="83">
      <c r="A83" s="48">
        <f>ROW()-ROW(Table_Action_Conditions[N])</f>
        <v>81</v>
      </c>
      <c r="B83" s="48" t="s">
        <v>552</v>
      </c>
      <c r="C83" s="52" t="s">
        <v>730</v>
      </c>
      <c r="D83" s="50" t="s">
        <v>731</v>
      </c>
      <c r="E83" s="50" t="s">
        <v>13</v>
      </c>
      <c r="F83" s="50" t="s">
        <v>361</v>
      </c>
      <c r="G83" s="50" t="s">
        <v>751</v>
      </c>
      <c r="H83" s="51"/>
      <c r="I83" s="51" t="s">
        <v>927</v>
      </c>
    </row>
    <row r="84">
      <c r="A84" s="48">
        <f>ROW()-ROW(Table_Action_Conditions[N])</f>
        <v>82</v>
      </c>
      <c r="B84" s="48" t="s">
        <v>928</v>
      </c>
      <c r="C84" s="52" t="s">
        <v>730</v>
      </c>
      <c r="D84" s="50" t="s">
        <v>731</v>
      </c>
      <c r="E84" s="50" t="s">
        <v>13</v>
      </c>
      <c r="F84" s="50" t="s">
        <v>549</v>
      </c>
      <c r="G84" s="50" t="s">
        <v>759</v>
      </c>
      <c r="H84" s="51"/>
      <c r="I84" s="51" t="s">
        <v>929</v>
      </c>
    </row>
    <row r="85">
      <c r="A85" s="48">
        <f>ROW()-ROW(Table_Action_Conditions[N])</f>
        <v>83</v>
      </c>
      <c r="B85" s="48" t="s">
        <v>930</v>
      </c>
      <c r="C85" s="52" t="s">
        <v>730</v>
      </c>
      <c r="D85" s="50" t="s">
        <v>731</v>
      </c>
      <c r="E85" s="50" t="s">
        <v>13</v>
      </c>
      <c r="F85" s="50" t="s">
        <v>361</v>
      </c>
      <c r="G85" s="50" t="s">
        <v>749</v>
      </c>
      <c r="H85" s="51"/>
      <c r="I85" s="51" t="s">
        <v>931</v>
      </c>
    </row>
    <row r="86">
      <c r="A86" s="48">
        <f>ROW()-ROW(Table_Action_Conditions[N])</f>
        <v>84</v>
      </c>
      <c r="B86" s="48" t="s">
        <v>932</v>
      </c>
      <c r="C86" s="52" t="s">
        <v>933</v>
      </c>
      <c r="D86" s="50" t="s">
        <v>731</v>
      </c>
      <c r="E86" s="50" t="s">
        <v>13</v>
      </c>
      <c r="F86" s="50" t="s">
        <v>361</v>
      </c>
      <c r="G86" s="50" t="s">
        <v>737</v>
      </c>
      <c r="H86" s="51"/>
      <c r="I86" s="51" t="s">
        <v>934</v>
      </c>
    </row>
    <row r="87">
      <c r="A87" s="48">
        <f>ROW()-ROW(Table_Action_Conditions[N])</f>
        <v>85</v>
      </c>
      <c r="B87" s="48" t="s">
        <v>935</v>
      </c>
      <c r="C87" s="52" t="s">
        <v>730</v>
      </c>
      <c r="D87" s="50" t="s">
        <v>731</v>
      </c>
      <c r="E87" s="50" t="s">
        <v>936</v>
      </c>
      <c r="F87" s="50" t="s">
        <v>361</v>
      </c>
      <c r="G87" s="50" t="s">
        <v>751</v>
      </c>
      <c r="H87" s="51"/>
      <c r="I87" s="51" t="s">
        <v>937</v>
      </c>
    </row>
    <row r="88">
      <c r="A88" s="48">
        <f>ROW()-ROW(Table_Action_Conditions[N])</f>
        <v>86</v>
      </c>
      <c r="B88" s="48" t="s">
        <v>938</v>
      </c>
      <c r="C88" s="52" t="s">
        <v>939</v>
      </c>
      <c r="D88" s="50" t="s">
        <v>731</v>
      </c>
      <c r="E88" s="50" t="s">
        <v>936</v>
      </c>
      <c r="F88" s="50" t="s">
        <v>361</v>
      </c>
      <c r="G88" s="50" t="s">
        <v>737</v>
      </c>
      <c r="H88" s="51"/>
      <c r="I88" s="51" t="s">
        <v>940</v>
      </c>
    </row>
    <row r="89">
      <c r="A89" s="48">
        <f>ROW()-ROW(Table_Action_Conditions[N])</f>
        <v>87</v>
      </c>
      <c r="B89" s="48" t="s">
        <v>941</v>
      </c>
      <c r="C89" s="52" t="s">
        <v>942</v>
      </c>
      <c r="D89" s="50" t="s">
        <v>731</v>
      </c>
      <c r="E89" s="50" t="s">
        <v>936</v>
      </c>
      <c r="F89" s="50" t="s">
        <v>361</v>
      </c>
      <c r="G89" s="50" t="s">
        <v>737</v>
      </c>
      <c r="H89" s="51"/>
      <c r="I89" s="51" t="s">
        <v>943</v>
      </c>
    </row>
    <row r="90">
      <c r="A90" s="48">
        <f>ROW()-ROW(Table_Action_Conditions[N])</f>
        <v>88</v>
      </c>
      <c r="B90" s="48" t="s">
        <v>569</v>
      </c>
      <c r="C90" s="52" t="s">
        <v>730</v>
      </c>
      <c r="D90" s="50" t="s">
        <v>731</v>
      </c>
      <c r="E90" s="50" t="s">
        <v>936</v>
      </c>
      <c r="F90" s="50" t="s">
        <v>361</v>
      </c>
      <c r="G90" s="50" t="s">
        <v>733</v>
      </c>
      <c r="H90" s="51"/>
      <c r="I90" s="51" t="s">
        <v>944</v>
      </c>
    </row>
    <row r="91">
      <c r="A91" s="48">
        <f>ROW()-ROW(Table_Action_Conditions[N])</f>
        <v>89</v>
      </c>
      <c r="B91" s="48" t="s">
        <v>572</v>
      </c>
      <c r="C91" s="52" t="s">
        <v>730</v>
      </c>
      <c r="D91" s="50" t="s">
        <v>731</v>
      </c>
      <c r="E91" s="50" t="s">
        <v>936</v>
      </c>
      <c r="F91" s="50" t="s">
        <v>361</v>
      </c>
      <c r="G91" s="50" t="s">
        <v>733</v>
      </c>
      <c r="H91" s="51"/>
      <c r="I91" s="51" t="s">
        <v>945</v>
      </c>
    </row>
    <row r="92">
      <c r="A92" s="48">
        <f>ROW()-ROW(Table_Action_Conditions[N])</f>
        <v>90</v>
      </c>
      <c r="B92" s="48" t="s">
        <v>946</v>
      </c>
      <c r="C92" s="52" t="s">
        <v>730</v>
      </c>
      <c r="D92" s="50" t="s">
        <v>731</v>
      </c>
      <c r="E92" s="50" t="s">
        <v>936</v>
      </c>
      <c r="F92" s="50" t="s">
        <v>361</v>
      </c>
      <c r="G92" s="50" t="s">
        <v>751</v>
      </c>
      <c r="H92" s="51"/>
      <c r="I92" s="51" t="s">
        <v>947</v>
      </c>
    </row>
    <row r="93">
      <c r="A93" s="48">
        <f>ROW()-ROW(Table_Action_Conditions[N])</f>
        <v>91</v>
      </c>
      <c r="B93" s="48" t="s">
        <v>948</v>
      </c>
      <c r="C93" s="52" t="s">
        <v>730</v>
      </c>
      <c r="D93" s="50" t="s">
        <v>731</v>
      </c>
      <c r="E93" s="50" t="s">
        <v>936</v>
      </c>
      <c r="F93" s="50" t="s">
        <v>361</v>
      </c>
      <c r="G93" s="50" t="s">
        <v>751</v>
      </c>
      <c r="H93" s="51"/>
      <c r="I93" s="51" t="s">
        <v>949</v>
      </c>
    </row>
    <row r="94">
      <c r="A94" s="48">
        <f>ROW()-ROW(Table_Action_Conditions[N])</f>
        <v>92</v>
      </c>
      <c r="B94" s="48" t="s">
        <v>950</v>
      </c>
      <c r="C94" s="52" t="s">
        <v>951</v>
      </c>
      <c r="D94" s="50" t="s">
        <v>731</v>
      </c>
      <c r="E94" s="50" t="s">
        <v>936</v>
      </c>
      <c r="F94" s="50" t="s">
        <v>361</v>
      </c>
      <c r="G94" s="50" t="s">
        <v>749</v>
      </c>
      <c r="H94" s="51"/>
      <c r="I94" s="51" t="s">
        <v>952</v>
      </c>
    </row>
    <row r="95">
      <c r="A95" s="48">
        <f>ROW()-ROW(Table_Action_Conditions[N])</f>
        <v>93</v>
      </c>
      <c r="B95" s="48" t="s">
        <v>953</v>
      </c>
      <c r="C95" s="52" t="s">
        <v>730</v>
      </c>
      <c r="D95" s="50" t="s">
        <v>731</v>
      </c>
      <c r="E95" s="50" t="s">
        <v>936</v>
      </c>
      <c r="F95" s="50" t="s">
        <v>361</v>
      </c>
      <c r="G95" s="50" t="s">
        <v>749</v>
      </c>
      <c r="H95" s="51"/>
      <c r="I95" s="51" t="s">
        <v>954</v>
      </c>
    </row>
    <row r="96">
      <c r="A96" s="48">
        <f>ROW()-ROW(Table_Action_Conditions[N])</f>
        <v>94</v>
      </c>
      <c r="B96" s="48" t="s">
        <v>586</v>
      </c>
      <c r="C96" s="52" t="s">
        <v>951</v>
      </c>
      <c r="D96" s="50" t="s">
        <v>731</v>
      </c>
      <c r="E96" s="50" t="s">
        <v>936</v>
      </c>
      <c r="F96" s="50" t="s">
        <v>361</v>
      </c>
      <c r="G96" s="50" t="s">
        <v>754</v>
      </c>
      <c r="H96" s="51"/>
      <c r="I96" s="51" t="s">
        <v>955</v>
      </c>
    </row>
    <row r="97">
      <c r="A97" s="48">
        <f>ROW()-ROW(Table_Action_Conditions[N])</f>
        <v>95</v>
      </c>
      <c r="B97" s="48" t="s">
        <v>956</v>
      </c>
      <c r="C97" s="52" t="s">
        <v>730</v>
      </c>
      <c r="D97" s="50" t="s">
        <v>731</v>
      </c>
      <c r="E97" s="50" t="s">
        <v>936</v>
      </c>
      <c r="F97" s="50" t="s">
        <v>361</v>
      </c>
      <c r="G97" s="50" t="s">
        <v>749</v>
      </c>
      <c r="H97" s="51"/>
      <c r="I97" s="51" t="s">
        <v>957</v>
      </c>
    </row>
    <row r="98">
      <c r="A98" s="48">
        <f>ROW()-ROW(Table_Action_Conditions[N])</f>
        <v>96</v>
      </c>
      <c r="B98" s="48" t="s">
        <v>958</v>
      </c>
      <c r="C98" s="52" t="s">
        <v>730</v>
      </c>
      <c r="D98" s="50" t="s">
        <v>731</v>
      </c>
      <c r="E98" s="50" t="s">
        <v>936</v>
      </c>
      <c r="F98" s="50" t="s">
        <v>361</v>
      </c>
      <c r="G98" s="50" t="s">
        <v>751</v>
      </c>
      <c r="H98" s="51"/>
      <c r="I98" s="51" t="s">
        <v>959</v>
      </c>
    </row>
    <row r="99">
      <c r="A99" s="48">
        <f>ROW()-ROW(Table_Action_Conditions[N])</f>
        <v>97</v>
      </c>
      <c r="B99" s="48" t="s">
        <v>960</v>
      </c>
      <c r="C99" s="52" t="s">
        <v>730</v>
      </c>
      <c r="D99" s="50" t="s">
        <v>731</v>
      </c>
      <c r="E99" s="50" t="s">
        <v>936</v>
      </c>
      <c r="F99" s="50" t="s">
        <v>361</v>
      </c>
      <c r="G99" s="50" t="s">
        <v>751</v>
      </c>
      <c r="H99" s="51"/>
      <c r="I99" s="51" t="s">
        <v>961</v>
      </c>
    </row>
    <row r="100">
      <c r="A100" s="48">
        <f>ROW()-ROW(Table_Action_Conditions[N])</f>
        <v>98</v>
      </c>
      <c r="B100" s="48" t="s">
        <v>962</v>
      </c>
      <c r="C100" s="52" t="s">
        <v>730</v>
      </c>
      <c r="D100" s="50" t="s">
        <v>731</v>
      </c>
      <c r="E100" s="50" t="s">
        <v>936</v>
      </c>
      <c r="F100" s="50" t="s">
        <v>361</v>
      </c>
      <c r="G100" s="50" t="s">
        <v>737</v>
      </c>
      <c r="H100" s="51"/>
      <c r="I100" s="51" t="s">
        <v>963</v>
      </c>
    </row>
    <row r="101">
      <c r="A101" s="48">
        <f>ROW()-ROW(Table_Action_Conditions[N])</f>
        <v>99</v>
      </c>
      <c r="B101" s="48" t="s">
        <v>964</v>
      </c>
      <c r="C101" s="52" t="s">
        <v>730</v>
      </c>
      <c r="D101" s="50" t="s">
        <v>731</v>
      </c>
      <c r="E101" s="50" t="s">
        <v>936</v>
      </c>
      <c r="F101" s="50" t="s">
        <v>588</v>
      </c>
      <c r="G101" s="50" t="s">
        <v>759</v>
      </c>
      <c r="H101" s="51"/>
      <c r="I101" s="51" t="s">
        <v>965</v>
      </c>
    </row>
    <row r="102">
      <c r="A102" s="48">
        <f>ROW()-ROW(Table_Action_Conditions[N])</f>
        <v>100</v>
      </c>
      <c r="B102" s="48" t="s">
        <v>966</v>
      </c>
      <c r="C102" s="52" t="s">
        <v>730</v>
      </c>
      <c r="D102" s="50" t="s">
        <v>731</v>
      </c>
      <c r="E102" s="50" t="s">
        <v>13</v>
      </c>
      <c r="F102" s="50" t="s">
        <v>408</v>
      </c>
      <c r="G102" s="50" t="s">
        <v>759</v>
      </c>
      <c r="H102" s="51"/>
      <c r="I102" s="51" t="s">
        <v>967</v>
      </c>
    </row>
    <row r="103">
      <c r="A103" s="48">
        <f>ROW()-ROW(Table_Action_Conditions[N])</f>
        <v>101</v>
      </c>
      <c r="B103" s="48" t="s">
        <v>602</v>
      </c>
      <c r="C103" s="52" t="s">
        <v>730</v>
      </c>
      <c r="D103" s="50" t="s">
        <v>731</v>
      </c>
      <c r="E103" s="50" t="s">
        <v>13</v>
      </c>
      <c r="F103" s="50" t="s">
        <v>361</v>
      </c>
      <c r="G103" s="50" t="s">
        <v>751</v>
      </c>
      <c r="H103" s="51"/>
      <c r="I103" s="51" t="s">
        <v>968</v>
      </c>
    </row>
    <row r="104">
      <c r="A104" s="48">
        <f>ROW()-ROW(Table_Action_Conditions[N])</f>
        <v>102</v>
      </c>
      <c r="B104" s="48" t="s">
        <v>969</v>
      </c>
      <c r="C104" s="52" t="s">
        <v>730</v>
      </c>
      <c r="D104" s="50" t="s">
        <v>731</v>
      </c>
      <c r="E104" s="50" t="s">
        <v>13</v>
      </c>
      <c r="F104" s="50" t="s">
        <v>361</v>
      </c>
      <c r="G104" s="50" t="s">
        <v>751</v>
      </c>
      <c r="H104" s="51"/>
      <c r="I104" s="51" t="s">
        <v>970</v>
      </c>
    </row>
    <row r="105">
      <c r="A105" s="48">
        <f>ROW()-ROW(Table_Action_Conditions[N])</f>
        <v>103</v>
      </c>
      <c r="B105" s="48" t="s">
        <v>971</v>
      </c>
      <c r="C105" s="52" t="s">
        <v>730</v>
      </c>
      <c r="D105" s="50" t="s">
        <v>731</v>
      </c>
      <c r="E105" s="50" t="s">
        <v>13</v>
      </c>
      <c r="F105" s="50" t="s">
        <v>361</v>
      </c>
      <c r="G105" s="50" t="s">
        <v>751</v>
      </c>
      <c r="H105" s="51"/>
      <c r="I105" s="51" t="s">
        <v>972</v>
      </c>
    </row>
    <row r="106">
      <c r="A106" s="48">
        <f>ROW()-ROW(Table_Action_Conditions[N])</f>
        <v>104</v>
      </c>
      <c r="B106" s="48" t="s">
        <v>973</v>
      </c>
      <c r="C106" s="52" t="s">
        <v>974</v>
      </c>
      <c r="D106" s="50" t="s">
        <v>731</v>
      </c>
      <c r="E106" s="50" t="s">
        <v>13</v>
      </c>
      <c r="F106" s="50" t="s">
        <v>361</v>
      </c>
      <c r="G106" s="50" t="s">
        <v>737</v>
      </c>
      <c r="H106" s="51"/>
      <c r="I106" s="51" t="s">
        <v>975</v>
      </c>
    </row>
    <row r="107">
      <c r="A107" s="48">
        <f>ROW()-ROW(Table_Action_Conditions[N])</f>
        <v>105</v>
      </c>
      <c r="B107" s="48" t="s">
        <v>976</v>
      </c>
      <c r="C107" s="52" t="s">
        <v>977</v>
      </c>
      <c r="D107" s="50" t="s">
        <v>731</v>
      </c>
      <c r="E107" s="50" t="s">
        <v>13</v>
      </c>
      <c r="F107" s="50" t="s">
        <v>361</v>
      </c>
      <c r="G107" s="50" t="s">
        <v>737</v>
      </c>
      <c r="H107" s="51"/>
      <c r="I107" s="51" t="s">
        <v>978</v>
      </c>
    </row>
    <row r="108">
      <c r="A108" s="48">
        <f>ROW()-ROW(Table_Action_Conditions[N])</f>
        <v>106</v>
      </c>
      <c r="B108" s="48" t="s">
        <v>979</v>
      </c>
      <c r="C108" s="52" t="s">
        <v>730</v>
      </c>
      <c r="D108" s="50" t="s">
        <v>731</v>
      </c>
      <c r="E108" s="50" t="s">
        <v>13</v>
      </c>
      <c r="F108" s="50" t="s">
        <v>361</v>
      </c>
      <c r="G108" s="50" t="s">
        <v>751</v>
      </c>
      <c r="H108" s="51"/>
      <c r="I108" s="51" t="s">
        <v>980</v>
      </c>
    </row>
    <row r="109">
      <c r="A109" s="48">
        <f>ROW()-ROW(Table_Action_Conditions[N])</f>
        <v>107</v>
      </c>
      <c r="B109" s="48" t="s">
        <v>981</v>
      </c>
      <c r="C109" s="52" t="s">
        <v>982</v>
      </c>
      <c r="D109" s="50" t="s">
        <v>731</v>
      </c>
      <c r="E109" s="50" t="s">
        <v>13</v>
      </c>
      <c r="F109" s="50" t="s">
        <v>361</v>
      </c>
      <c r="G109" s="50" t="s">
        <v>737</v>
      </c>
      <c r="H109" s="51"/>
      <c r="I109" s="51" t="s">
        <v>983</v>
      </c>
    </row>
    <row r="110">
      <c r="A110" s="48">
        <f>ROW()-ROW(Table_Action_Conditions[N])</f>
        <v>108</v>
      </c>
      <c r="B110" s="48" t="s">
        <v>984</v>
      </c>
      <c r="C110" s="52" t="s">
        <v>982</v>
      </c>
      <c r="D110" s="50" t="s">
        <v>777</v>
      </c>
      <c r="E110" s="50" t="s">
        <v>13</v>
      </c>
      <c r="F110" s="50" t="s">
        <v>603</v>
      </c>
      <c r="G110" s="50" t="s">
        <v>759</v>
      </c>
      <c r="H110" s="51"/>
      <c r="I110" s="51" t="s">
        <v>985</v>
      </c>
    </row>
    <row r="111">
      <c r="A111" s="48">
        <f>ROW()-ROW(Table_Action_Conditions[N])</f>
        <v>109</v>
      </c>
      <c r="B111" s="48" t="s">
        <v>986</v>
      </c>
      <c r="C111" s="52" t="s">
        <v>730</v>
      </c>
      <c r="D111" s="50" t="s">
        <v>731</v>
      </c>
      <c r="E111" s="50" t="s">
        <v>13</v>
      </c>
      <c r="F111" s="50" t="s">
        <v>361</v>
      </c>
      <c r="G111" s="50" t="s">
        <v>751</v>
      </c>
      <c r="H111" s="51"/>
      <c r="I111" s="51" t="s">
        <v>987</v>
      </c>
    </row>
    <row r="112">
      <c r="A112" s="48">
        <f>ROW()-ROW(Table_Action_Conditions[N])</f>
        <v>110</v>
      </c>
      <c r="B112" s="48" t="s">
        <v>626</v>
      </c>
      <c r="C112" s="52" t="s">
        <v>730</v>
      </c>
      <c r="D112" s="50" t="s">
        <v>731</v>
      </c>
      <c r="E112" s="50" t="s">
        <v>13</v>
      </c>
      <c r="F112" s="50" t="s">
        <v>361</v>
      </c>
      <c r="G112" s="50" t="s">
        <v>751</v>
      </c>
      <c r="H112" s="51"/>
      <c r="I112" s="51" t="s">
        <v>988</v>
      </c>
    </row>
    <row r="113">
      <c r="A113" s="48">
        <f>ROW()-ROW(Table_Action_Conditions[N])</f>
        <v>111</v>
      </c>
      <c r="B113" s="48" t="s">
        <v>989</v>
      </c>
      <c r="C113" s="52" t="s">
        <v>730</v>
      </c>
      <c r="D113" s="50" t="s">
        <v>731</v>
      </c>
      <c r="E113" s="50" t="s">
        <v>13</v>
      </c>
      <c r="F113" s="50" t="s">
        <v>361</v>
      </c>
      <c r="G113" s="50" t="s">
        <v>751</v>
      </c>
      <c r="H113" s="51"/>
      <c r="I113" s="51" t="s">
        <v>990</v>
      </c>
    </row>
    <row r="114">
      <c r="A114" s="48">
        <f>ROW()-ROW(Table_Action_Conditions[N])</f>
        <v>112</v>
      </c>
      <c r="B114" s="48" t="s">
        <v>635</v>
      </c>
      <c r="C114" s="52" t="s">
        <v>730</v>
      </c>
      <c r="D114" s="50" t="s">
        <v>731</v>
      </c>
      <c r="E114" s="50" t="s">
        <v>13</v>
      </c>
      <c r="F114" s="50" t="s">
        <v>361</v>
      </c>
      <c r="G114" s="50" t="s">
        <v>751</v>
      </c>
      <c r="H114" s="51"/>
      <c r="I114" s="51" t="s">
        <v>991</v>
      </c>
    </row>
    <row r="115">
      <c r="A115" s="48">
        <f>ROW()-ROW(Table_Action_Conditions[N])</f>
        <v>113</v>
      </c>
      <c r="B115" s="48" t="s">
        <v>992</v>
      </c>
      <c r="C115" s="52" t="s">
        <v>730</v>
      </c>
      <c r="D115" s="50" t="s">
        <v>731</v>
      </c>
      <c r="E115" s="50" t="s">
        <v>13</v>
      </c>
      <c r="F115" s="50" t="s">
        <v>361</v>
      </c>
      <c r="G115" s="50" t="s">
        <v>751</v>
      </c>
      <c r="H115" s="51"/>
      <c r="I115" s="51" t="s">
        <v>993</v>
      </c>
    </row>
    <row r="116">
      <c r="A116" s="48">
        <f>ROW()-ROW(Table_Action_Conditions[N])</f>
        <v>114</v>
      </c>
      <c r="B116" s="48" t="s">
        <v>994</v>
      </c>
      <c r="C116" s="52" t="s">
        <v>995</v>
      </c>
      <c r="D116" s="50" t="s">
        <v>731</v>
      </c>
      <c r="E116" s="50" t="s">
        <v>13</v>
      </c>
      <c r="F116" s="50" t="s">
        <v>361</v>
      </c>
      <c r="G116" s="50" t="s">
        <v>751</v>
      </c>
      <c r="H116" s="51"/>
      <c r="I116" s="51" t="s">
        <v>996</v>
      </c>
    </row>
    <row r="117">
      <c r="A117" s="48">
        <f>ROW()-ROW(Table_Action_Conditions[N])</f>
        <v>115</v>
      </c>
      <c r="B117" s="48" t="s">
        <v>997</v>
      </c>
      <c r="C117" s="52" t="s">
        <v>730</v>
      </c>
      <c r="D117" s="50" t="s">
        <v>731</v>
      </c>
      <c r="E117" s="50" t="s">
        <v>13</v>
      </c>
      <c r="F117" s="50" t="s">
        <v>608</v>
      </c>
      <c r="G117" s="50" t="s">
        <v>759</v>
      </c>
      <c r="H117" s="51"/>
      <c r="I117" s="51" t="s">
        <v>998</v>
      </c>
    </row>
    <row r="118">
      <c r="A118" s="48">
        <f>ROW()-ROW(Table_Action_Conditions[N])</f>
        <v>116</v>
      </c>
      <c r="B118" s="48" t="s">
        <v>642</v>
      </c>
      <c r="C118" s="52" t="s">
        <v>730</v>
      </c>
      <c r="D118" s="50" t="s">
        <v>731</v>
      </c>
      <c r="E118" s="50" t="s">
        <v>13</v>
      </c>
      <c r="F118" s="50" t="s">
        <v>361</v>
      </c>
      <c r="G118" s="50" t="s">
        <v>751</v>
      </c>
      <c r="H118" s="51"/>
      <c r="I118" s="51" t="s">
        <v>999</v>
      </c>
    </row>
    <row r="119">
      <c r="A119" s="48">
        <f>ROW()-ROW(Table_Action_Conditions[N])</f>
        <v>117</v>
      </c>
      <c r="B119" s="48" t="s">
        <v>1000</v>
      </c>
      <c r="C119" s="52" t="s">
        <v>730</v>
      </c>
      <c r="D119" s="50" t="s">
        <v>731</v>
      </c>
      <c r="E119" s="50" t="s">
        <v>13</v>
      </c>
      <c r="F119" s="50" t="s">
        <v>361</v>
      </c>
      <c r="G119" s="50" t="s">
        <v>751</v>
      </c>
      <c r="H119" s="51"/>
      <c r="I119" s="51" t="s">
        <v>1001</v>
      </c>
    </row>
    <row r="120">
      <c r="A120" s="48">
        <f>ROW()-ROW(Table_Action_Conditions[N])</f>
        <v>118</v>
      </c>
      <c r="B120" s="48" t="s">
        <v>1002</v>
      </c>
      <c r="C120" s="52" t="s">
        <v>730</v>
      </c>
      <c r="D120" s="50" t="s">
        <v>731</v>
      </c>
      <c r="E120" s="50" t="s">
        <v>13</v>
      </c>
      <c r="F120" s="50" t="s">
        <v>361</v>
      </c>
      <c r="G120" s="50" t="s">
        <v>737</v>
      </c>
      <c r="H120" s="51"/>
      <c r="I120" s="51" t="s">
        <v>1003</v>
      </c>
    </row>
    <row r="121">
      <c r="A121" s="48">
        <f>ROW()-ROW(Table_Action_Conditions[N])</f>
        <v>119</v>
      </c>
      <c r="B121" s="48" t="s">
        <v>1004</v>
      </c>
      <c r="C121" s="52" t="s">
        <v>730</v>
      </c>
      <c r="D121" s="50" t="s">
        <v>731</v>
      </c>
      <c r="E121" s="50" t="s">
        <v>13</v>
      </c>
      <c r="F121" s="50" t="s">
        <v>361</v>
      </c>
      <c r="G121" s="50" t="s">
        <v>737</v>
      </c>
      <c r="H121" s="51"/>
      <c r="I121" s="51" t="s">
        <v>1005</v>
      </c>
    </row>
    <row r="122">
      <c r="A122" s="48">
        <f>ROW()-ROW(Table_Action_Conditions[N])</f>
        <v>120</v>
      </c>
      <c r="B122" s="48" t="s">
        <v>1006</v>
      </c>
      <c r="C122" s="52" t="s">
        <v>730</v>
      </c>
      <c r="D122" s="50" t="s">
        <v>731</v>
      </c>
      <c r="E122" s="50" t="s">
        <v>13</v>
      </c>
      <c r="F122" s="50" t="s">
        <v>658</v>
      </c>
      <c r="G122" s="50" t="s">
        <v>759</v>
      </c>
      <c r="H122" s="51"/>
      <c r="I122" s="51" t="s">
        <v>1007</v>
      </c>
    </row>
    <row r="123">
      <c r="A123" s="48">
        <f>ROW()-ROW(Table_Action_Conditions[N])</f>
        <v>121</v>
      </c>
      <c r="B123" s="48" t="s">
        <v>657</v>
      </c>
      <c r="C123" s="52" t="s">
        <v>1008</v>
      </c>
      <c r="D123" s="50" t="s">
        <v>731</v>
      </c>
      <c r="E123" s="50" t="s">
        <v>13</v>
      </c>
      <c r="F123" s="50" t="s">
        <v>658</v>
      </c>
      <c r="G123" s="50" t="s">
        <v>1009</v>
      </c>
      <c r="H123" s="51"/>
      <c r="I123" s="51" t="s">
        <v>1010</v>
      </c>
    </row>
    <row r="124">
      <c r="A124" s="48">
        <f>ROW()-ROW(Table_Action_Conditions[N])</f>
        <v>122</v>
      </c>
      <c r="B124" s="48" t="s">
        <v>661</v>
      </c>
      <c r="C124" s="52" t="s">
        <v>1008</v>
      </c>
      <c r="D124" s="50" t="s">
        <v>731</v>
      </c>
      <c r="E124" s="50" t="s">
        <v>13</v>
      </c>
      <c r="F124" s="50" t="s">
        <v>654</v>
      </c>
      <c r="G124" s="50" t="s">
        <v>1009</v>
      </c>
      <c r="H124" s="51"/>
      <c r="I124" s="51" t="s">
        <v>1010</v>
      </c>
    </row>
    <row r="125">
      <c r="A125" s="48">
        <f>ROW()-ROW(Table_Action_Conditions[N])</f>
        <v>123</v>
      </c>
      <c r="B125" s="48" t="s">
        <v>664</v>
      </c>
      <c r="C125" s="52" t="s">
        <v>730</v>
      </c>
      <c r="D125" s="50" t="s">
        <v>731</v>
      </c>
      <c r="E125" s="50" t="s">
        <v>13</v>
      </c>
      <c r="F125" s="50" t="s">
        <v>361</v>
      </c>
      <c r="G125" s="50" t="s">
        <v>751</v>
      </c>
      <c r="H125" s="51"/>
      <c r="I125" s="51" t="s">
        <v>1011</v>
      </c>
    </row>
    <row r="126">
      <c r="A126" s="48">
        <f>ROW()-ROW(Table_Action_Conditions[N])</f>
        <v>124</v>
      </c>
      <c r="B126" s="48" t="s">
        <v>1012</v>
      </c>
      <c r="C126" s="52" t="s">
        <v>1013</v>
      </c>
      <c r="D126" s="50" t="s">
        <v>731</v>
      </c>
      <c r="E126" s="50" t="s">
        <v>13</v>
      </c>
      <c r="F126" s="50" t="s">
        <v>658</v>
      </c>
      <c r="G126" s="50" t="s">
        <v>759</v>
      </c>
      <c r="H126" s="51"/>
      <c r="I126" s="51" t="s">
        <v>1014</v>
      </c>
    </row>
    <row r="127">
      <c r="A127" s="48">
        <f>ROW()-ROW(Table_Action_Conditions[N])</f>
        <v>125</v>
      </c>
      <c r="B127" s="48" t="s">
        <v>1015</v>
      </c>
      <c r="C127" s="52" t="s">
        <v>730</v>
      </c>
      <c r="D127" s="50" t="s">
        <v>731</v>
      </c>
      <c r="E127" s="50" t="s">
        <v>13</v>
      </c>
      <c r="F127" s="50" t="s">
        <v>361</v>
      </c>
      <c r="G127" s="50" t="s">
        <v>751</v>
      </c>
      <c r="H127" s="51"/>
      <c r="I127" s="51" t="s">
        <v>1016</v>
      </c>
    </row>
    <row r="128">
      <c r="A128" s="48">
        <f>ROW()-ROW(Table_Action_Conditions[N])</f>
        <v>126</v>
      </c>
      <c r="B128" s="48" t="s">
        <v>1017</v>
      </c>
      <c r="C128" s="52" t="s">
        <v>1018</v>
      </c>
      <c r="D128" s="50" t="s">
        <v>731</v>
      </c>
      <c r="E128" s="50" t="s">
        <v>13</v>
      </c>
      <c r="F128" s="50" t="s">
        <v>361</v>
      </c>
      <c r="G128" s="50" t="s">
        <v>737</v>
      </c>
      <c r="H128" s="51"/>
      <c r="I128" s="51" t="s">
        <v>1019</v>
      </c>
    </row>
    <row r="129">
      <c r="A129" s="48">
        <f>ROW()-ROW(Table_Action_Conditions[N])</f>
        <v>127</v>
      </c>
      <c r="B129" s="48" t="s">
        <v>1020</v>
      </c>
      <c r="C129" s="52" t="s">
        <v>1021</v>
      </c>
      <c r="D129" s="50" t="s">
        <v>731</v>
      </c>
      <c r="E129" s="50" t="s">
        <v>13</v>
      </c>
      <c r="F129" s="50" t="s">
        <v>361</v>
      </c>
      <c r="G129" s="50" t="s">
        <v>737</v>
      </c>
      <c r="H129" s="51"/>
      <c r="I129" s="51" t="s">
        <v>1022</v>
      </c>
    </row>
    <row r="130">
      <c r="A130" s="48">
        <f>ROW()-ROW(Table_Action_Conditions[N])</f>
        <v>128</v>
      </c>
      <c r="B130" s="48" t="s">
        <v>1023</v>
      </c>
      <c r="C130" s="52" t="s">
        <v>1024</v>
      </c>
      <c r="D130" s="50" t="s">
        <v>731</v>
      </c>
      <c r="E130" s="50" t="s">
        <v>13</v>
      </c>
      <c r="F130" s="50" t="s">
        <v>361</v>
      </c>
      <c r="G130" s="50" t="s">
        <v>737</v>
      </c>
      <c r="H130" s="51"/>
      <c r="I130" s="51" t="s">
        <v>1025</v>
      </c>
    </row>
    <row r="131">
      <c r="A131" s="48">
        <f>ROW()-ROW(Table_Action_Conditions[N])</f>
        <v>129</v>
      </c>
      <c r="B131" s="48" t="s">
        <v>1026</v>
      </c>
      <c r="C131" s="52" t="s">
        <v>730</v>
      </c>
      <c r="D131" s="50" t="s">
        <v>731</v>
      </c>
      <c r="E131" s="50" t="s">
        <v>13</v>
      </c>
      <c r="F131" s="50" t="s">
        <v>361</v>
      </c>
      <c r="G131" s="50" t="s">
        <v>751</v>
      </c>
      <c r="H131" s="51"/>
      <c r="I131" s="51" t="s">
        <v>1027</v>
      </c>
    </row>
    <row r="132">
      <c r="A132" s="48">
        <f>ROW()-ROW(Table_Action_Conditions[N])</f>
        <v>130</v>
      </c>
      <c r="B132" s="48" t="s">
        <v>1028</v>
      </c>
      <c r="C132" s="52" t="s">
        <v>730</v>
      </c>
      <c r="D132" s="50" t="s">
        <v>731</v>
      </c>
      <c r="E132" s="50" t="s">
        <v>13</v>
      </c>
      <c r="F132" s="50" t="s">
        <v>361</v>
      </c>
      <c r="G132" s="50" t="s">
        <v>751</v>
      </c>
      <c r="H132" s="51"/>
      <c r="I132" s="51" t="s">
        <v>1029</v>
      </c>
    </row>
    <row r="133">
      <c r="A133" s="48">
        <f>ROW()-ROW(Table_Action_Conditions[N])</f>
        <v>131</v>
      </c>
      <c r="B133" s="48" t="s">
        <v>1030</v>
      </c>
      <c r="C133" s="52" t="s">
        <v>730</v>
      </c>
      <c r="D133" s="50" t="s">
        <v>731</v>
      </c>
      <c r="E133" s="50" t="s">
        <v>13</v>
      </c>
      <c r="F133" s="50" t="s">
        <v>361</v>
      </c>
      <c r="G133" s="50" t="s">
        <v>751</v>
      </c>
      <c r="H133" s="51"/>
      <c r="I133" s="51" t="s">
        <v>1031</v>
      </c>
    </row>
    <row r="134">
      <c r="A134" s="48">
        <f>ROW()-ROW(Table_Action_Conditions[N])</f>
        <v>132</v>
      </c>
      <c r="B134" s="48" t="s">
        <v>1032</v>
      </c>
      <c r="C134" s="52" t="s">
        <v>730</v>
      </c>
      <c r="D134" s="50" t="s">
        <v>731</v>
      </c>
      <c r="E134" s="50" t="s">
        <v>13</v>
      </c>
      <c r="F134" s="50" t="s">
        <v>361</v>
      </c>
      <c r="G134" s="50" t="s">
        <v>751</v>
      </c>
      <c r="H134" s="51"/>
      <c r="I134" s="51" t="s">
        <v>1033</v>
      </c>
    </row>
    <row r="135">
      <c r="A135" s="48">
        <f>ROW()-ROW(Table_Action_Conditions[N])</f>
        <v>133</v>
      </c>
      <c r="B135" s="48" t="s">
        <v>1034</v>
      </c>
      <c r="C135" s="52" t="s">
        <v>730</v>
      </c>
      <c r="D135" s="50" t="s">
        <v>731</v>
      </c>
      <c r="E135" s="50" t="s">
        <v>13</v>
      </c>
      <c r="F135" s="50" t="s">
        <v>361</v>
      </c>
      <c r="G135" s="50" t="s">
        <v>751</v>
      </c>
      <c r="H135" s="51"/>
      <c r="I135" s="51" t="s">
        <v>1035</v>
      </c>
    </row>
    <row r="136">
      <c r="A136" s="48">
        <f>ROW()-ROW(Table_Action_Conditions[N])</f>
        <v>134</v>
      </c>
      <c r="B136" s="48" t="s">
        <v>1036</v>
      </c>
      <c r="C136" s="52" t="s">
        <v>1037</v>
      </c>
      <c r="D136" s="50" t="s">
        <v>731</v>
      </c>
      <c r="E136" s="50" t="s">
        <v>13</v>
      </c>
      <c r="F136" s="50" t="s">
        <v>632</v>
      </c>
      <c r="G136" s="50" t="s">
        <v>759</v>
      </c>
      <c r="H136" s="51"/>
      <c r="I136" s="51" t="s">
        <v>1038</v>
      </c>
    </row>
    <row r="137">
      <c r="A137" s="48">
        <f>ROW()-ROW(Table_Action_Conditions[N])</f>
        <v>135</v>
      </c>
      <c r="B137" s="48" t="s">
        <v>1039</v>
      </c>
      <c r="C137" s="52" t="s">
        <v>1040</v>
      </c>
      <c r="D137" s="50" t="s">
        <v>731</v>
      </c>
      <c r="E137" s="50" t="s">
        <v>13</v>
      </c>
      <c r="F137" s="50" t="s">
        <v>632</v>
      </c>
      <c r="G137" s="50" t="s">
        <v>759</v>
      </c>
      <c r="H137" s="51"/>
      <c r="I137" s="51" t="s">
        <v>1041</v>
      </c>
    </row>
    <row r="138">
      <c r="A138" s="48">
        <f>ROW()-ROW(Table_Action_Conditions[N])</f>
        <v>136</v>
      </c>
      <c r="B138" s="48" t="s">
        <v>1042</v>
      </c>
      <c r="C138" s="52" t="s">
        <v>1043</v>
      </c>
      <c r="D138" s="50" t="s">
        <v>731</v>
      </c>
      <c r="E138" s="50" t="s">
        <v>13</v>
      </c>
      <c r="F138" s="50" t="s">
        <v>632</v>
      </c>
      <c r="G138" s="50" t="s">
        <v>759</v>
      </c>
      <c r="H138" s="51"/>
      <c r="I138" s="51" t="s">
        <v>1041</v>
      </c>
    </row>
    <row r="139">
      <c r="A139" s="48">
        <f>ROW()-ROW(Table_Action_Conditions[N])</f>
        <v>137</v>
      </c>
      <c r="B139" s="48" t="s">
        <v>1044</v>
      </c>
      <c r="C139" s="52" t="s">
        <v>730</v>
      </c>
      <c r="D139" s="50" t="s">
        <v>731</v>
      </c>
      <c r="E139" s="50" t="s">
        <v>13</v>
      </c>
      <c r="F139" s="50" t="s">
        <v>361</v>
      </c>
      <c r="G139" s="50" t="s">
        <v>751</v>
      </c>
      <c r="H139" s="51"/>
      <c r="I139" s="51" t="s">
        <v>1045</v>
      </c>
    </row>
    <row r="140">
      <c r="A140" s="48">
        <f>ROW()-ROW(Table_Action_Conditions[N])</f>
        <v>138</v>
      </c>
      <c r="B140" s="48" t="s">
        <v>1046</v>
      </c>
      <c r="C140" s="52" t="s">
        <v>730</v>
      </c>
      <c r="D140" s="50" t="s">
        <v>731</v>
      </c>
      <c r="E140" s="50" t="s">
        <v>13</v>
      </c>
      <c r="F140" s="50" t="s">
        <v>361</v>
      </c>
      <c r="G140" s="50" t="s">
        <v>737</v>
      </c>
      <c r="H140" s="51"/>
      <c r="I140" s="51" t="s">
        <v>1047</v>
      </c>
    </row>
    <row r="141">
      <c r="A141" s="48">
        <f>ROW()-ROW(Table_Action_Conditions[N])</f>
        <v>139</v>
      </c>
      <c r="B141" s="48" t="s">
        <v>1048</v>
      </c>
      <c r="C141" s="52" t="s">
        <v>730</v>
      </c>
      <c r="D141" s="50" t="s">
        <v>731</v>
      </c>
      <c r="E141" s="50" t="s">
        <v>13</v>
      </c>
      <c r="F141" s="50" t="s">
        <v>361</v>
      </c>
      <c r="G141" s="50" t="s">
        <v>737</v>
      </c>
      <c r="H141" s="51"/>
      <c r="I141" s="51" t="s">
        <v>1049</v>
      </c>
    </row>
    <row r="142">
      <c r="A142" s="48">
        <f>ROW()-ROW(Table_Action_Conditions[N])</f>
        <v>140</v>
      </c>
      <c r="B142" s="48" t="s">
        <v>1050</v>
      </c>
      <c r="C142" s="52" t="s">
        <v>730</v>
      </c>
      <c r="D142" s="50" t="s">
        <v>731</v>
      </c>
      <c r="E142" s="50" t="s">
        <v>13</v>
      </c>
      <c r="F142" s="50" t="s">
        <v>361</v>
      </c>
      <c r="G142" s="50" t="s">
        <v>737</v>
      </c>
      <c r="H142" s="51"/>
      <c r="I142" s="51" t="s">
        <v>1051</v>
      </c>
    </row>
    <row r="143">
      <c r="A143" s="48">
        <f>ROW()-ROW(Table_Action_Conditions[N])</f>
        <v>141</v>
      </c>
      <c r="B143" s="48" t="s">
        <v>1052</v>
      </c>
      <c r="C143" s="52" t="s">
        <v>730</v>
      </c>
      <c r="D143" s="50" t="s">
        <v>731</v>
      </c>
      <c r="E143" s="50" t="s">
        <v>13</v>
      </c>
      <c r="F143" s="50" t="s">
        <v>361</v>
      </c>
      <c r="G143" s="50" t="s">
        <v>737</v>
      </c>
      <c r="H143" s="51"/>
      <c r="I143" s="51" t="s">
        <v>1053</v>
      </c>
    </row>
    <row r="144">
      <c r="A144" s="48">
        <f>ROW()-ROW(Table_Action_Conditions[N])</f>
        <v>142</v>
      </c>
      <c r="B144" s="48" t="s">
        <v>1054</v>
      </c>
      <c r="C144" s="52" t="s">
        <v>730</v>
      </c>
      <c r="D144" s="50" t="s">
        <v>731</v>
      </c>
      <c r="E144" s="50" t="s">
        <v>13</v>
      </c>
      <c r="F144" s="50" t="s">
        <v>361</v>
      </c>
      <c r="G144" s="50" t="s">
        <v>737</v>
      </c>
      <c r="H144" s="51"/>
      <c r="I144" s="51" t="s">
        <v>1055</v>
      </c>
    </row>
    <row r="145">
      <c r="A145" s="48">
        <f>ROW()-ROW(Table_Action_Conditions[N])</f>
        <v>143</v>
      </c>
      <c r="B145" s="48" t="s">
        <v>1056</v>
      </c>
      <c r="C145" s="52" t="s">
        <v>730</v>
      </c>
      <c r="D145" s="50" t="s">
        <v>731</v>
      </c>
      <c r="E145" s="50" t="s">
        <v>13</v>
      </c>
      <c r="F145" s="50" t="s">
        <v>668</v>
      </c>
      <c r="G145" s="50" t="s">
        <v>759</v>
      </c>
      <c r="H145" s="51"/>
      <c r="I145" s="51" t="s">
        <v>1057</v>
      </c>
    </row>
    <row r="146">
      <c r="A146" s="48">
        <f>ROW()-ROW(Table_Action_Conditions[N])</f>
        <v>144</v>
      </c>
      <c r="B146" s="48" t="s">
        <v>1058</v>
      </c>
      <c r="C146" s="52" t="s">
        <v>730</v>
      </c>
      <c r="D146" s="50" t="s">
        <v>731</v>
      </c>
      <c r="E146" s="50" t="s">
        <v>13</v>
      </c>
      <c r="F146" s="50" t="s">
        <v>672</v>
      </c>
      <c r="G146" s="50" t="s">
        <v>759</v>
      </c>
      <c r="H146" s="51"/>
      <c r="I146" s="51" t="s">
        <v>1059</v>
      </c>
    </row>
    <row r="147">
      <c r="A147" s="48">
        <f>ROW()-ROW(Table_Action_Conditions[N])</f>
        <v>145</v>
      </c>
      <c r="B147" s="48" t="s">
        <v>1060</v>
      </c>
      <c r="C147" s="52" t="s">
        <v>730</v>
      </c>
      <c r="D147" s="50" t="s">
        <v>731</v>
      </c>
      <c r="E147" s="50" t="s">
        <v>13</v>
      </c>
      <c r="F147" s="50" t="s">
        <v>676</v>
      </c>
      <c r="G147" s="50" t="s">
        <v>759</v>
      </c>
      <c r="H147" s="51"/>
      <c r="I147" s="51" t="s">
        <v>1061</v>
      </c>
    </row>
    <row r="148">
      <c r="A148" s="48">
        <f>ROW()-ROW(Table_Action_Conditions[N])</f>
        <v>146</v>
      </c>
      <c r="B148" s="48" t="s">
        <v>1062</v>
      </c>
      <c r="C148" s="52" t="s">
        <v>730</v>
      </c>
      <c r="D148" s="50" t="s">
        <v>731</v>
      </c>
      <c r="E148" s="50" t="s">
        <v>13</v>
      </c>
      <c r="F148" s="50" t="s">
        <v>680</v>
      </c>
      <c r="G148" s="50" t="s">
        <v>759</v>
      </c>
      <c r="H148" s="51"/>
      <c r="I148" s="51" t="s">
        <v>1063</v>
      </c>
    </row>
    <row r="149">
      <c r="A149" s="48">
        <f>ROW()-ROW(Table_Action_Conditions[N])</f>
        <v>147</v>
      </c>
      <c r="B149" s="48" t="s">
        <v>1064</v>
      </c>
      <c r="C149" s="52" t="s">
        <v>730</v>
      </c>
      <c r="D149" s="50" t="s">
        <v>731</v>
      </c>
      <c r="E149" s="50" t="s">
        <v>13</v>
      </c>
      <c r="F149" s="50" t="s">
        <v>687</v>
      </c>
      <c r="G149" s="50" t="s">
        <v>759</v>
      </c>
      <c r="H149" s="51"/>
      <c r="I149" s="51" t="s">
        <v>1065</v>
      </c>
    </row>
    <row r="150">
      <c r="A150" s="48">
        <f>ROW()-ROW(Table_Action_Conditions[N])</f>
        <v>148</v>
      </c>
      <c r="B150" s="48" t="s">
        <v>1066</v>
      </c>
      <c r="C150" s="52" t="s">
        <v>730</v>
      </c>
      <c r="D150" s="50" t="s">
        <v>731</v>
      </c>
      <c r="E150" s="50" t="s">
        <v>13</v>
      </c>
      <c r="F150" s="50" t="s">
        <v>361</v>
      </c>
      <c r="G150" s="50" t="s">
        <v>751</v>
      </c>
      <c r="H150" s="51"/>
      <c r="I150" s="51" t="s">
        <v>1067</v>
      </c>
    </row>
    <row r="151">
      <c r="A151" s="48">
        <f>ROW()-ROW(Table_Action_Conditions[N])</f>
        <v>149</v>
      </c>
      <c r="B151" s="48" t="s">
        <v>1068</v>
      </c>
      <c r="C151" s="52" t="s">
        <v>730</v>
      </c>
      <c r="D151" s="50" t="s">
        <v>731</v>
      </c>
      <c r="E151" s="50" t="s">
        <v>13</v>
      </c>
      <c r="F151" s="50" t="s">
        <v>361</v>
      </c>
      <c r="G151" s="50" t="s">
        <v>751</v>
      </c>
      <c r="H151" s="51"/>
      <c r="I151" s="51" t="s">
        <v>1069</v>
      </c>
    </row>
    <row r="152">
      <c r="A152" s="48">
        <f>ROW()-ROW(Table_Action_Conditions[N])</f>
        <v>150</v>
      </c>
      <c r="B152" s="48" t="s">
        <v>1070</v>
      </c>
      <c r="C152" s="52" t="s">
        <v>1071</v>
      </c>
      <c r="D152" s="50" t="s">
        <v>731</v>
      </c>
      <c r="E152" s="50" t="s">
        <v>13</v>
      </c>
      <c r="F152" s="50" t="s">
        <v>361</v>
      </c>
      <c r="G152" s="50" t="s">
        <v>737</v>
      </c>
      <c r="H152" s="51"/>
      <c r="I152" s="51" t="s">
        <v>1072</v>
      </c>
    </row>
    <row r="153">
      <c r="A153" s="48">
        <f>ROW()-ROW(Table_Action_Conditions[N])</f>
        <v>151</v>
      </c>
      <c r="B153" s="48" t="s">
        <v>1073</v>
      </c>
      <c r="C153" s="52" t="s">
        <v>1074</v>
      </c>
      <c r="D153" s="50" t="s">
        <v>731</v>
      </c>
      <c r="E153" s="50" t="s">
        <v>13</v>
      </c>
      <c r="F153" s="50" t="s">
        <v>361</v>
      </c>
      <c r="G153" s="50" t="s">
        <v>737</v>
      </c>
      <c r="H153" s="51"/>
      <c r="I153" s="51" t="s">
        <v>1075</v>
      </c>
    </row>
    <row r="154">
      <c r="A154" s="48">
        <f>ROW()-ROW(Table_Action_Conditions[N])</f>
        <v>152</v>
      </c>
      <c r="B154" s="48" t="s">
        <v>1076</v>
      </c>
      <c r="C154" s="52" t="s">
        <v>1021</v>
      </c>
      <c r="D154" s="50" t="s">
        <v>731</v>
      </c>
      <c r="E154" s="50" t="s">
        <v>13</v>
      </c>
      <c r="F154" s="50" t="s">
        <v>695</v>
      </c>
      <c r="G154" s="50" t="s">
        <v>759</v>
      </c>
      <c r="H154" s="51"/>
      <c r="I154" s="51" t="s">
        <v>1077</v>
      </c>
    </row>
    <row r="155">
      <c r="A155" s="48">
        <f>ROW()-ROW(Table_Action_Conditions[N])</f>
        <v>153</v>
      </c>
      <c r="B155" s="48" t="s">
        <v>1078</v>
      </c>
      <c r="C155" s="52" t="s">
        <v>1079</v>
      </c>
      <c r="D155" s="50" t="s">
        <v>731</v>
      </c>
      <c r="E155" s="50" t="s">
        <v>13</v>
      </c>
      <c r="F155" s="50" t="s">
        <v>621</v>
      </c>
      <c r="G155" s="50" t="s">
        <v>759</v>
      </c>
      <c r="H155" s="51"/>
      <c r="I155" s="51" t="s">
        <v>1080</v>
      </c>
    </row>
    <row r="156">
      <c r="A156" s="48">
        <f>ROW()-ROW(Table_Action_Conditions[N])</f>
        <v>154</v>
      </c>
      <c r="B156" s="48" t="s">
        <v>1081</v>
      </c>
      <c r="C156" s="52" t="s">
        <v>1082</v>
      </c>
      <c r="D156" s="50" t="s">
        <v>777</v>
      </c>
      <c r="E156" s="50" t="s">
        <v>13</v>
      </c>
      <c r="F156" s="50" t="s">
        <v>699</v>
      </c>
      <c r="G156" s="50" t="s">
        <v>759</v>
      </c>
      <c r="H156" s="51"/>
      <c r="I156" s="51" t="s">
        <v>1083</v>
      </c>
    </row>
    <row r="157">
      <c r="A157" s="48">
        <f>ROW()-ROW(Table_Action_Conditions[N])</f>
        <v>155</v>
      </c>
      <c r="B157" s="48" t="s">
        <v>1084</v>
      </c>
      <c r="C157" s="52" t="s">
        <v>1085</v>
      </c>
      <c r="D157" s="50" t="s">
        <v>731</v>
      </c>
      <c r="E157" s="50" t="s">
        <v>13</v>
      </c>
      <c r="F157" s="50" t="s">
        <v>361</v>
      </c>
      <c r="G157" s="50" t="s">
        <v>737</v>
      </c>
      <c r="H157" s="51"/>
      <c r="I157" s="51" t="s">
        <v>1086</v>
      </c>
    </row>
    <row r="158">
      <c r="A158" s="48">
        <f>ROW()-ROW(Table_Action_Conditions[N])</f>
        <v>156</v>
      </c>
      <c r="B158" s="48" t="s">
        <v>1087</v>
      </c>
      <c r="C158" s="52" t="s">
        <v>730</v>
      </c>
      <c r="D158" s="50" t="s">
        <v>731</v>
      </c>
      <c r="E158" s="50" t="s">
        <v>13</v>
      </c>
      <c r="F158" s="50" t="s">
        <v>361</v>
      </c>
      <c r="G158" s="50" t="s">
        <v>751</v>
      </c>
      <c r="H158" s="51"/>
      <c r="I158" s="51" t="s">
        <v>1088</v>
      </c>
    </row>
    <row r="159">
      <c r="A159" s="48">
        <f>ROW()-ROW(Table_Action_Conditions[N])</f>
        <v>157</v>
      </c>
      <c r="B159" s="48" t="s">
        <v>1089</v>
      </c>
      <c r="C159" s="52" t="s">
        <v>730</v>
      </c>
      <c r="D159" s="50" t="s">
        <v>731</v>
      </c>
      <c r="E159" s="50" t="s">
        <v>13</v>
      </c>
      <c r="F159" s="50" t="s">
        <v>361</v>
      </c>
      <c r="G159" s="50" t="s">
        <v>749</v>
      </c>
      <c r="H159" s="51"/>
      <c r="I159" s="51" t="s">
        <v>1090</v>
      </c>
    </row>
    <row r="160">
      <c r="A160" s="48">
        <f>ROW()-ROW(Table_Action_Conditions[N])</f>
        <v>158</v>
      </c>
      <c r="B160" s="56" t="s">
        <v>1091</v>
      </c>
      <c r="C160" s="57" t="s">
        <v>730</v>
      </c>
      <c r="D160" s="58" t="s">
        <v>731</v>
      </c>
      <c r="E160" s="58" t="s">
        <v>13</v>
      </c>
      <c r="F160" s="58" t="s">
        <v>713</v>
      </c>
      <c r="G160" s="58" t="s">
        <v>759</v>
      </c>
      <c r="H160" s="59"/>
      <c r="I160" s="60" t="s">
        <v>1092</v>
      </c>
    </row>
    <row r="161">
      <c r="A161" s="48">
        <f>ROW()-ROW(Table_Action_Conditions[N])</f>
        <v>159</v>
      </c>
      <c r="B161" s="48" t="s">
        <v>1093</v>
      </c>
      <c r="C161" s="52" t="s">
        <v>730</v>
      </c>
      <c r="D161" s="50" t="s">
        <v>731</v>
      </c>
      <c r="E161" s="50" t="s">
        <v>13</v>
      </c>
      <c r="F161" s="50" t="s">
        <v>361</v>
      </c>
      <c r="G161" s="50" t="s">
        <v>751</v>
      </c>
      <c r="H161" s="51"/>
      <c r="I161" s="51" t="s">
        <v>1094</v>
      </c>
    </row>
    <row r="162">
      <c r="A162" s="48">
        <f>ROW()-ROW(Table_Action_Conditions[N])</f>
        <v>160</v>
      </c>
      <c r="B162" s="48" t="s">
        <v>1095</v>
      </c>
      <c r="C162" s="49" t="s">
        <v>730</v>
      </c>
      <c r="D162" s="50" t="s">
        <v>731</v>
      </c>
      <c r="E162" s="50" t="s">
        <v>732</v>
      </c>
      <c r="F162" s="50" t="s">
        <v>361</v>
      </c>
      <c r="G162" s="50" t="s">
        <v>733</v>
      </c>
      <c r="H162" s="51"/>
      <c r="I162" s="51" t="s">
        <v>734</v>
      </c>
    </row>
    <row r="164">
      <c r="A164" s="1" t="s">
        <v>49</v>
      </c>
      <c r="B164" s="1" t="s">
        <v>1096</v>
      </c>
      <c r="C164" s="2" t="s">
        <v>1097</v>
      </c>
      <c r="D164" s="2" t="s">
        <v>1098</v>
      </c>
      <c r="E164" s="29" t="s">
        <v>1099</v>
      </c>
      <c r="F164" s="29" t="s">
        <v>1100</v>
      </c>
      <c r="G164" s="29" t="s">
        <v>723</v>
      </c>
      <c r="H164" s="29" t="s">
        <v>724</v>
      </c>
      <c r="I164" s="29" t="s">
        <v>729</v>
      </c>
    </row>
    <row r="165">
      <c r="A165" s="48">
        <f>ROW()-ROW(Table_Unchain_Conditions[N])</f>
        <v>0</v>
      </c>
      <c r="B165" s="48" t="s">
        <v>1101</v>
      </c>
      <c r="C165" s="61" t="b">
        <v>1</v>
      </c>
      <c r="D165" s="61" t="b">
        <v>0</v>
      </c>
      <c r="E165" s="62" t="b">
        <v>0</v>
      </c>
      <c r="F165" s="63" t="s">
        <v>730</v>
      </c>
      <c r="G165" s="51" t="s">
        <v>730</v>
      </c>
      <c r="H165" s="63" t="s">
        <v>731</v>
      </c>
      <c r="I165" s="51" t="s">
        <v>734</v>
      </c>
    </row>
    <row r="166">
      <c r="A166" s="48">
        <f>ROW()-ROW(Table_Unchain_Conditions[N])</f>
        <v>1</v>
      </c>
      <c r="B166" s="48" t="s">
        <v>1102</v>
      </c>
      <c r="C166" s="61" t="b">
        <v>0</v>
      </c>
      <c r="D166" s="61" t="b">
        <v>0</v>
      </c>
      <c r="E166" s="62" t="b">
        <v>1</v>
      </c>
      <c r="F166" s="63" t="s">
        <v>1103</v>
      </c>
      <c r="G166" s="51" t="s">
        <v>730</v>
      </c>
      <c r="H166" s="63" t="s">
        <v>731</v>
      </c>
      <c r="I166" s="51" t="s">
        <v>1104</v>
      </c>
    </row>
    <row r="167">
      <c r="A167" s="48">
        <f>ROW()-ROW(Table_Unchain_Conditions[N])</f>
        <v>2</v>
      </c>
      <c r="B167" s="48" t="s">
        <v>1105</v>
      </c>
      <c r="C167" s="61" t="b">
        <v>0</v>
      </c>
      <c r="D167" s="61" t="b">
        <v>1</v>
      </c>
      <c r="E167" s="62" t="b">
        <v>0</v>
      </c>
      <c r="F167" s="63" t="s">
        <v>730</v>
      </c>
      <c r="G167" s="51" t="s">
        <v>740</v>
      </c>
      <c r="H167" s="63" t="s">
        <v>731</v>
      </c>
      <c r="I167" s="51" t="s">
        <v>1106</v>
      </c>
    </row>
    <row r="168">
      <c r="A168" s="48">
        <f>ROW()-ROW(Table_Unchain_Conditions[N])</f>
        <v>3</v>
      </c>
      <c r="B168" s="48" t="s">
        <v>1107</v>
      </c>
      <c r="C168" s="61" t="b">
        <v>0</v>
      </c>
      <c r="D168" s="61" t="b">
        <v>1</v>
      </c>
      <c r="E168" s="62" t="b">
        <v>0</v>
      </c>
      <c r="F168" s="63" t="s">
        <v>730</v>
      </c>
      <c r="G168" s="51" t="s">
        <v>736</v>
      </c>
      <c r="H168" s="63" t="s">
        <v>731</v>
      </c>
      <c r="I168" s="51" t="s">
        <v>1108</v>
      </c>
    </row>
    <row r="169">
      <c r="A169" s="48">
        <f>ROW()-ROW(Table_Unchain_Conditions[N])</f>
        <v>4</v>
      </c>
      <c r="B169" s="48" t="s">
        <v>1109</v>
      </c>
      <c r="C169" s="61" t="b">
        <v>1</v>
      </c>
      <c r="D169" s="61" t="b">
        <v>0</v>
      </c>
      <c r="E169" s="62" t="b">
        <v>0</v>
      </c>
      <c r="F169" s="63" t="s">
        <v>730</v>
      </c>
      <c r="G169" s="51" t="s">
        <v>1110</v>
      </c>
      <c r="H169" s="63" t="s">
        <v>731</v>
      </c>
      <c r="I169" s="51" t="s">
        <v>1111</v>
      </c>
    </row>
    <row r="170">
      <c r="A170" s="48">
        <f>ROW()-ROW(Table_Unchain_Conditions[N])</f>
        <v>5</v>
      </c>
      <c r="B170" s="48" t="s">
        <v>1112</v>
      </c>
      <c r="C170" s="61" t="b">
        <v>0</v>
      </c>
      <c r="D170" s="61" t="b">
        <v>1</v>
      </c>
      <c r="E170" s="62" t="b">
        <v>0</v>
      </c>
      <c r="F170" s="63" t="s">
        <v>730</v>
      </c>
      <c r="G170" s="51" t="s">
        <v>746</v>
      </c>
      <c r="H170" s="63" t="s">
        <v>731</v>
      </c>
      <c r="I170" s="51" t="s">
        <v>1113</v>
      </c>
    </row>
    <row r="171">
      <c r="A171" s="48">
        <f>ROW()-ROW(Table_Unchain_Conditions[N])</f>
        <v>6</v>
      </c>
      <c r="B171" s="48" t="s">
        <v>1114</v>
      </c>
      <c r="C171" s="61" t="b">
        <v>0</v>
      </c>
      <c r="D171" s="61" t="b">
        <v>1</v>
      </c>
      <c r="E171" s="62" t="b">
        <v>0</v>
      </c>
      <c r="F171" s="63" t="s">
        <v>1115</v>
      </c>
      <c r="G171" s="51" t="s">
        <v>746</v>
      </c>
      <c r="H171" s="63" t="s">
        <v>731</v>
      </c>
      <c r="I171" s="51" t="s">
        <v>1116</v>
      </c>
    </row>
    <row r="172">
      <c r="A172" s="48">
        <f>ROW()-ROW(Table_Unchain_Conditions[N])</f>
        <v>7</v>
      </c>
      <c r="B172" s="48" t="s">
        <v>1117</v>
      </c>
      <c r="C172" s="61" t="b">
        <v>0</v>
      </c>
      <c r="D172" s="61" t="b">
        <v>1</v>
      </c>
      <c r="E172" s="62" t="b">
        <v>0</v>
      </c>
      <c r="F172" s="63" t="s">
        <v>730</v>
      </c>
      <c r="G172" s="51" t="s">
        <v>744</v>
      </c>
      <c r="H172" s="63" t="s">
        <v>731</v>
      </c>
      <c r="I172" s="51" t="s">
        <v>1118</v>
      </c>
    </row>
    <row r="173">
      <c r="A173" s="48">
        <f>ROW()-ROW(Table_Unchain_Conditions[N])</f>
        <v>8</v>
      </c>
      <c r="B173" s="48" t="s">
        <v>1119</v>
      </c>
      <c r="C173" s="61" t="b">
        <v>0</v>
      </c>
      <c r="D173" s="61" t="b">
        <v>1</v>
      </c>
      <c r="E173" s="62" t="b">
        <v>0</v>
      </c>
      <c r="F173" s="63" t="s">
        <v>1115</v>
      </c>
      <c r="G173" s="51" t="s">
        <v>744</v>
      </c>
      <c r="H173" s="63" t="s">
        <v>731</v>
      </c>
      <c r="I173" s="51" t="s">
        <v>1120</v>
      </c>
    </row>
    <row r="174">
      <c r="A174" s="48">
        <f>ROW()-ROW(Table_Unchain_Conditions[N])</f>
        <v>9</v>
      </c>
      <c r="B174" s="54" t="s">
        <v>1121</v>
      </c>
      <c r="C174" s="62" t="b">
        <v>0</v>
      </c>
      <c r="D174" s="62" t="b">
        <v>0</v>
      </c>
      <c r="E174" s="62" t="b">
        <v>0</v>
      </c>
      <c r="F174" s="63" t="s">
        <v>730</v>
      </c>
      <c r="G174" s="51" t="s">
        <v>1115</v>
      </c>
      <c r="H174" s="63" t="s">
        <v>731</v>
      </c>
      <c r="I174" s="51" t="s">
        <v>1122</v>
      </c>
    </row>
    <row r="175">
      <c r="A175" s="48">
        <f>ROW()-ROW(Table_Unchain_Conditions[N])</f>
        <v>10</v>
      </c>
      <c r="B175" s="54" t="s">
        <v>1123</v>
      </c>
      <c r="C175" s="62" t="b">
        <v>0</v>
      </c>
      <c r="D175" s="62" t="b">
        <v>0</v>
      </c>
      <c r="E175" s="62" t="b">
        <v>0</v>
      </c>
      <c r="F175" s="63" t="s">
        <v>730</v>
      </c>
      <c r="G175" s="51" t="s">
        <v>1124</v>
      </c>
      <c r="H175" s="63" t="s">
        <v>777</v>
      </c>
      <c r="I175" s="51" t="s">
        <v>1125</v>
      </c>
    </row>
    <row r="176">
      <c r="A176" s="48">
        <f>ROW()-ROW(Table_Unchain_Conditions[N])</f>
        <v>11</v>
      </c>
      <c r="B176" s="54" t="s">
        <v>1126</v>
      </c>
      <c r="C176" s="62" t="b">
        <v>0</v>
      </c>
      <c r="D176" s="62" t="b">
        <v>0</v>
      </c>
      <c r="E176" s="62" t="b">
        <v>0</v>
      </c>
      <c r="F176" s="63" t="s">
        <v>730</v>
      </c>
      <c r="G176" s="51" t="s">
        <v>730</v>
      </c>
      <c r="H176" s="63" t="s">
        <v>777</v>
      </c>
      <c r="I176" s="51" t="s">
        <v>1127</v>
      </c>
    </row>
    <row r="177">
      <c r="A177" s="48">
        <f>ROW()-ROW(Table_Unchain_Conditions[N])</f>
        <v>12</v>
      </c>
      <c r="B177" s="54" t="s">
        <v>1128</v>
      </c>
      <c r="C177" s="62" t="b">
        <v>0</v>
      </c>
      <c r="D177" s="62" t="b">
        <v>0</v>
      </c>
      <c r="E177" s="62" t="b">
        <v>0</v>
      </c>
      <c r="F177" s="63" t="s">
        <v>730</v>
      </c>
      <c r="G177" s="51" t="s">
        <v>730</v>
      </c>
      <c r="H177" s="63" t="s">
        <v>777</v>
      </c>
      <c r="I177" s="51" t="s">
        <v>1129</v>
      </c>
    </row>
    <row r="178">
      <c r="A178" s="54">
        <f>ROW()-ROW(Table_Unchain_Conditions[N])</f>
        <v>13</v>
      </c>
      <c r="B178" s="54" t="s">
        <v>1130</v>
      </c>
      <c r="C178" s="62" t="b">
        <v>0</v>
      </c>
      <c r="D178" s="62" t="b">
        <v>0</v>
      </c>
      <c r="E178" s="62" t="b">
        <v>0</v>
      </c>
      <c r="F178" s="63" t="s">
        <v>730</v>
      </c>
      <c r="G178" s="51" t="s">
        <v>730</v>
      </c>
      <c r="H178" s="63" t="s">
        <v>783</v>
      </c>
      <c r="I178" s="51" t="s">
        <v>1131</v>
      </c>
    </row>
    <row r="179">
      <c r="A179" s="54">
        <f>ROW()-ROW(Table_Unchain_Conditions[N])</f>
        <v>14</v>
      </c>
      <c r="B179" s="54" t="s">
        <v>1132</v>
      </c>
      <c r="C179" s="62" t="b">
        <v>0</v>
      </c>
      <c r="D179" s="62" t="b">
        <v>0</v>
      </c>
      <c r="E179" s="62" t="b">
        <v>0</v>
      </c>
      <c r="F179" s="63" t="s">
        <v>730</v>
      </c>
      <c r="G179" s="51" t="s">
        <v>1133</v>
      </c>
      <c r="H179" s="63" t="s">
        <v>731</v>
      </c>
      <c r="I179" s="51" t="s">
        <v>1134</v>
      </c>
    </row>
    <row r="180">
      <c r="A180" s="54">
        <f>ROW()-ROW(Table_Unchain_Conditions[N])</f>
        <v>15</v>
      </c>
      <c r="B180" s="54" t="s">
        <v>1135</v>
      </c>
      <c r="C180" s="62" t="b">
        <v>0</v>
      </c>
      <c r="D180" s="62" t="b">
        <v>0</v>
      </c>
      <c r="E180" s="62" t="b">
        <v>0</v>
      </c>
      <c r="F180" s="63" t="s">
        <v>730</v>
      </c>
      <c r="G180" s="51" t="s">
        <v>1136</v>
      </c>
      <c r="H180" s="63" t="s">
        <v>783</v>
      </c>
      <c r="I180" s="51" t="s">
        <v>1137</v>
      </c>
    </row>
    <row r="181">
      <c r="A181" s="54">
        <f>ROW()-ROW(Table_Unchain_Conditions[N])</f>
        <v>16</v>
      </c>
      <c r="B181" s="54" t="s">
        <v>1138</v>
      </c>
      <c r="C181" s="62" t="b">
        <v>0</v>
      </c>
      <c r="D181" s="62" t="b">
        <v>0</v>
      </c>
      <c r="E181" s="62" t="b">
        <v>0</v>
      </c>
      <c r="F181" s="63" t="s">
        <v>730</v>
      </c>
      <c r="G181" s="51" t="s">
        <v>1139</v>
      </c>
      <c r="H181" s="63" t="s">
        <v>777</v>
      </c>
      <c r="I181" s="51" t="s">
        <v>1140</v>
      </c>
    </row>
    <row r="182">
      <c r="A182" s="54">
        <f>ROW()-ROW(Table_Unchain_Conditions[N])</f>
        <v>17</v>
      </c>
      <c r="B182" s="54" t="s">
        <v>1141</v>
      </c>
      <c r="C182" s="62" t="b">
        <v>0</v>
      </c>
      <c r="D182" s="62" t="b">
        <v>0</v>
      </c>
      <c r="E182" s="62" t="b">
        <v>0</v>
      </c>
      <c r="F182" s="63" t="s">
        <v>730</v>
      </c>
      <c r="G182" s="51" t="s">
        <v>1142</v>
      </c>
      <c r="H182" s="63" t="s">
        <v>777</v>
      </c>
      <c r="I182" s="51" t="s">
        <v>1143</v>
      </c>
    </row>
    <row r="183">
      <c r="A183" s="54">
        <f>ROW()-ROW(Table_Unchain_Conditions[N])</f>
        <v>18</v>
      </c>
      <c r="B183" s="54" t="s">
        <v>1144</v>
      </c>
      <c r="C183" s="62" t="b">
        <v>1</v>
      </c>
      <c r="D183" s="62" t="b">
        <v>0</v>
      </c>
      <c r="E183" s="62" t="b">
        <v>0</v>
      </c>
      <c r="F183" s="63" t="s">
        <v>730</v>
      </c>
      <c r="G183" s="51" t="s">
        <v>1145</v>
      </c>
      <c r="H183" s="63" t="s">
        <v>731</v>
      </c>
      <c r="I183" s="51" t="s">
        <v>1146</v>
      </c>
    </row>
    <row r="184">
      <c r="A184" s="54">
        <f>ROW()-ROW(Table_Unchain_Conditions[N])</f>
        <v>19</v>
      </c>
      <c r="B184" s="54" t="s">
        <v>1147</v>
      </c>
      <c r="C184" s="62" t="b">
        <v>0</v>
      </c>
      <c r="D184" s="62" t="b">
        <v>0</v>
      </c>
      <c r="E184" s="62" t="b">
        <v>0</v>
      </c>
      <c r="F184" s="63" t="s">
        <v>730</v>
      </c>
      <c r="G184" s="51" t="s">
        <v>1148</v>
      </c>
      <c r="H184" s="63" t="s">
        <v>731</v>
      </c>
      <c r="I184" s="51" t="s">
        <v>1149</v>
      </c>
    </row>
    <row r="185">
      <c r="A185" s="54">
        <f>ROW()-ROW(Table_Unchain_Conditions[N])</f>
        <v>20</v>
      </c>
      <c r="B185" s="54" t="s">
        <v>1150</v>
      </c>
      <c r="C185" s="62" t="b">
        <v>0</v>
      </c>
      <c r="D185" s="62" t="b">
        <v>0</v>
      </c>
      <c r="E185" s="62" t="b">
        <v>0</v>
      </c>
      <c r="F185" s="63" t="s">
        <v>730</v>
      </c>
      <c r="G185" s="51" t="s">
        <v>1151</v>
      </c>
      <c r="H185" s="63" t="s">
        <v>731</v>
      </c>
      <c r="I185" s="51" t="s">
        <v>1152</v>
      </c>
    </row>
    <row r="186">
      <c r="A186" s="54">
        <f>ROW()-ROW(Table_Unchain_Conditions[N])</f>
        <v>21</v>
      </c>
      <c r="B186" s="54" t="s">
        <v>1153</v>
      </c>
      <c r="C186" s="62" t="b">
        <v>0</v>
      </c>
      <c r="D186" s="62" t="b">
        <v>0</v>
      </c>
      <c r="E186" s="62" t="b">
        <v>0</v>
      </c>
      <c r="F186" s="63" t="s">
        <v>730</v>
      </c>
      <c r="G186" s="51" t="s">
        <v>1154</v>
      </c>
      <c r="H186" s="63" t="s">
        <v>783</v>
      </c>
      <c r="I186" s="51" t="s">
        <v>1155</v>
      </c>
    </row>
    <row r="187">
      <c r="A187" s="54">
        <f>ROW()-ROW(Table_Unchain_Conditions[N])</f>
        <v>22</v>
      </c>
      <c r="B187" s="54" t="s">
        <v>1156</v>
      </c>
      <c r="C187" s="62" t="b">
        <v>0</v>
      </c>
      <c r="D187" s="62" t="b">
        <v>0</v>
      </c>
      <c r="E187" s="62" t="b">
        <v>0</v>
      </c>
      <c r="F187" s="63" t="s">
        <v>730</v>
      </c>
      <c r="G187" s="51" t="s">
        <v>1157</v>
      </c>
      <c r="H187" s="63" t="s">
        <v>731</v>
      </c>
      <c r="I187" s="51" t="s">
        <v>1158</v>
      </c>
    </row>
    <row r="188">
      <c r="A188" s="54">
        <f>ROW()-ROW(Table_Unchain_Conditions[N])</f>
        <v>23</v>
      </c>
      <c r="B188" s="54" t="s">
        <v>1159</v>
      </c>
      <c r="C188" s="62" t="b">
        <v>0</v>
      </c>
      <c r="D188" s="62" t="b">
        <v>0</v>
      </c>
      <c r="E188" s="62" t="b">
        <v>0</v>
      </c>
      <c r="F188" s="63" t="s">
        <v>730</v>
      </c>
      <c r="G188" s="51" t="s">
        <v>730</v>
      </c>
      <c r="H188" s="63" t="s">
        <v>783</v>
      </c>
      <c r="I188" s="51" t="s">
        <v>1160</v>
      </c>
    </row>
    <row r="189">
      <c r="A189" s="54">
        <f>ROW()-ROW(Table_Unchain_Conditions[N])</f>
        <v>24</v>
      </c>
      <c r="B189" s="54" t="s">
        <v>1161</v>
      </c>
      <c r="C189" s="62" t="b">
        <v>1</v>
      </c>
      <c r="D189" s="62" t="b">
        <v>0</v>
      </c>
      <c r="E189" s="62" t="b">
        <v>0</v>
      </c>
      <c r="F189" s="63" t="s">
        <v>730</v>
      </c>
      <c r="G189" s="51" t="s">
        <v>730</v>
      </c>
      <c r="H189" s="63" t="s">
        <v>783</v>
      </c>
      <c r="I189" s="51" t="s">
        <v>1162</v>
      </c>
    </row>
    <row r="190">
      <c r="A190" s="54">
        <f>ROW()-ROW(Table_Unchain_Conditions[N])</f>
        <v>25</v>
      </c>
      <c r="B190" s="54" t="s">
        <v>1163</v>
      </c>
      <c r="C190" s="62" t="b">
        <v>1</v>
      </c>
      <c r="D190" s="62" t="b">
        <v>0</v>
      </c>
      <c r="E190" s="62" t="b">
        <v>0</v>
      </c>
      <c r="F190" s="63" t="s">
        <v>730</v>
      </c>
      <c r="G190" s="51" t="s">
        <v>1136</v>
      </c>
      <c r="H190" s="63" t="s">
        <v>783</v>
      </c>
      <c r="I190" s="51" t="s">
        <v>1164</v>
      </c>
    </row>
    <row r="191">
      <c r="A191" s="54">
        <f>ROW()-ROW(Table_Unchain_Conditions[N])</f>
        <v>26</v>
      </c>
      <c r="B191" s="54" t="s">
        <v>1165</v>
      </c>
      <c r="C191" s="62" t="b">
        <v>0</v>
      </c>
      <c r="D191" s="62" t="b">
        <v>0</v>
      </c>
      <c r="E191" s="62" t="b">
        <v>0</v>
      </c>
      <c r="F191" s="63" t="s">
        <v>730</v>
      </c>
      <c r="G191" s="51" t="s">
        <v>865</v>
      </c>
      <c r="H191" s="63" t="s">
        <v>783</v>
      </c>
      <c r="I191" s="51" t="s">
        <v>1166</v>
      </c>
    </row>
    <row r="192">
      <c r="A192" s="54">
        <f>ROW()-ROW(Table_Unchain_Conditions[N])</f>
        <v>27</v>
      </c>
      <c r="B192" s="54" t="s">
        <v>1167</v>
      </c>
      <c r="C192" s="62" t="b">
        <v>0</v>
      </c>
      <c r="D192" s="62" t="b">
        <v>0</v>
      </c>
      <c r="E192" s="62" t="b">
        <v>0</v>
      </c>
      <c r="F192" s="63" t="s">
        <v>730</v>
      </c>
      <c r="G192" s="51" t="s">
        <v>1168</v>
      </c>
      <c r="H192" s="63" t="s">
        <v>783</v>
      </c>
      <c r="I192" s="51" t="s">
        <v>1169</v>
      </c>
    </row>
    <row r="193">
      <c r="A193" s="54">
        <f>ROW()-ROW(Table_Unchain_Conditions[N])</f>
        <v>28</v>
      </c>
      <c r="B193" s="54" t="s">
        <v>1170</v>
      </c>
      <c r="C193" s="62" t="b">
        <v>0</v>
      </c>
      <c r="D193" s="62" t="b">
        <v>0</v>
      </c>
      <c r="E193" s="62" t="b">
        <v>0</v>
      </c>
      <c r="F193" s="63" t="s">
        <v>730</v>
      </c>
      <c r="G193" s="51" t="s">
        <v>730</v>
      </c>
      <c r="H193" s="63" t="s">
        <v>777</v>
      </c>
      <c r="I193" s="51" t="s">
        <v>1171</v>
      </c>
    </row>
    <row r="194">
      <c r="A194" s="54">
        <f>ROW()-ROW(Table_Unchain_Conditions[N])</f>
        <v>29</v>
      </c>
      <c r="B194" s="54" t="s">
        <v>1172</v>
      </c>
      <c r="C194" s="62" t="b">
        <v>0</v>
      </c>
      <c r="D194" s="62" t="b">
        <v>0</v>
      </c>
      <c r="E194" s="62" t="b">
        <v>0</v>
      </c>
      <c r="F194" s="63" t="s">
        <v>730</v>
      </c>
      <c r="G194" s="51" t="s">
        <v>730</v>
      </c>
      <c r="H194" s="63" t="s">
        <v>783</v>
      </c>
      <c r="I194" s="51" t="s">
        <v>1173</v>
      </c>
    </row>
    <row r="195">
      <c r="A195" s="54">
        <f>ROW()-ROW(Table_Unchain_Conditions[N])</f>
        <v>30</v>
      </c>
      <c r="B195" s="54" t="s">
        <v>1174</v>
      </c>
      <c r="C195" s="62" t="b">
        <v>0</v>
      </c>
      <c r="D195" s="62" t="b">
        <v>0</v>
      </c>
      <c r="E195" s="62" t="b">
        <v>0</v>
      </c>
      <c r="F195" s="63" t="s">
        <v>730</v>
      </c>
      <c r="G195" s="51" t="s">
        <v>1175</v>
      </c>
      <c r="H195" s="63" t="s">
        <v>731</v>
      </c>
      <c r="I195" s="51" t="s">
        <v>1176</v>
      </c>
    </row>
    <row r="196">
      <c r="A196" s="54">
        <f>ROW()-ROW(Table_Unchain_Conditions[N])</f>
        <v>31</v>
      </c>
      <c r="B196" s="54" t="s">
        <v>1177</v>
      </c>
      <c r="C196" s="62" t="b">
        <v>0</v>
      </c>
      <c r="D196" s="62" t="b">
        <v>1</v>
      </c>
      <c r="E196" s="62" t="b">
        <v>0</v>
      </c>
      <c r="F196" s="63" t="s">
        <v>730</v>
      </c>
      <c r="G196" s="51" t="s">
        <v>1178</v>
      </c>
      <c r="H196" s="63" t="s">
        <v>731</v>
      </c>
      <c r="I196" s="51" t="s">
        <v>1179</v>
      </c>
    </row>
    <row r="197">
      <c r="A197" s="54">
        <f>ROW()-ROW(Table_Unchain_Conditions[N])</f>
        <v>32</v>
      </c>
      <c r="B197" s="54" t="s">
        <v>1180</v>
      </c>
      <c r="C197" s="62" t="b">
        <v>1</v>
      </c>
      <c r="D197" s="62" t="b">
        <v>0</v>
      </c>
      <c r="E197" s="62" t="b">
        <v>0</v>
      </c>
      <c r="F197" s="63" t="s">
        <v>1181</v>
      </c>
      <c r="G197" s="51" t="s">
        <v>1182</v>
      </c>
      <c r="H197" s="63" t="s">
        <v>731</v>
      </c>
      <c r="I197" s="51" t="s">
        <v>1183</v>
      </c>
    </row>
    <row r="198">
      <c r="A198" s="54">
        <f>ROW()-ROW(Table_Unchain_Conditions[N])</f>
        <v>33</v>
      </c>
      <c r="B198" s="54" t="s">
        <v>1184</v>
      </c>
      <c r="C198" s="62" t="b">
        <v>0</v>
      </c>
      <c r="D198" s="62" t="b">
        <v>0</v>
      </c>
      <c r="E198" s="62" t="b">
        <v>0</v>
      </c>
      <c r="F198" s="63" t="s">
        <v>730</v>
      </c>
      <c r="G198" s="51" t="s">
        <v>1185</v>
      </c>
      <c r="H198" s="63" t="s">
        <v>731</v>
      </c>
      <c r="I198" s="51" t="s">
        <v>1186</v>
      </c>
    </row>
    <row r="199">
      <c r="A199" s="54">
        <f>ROW()-ROW(Table_Unchain_Conditions[N])</f>
        <v>34</v>
      </c>
      <c r="B199" s="54" t="s">
        <v>1187</v>
      </c>
      <c r="C199" s="62" t="b">
        <v>1</v>
      </c>
      <c r="D199" s="62" t="b">
        <v>0</v>
      </c>
      <c r="E199" s="62" t="b">
        <v>0</v>
      </c>
      <c r="F199" s="63" t="s">
        <v>730</v>
      </c>
      <c r="G199" s="51" t="s">
        <v>730</v>
      </c>
      <c r="H199" s="63" t="s">
        <v>731</v>
      </c>
      <c r="I199" s="51" t="s">
        <v>931</v>
      </c>
    </row>
    <row r="200">
      <c r="A200" s="54">
        <f>ROW()-ROW(Table_Unchain_Conditions[N])</f>
        <v>35</v>
      </c>
      <c r="B200" s="54" t="s">
        <v>1188</v>
      </c>
      <c r="C200" s="62" t="b">
        <v>1</v>
      </c>
      <c r="D200" s="62" t="b">
        <v>0</v>
      </c>
      <c r="E200" s="62" t="b">
        <v>0</v>
      </c>
      <c r="F200" s="63" t="s">
        <v>1189</v>
      </c>
      <c r="G200" s="54" t="s">
        <v>1190</v>
      </c>
      <c r="H200" s="63" t="s">
        <v>731</v>
      </c>
      <c r="I200" s="51" t="s">
        <v>1191</v>
      </c>
    </row>
    <row r="201">
      <c r="A201" s="54">
        <f>ROW()-ROW(Table_Unchain_Conditions[N])</f>
        <v>36</v>
      </c>
      <c r="B201" s="54" t="s">
        <v>1192</v>
      </c>
      <c r="C201" s="62" t="b">
        <v>1</v>
      </c>
      <c r="D201" s="62" t="b">
        <v>0</v>
      </c>
      <c r="E201" s="62" t="b">
        <v>0</v>
      </c>
      <c r="F201" s="63" t="s">
        <v>730</v>
      </c>
      <c r="G201" s="51" t="s">
        <v>933</v>
      </c>
      <c r="H201" s="63" t="s">
        <v>731</v>
      </c>
      <c r="I201" s="51" t="s">
        <v>1193</v>
      </c>
    </row>
    <row r="202">
      <c r="A202" s="54">
        <f>ROW()-ROW(Table_Unchain_Conditions[N])</f>
        <v>37</v>
      </c>
      <c r="B202" s="54" t="s">
        <v>1194</v>
      </c>
      <c r="C202" s="62" t="b">
        <v>1</v>
      </c>
      <c r="D202" s="62" t="b">
        <v>0</v>
      </c>
      <c r="E202" s="62" t="b">
        <v>0</v>
      </c>
      <c r="F202" s="63" t="s">
        <v>730</v>
      </c>
      <c r="G202" s="51" t="s">
        <v>730</v>
      </c>
      <c r="H202" s="63" t="s">
        <v>731</v>
      </c>
      <c r="I202" s="51" t="s">
        <v>1195</v>
      </c>
    </row>
    <row r="203">
      <c r="A203" s="54">
        <f>ROW()-ROW(Table_Unchain_Conditions[N])</f>
        <v>38</v>
      </c>
      <c r="B203" s="54" t="s">
        <v>1196</v>
      </c>
      <c r="C203" s="62" t="b">
        <v>1</v>
      </c>
      <c r="D203" s="62" t="b">
        <v>0</v>
      </c>
      <c r="E203" s="62" t="b">
        <v>0</v>
      </c>
      <c r="F203" s="63" t="s">
        <v>730</v>
      </c>
      <c r="G203" s="51" t="s">
        <v>730</v>
      </c>
      <c r="H203" s="63" t="s">
        <v>731</v>
      </c>
      <c r="I203" s="51" t="s">
        <v>1197</v>
      </c>
    </row>
    <row r="204">
      <c r="A204" s="54">
        <f>ROW()-ROW(Table_Unchain_Conditions[N])</f>
        <v>39</v>
      </c>
      <c r="B204" s="54" t="s">
        <v>1198</v>
      </c>
      <c r="C204" s="62" t="b">
        <v>1</v>
      </c>
      <c r="D204" s="62" t="b">
        <v>0</v>
      </c>
      <c r="E204" s="62" t="b">
        <v>0</v>
      </c>
      <c r="F204" s="63" t="s">
        <v>730</v>
      </c>
      <c r="G204" s="51" t="s">
        <v>1199</v>
      </c>
      <c r="H204" s="63" t="s">
        <v>731</v>
      </c>
      <c r="I204" s="51" t="s">
        <v>1200</v>
      </c>
    </row>
    <row r="205">
      <c r="A205" s="54">
        <f>ROW()-ROW(Table_Unchain_Conditions[N])</f>
        <v>40</v>
      </c>
      <c r="B205" s="54" t="s">
        <v>1201</v>
      </c>
      <c r="C205" s="62" t="b">
        <v>1</v>
      </c>
      <c r="D205" s="62" t="b">
        <v>0</v>
      </c>
      <c r="E205" s="62" t="b">
        <v>0</v>
      </c>
      <c r="F205" s="63" t="s">
        <v>730</v>
      </c>
      <c r="G205" s="51" t="s">
        <v>730</v>
      </c>
      <c r="H205" s="63" t="s">
        <v>731</v>
      </c>
      <c r="I205" s="51" t="s">
        <v>1202</v>
      </c>
    </row>
    <row r="206">
      <c r="A206" s="54">
        <f>ROW()-ROW(Table_Unchain_Conditions[N])</f>
        <v>41</v>
      </c>
      <c r="B206" s="54" t="s">
        <v>1203</v>
      </c>
      <c r="C206" s="62" t="b">
        <v>1</v>
      </c>
      <c r="D206" s="62" t="b">
        <v>0</v>
      </c>
      <c r="E206" s="62" t="b">
        <v>0</v>
      </c>
      <c r="F206" s="63" t="s">
        <v>730</v>
      </c>
      <c r="G206" s="51" t="s">
        <v>730</v>
      </c>
      <c r="H206" s="63" t="s">
        <v>731</v>
      </c>
      <c r="I206" s="51" t="s">
        <v>1204</v>
      </c>
    </row>
    <row r="207">
      <c r="A207" s="54">
        <f>ROW()-ROW(Table_Unchain_Conditions[N])</f>
        <v>42</v>
      </c>
      <c r="B207" s="54" t="s">
        <v>1205</v>
      </c>
      <c r="C207" s="62" t="b">
        <v>0</v>
      </c>
      <c r="D207" s="62" t="b">
        <v>0</v>
      </c>
      <c r="E207" s="62" t="b">
        <v>0</v>
      </c>
      <c r="F207" s="63" t="s">
        <v>730</v>
      </c>
      <c r="G207" s="51" t="s">
        <v>1206</v>
      </c>
      <c r="H207" s="63" t="s">
        <v>731</v>
      </c>
      <c r="I207" s="51" t="s">
        <v>1207</v>
      </c>
    </row>
    <row r="208">
      <c r="A208" s="54">
        <f>ROW()-ROW(Table_Unchain_Conditions[N])</f>
        <v>43</v>
      </c>
      <c r="B208" s="54" t="s">
        <v>1208</v>
      </c>
      <c r="C208" s="62" t="b">
        <v>0</v>
      </c>
      <c r="D208" s="62" t="b">
        <v>0</v>
      </c>
      <c r="E208" s="62" t="b">
        <v>0</v>
      </c>
      <c r="F208" s="63" t="s">
        <v>730</v>
      </c>
      <c r="G208" s="51" t="s">
        <v>1209</v>
      </c>
      <c r="H208" s="63" t="s">
        <v>731</v>
      </c>
      <c r="I208" s="51" t="s">
        <v>1210</v>
      </c>
    </row>
    <row r="209">
      <c r="A209" s="54">
        <f>ROW()-ROW(Table_Unchain_Conditions[N])</f>
        <v>44</v>
      </c>
      <c r="B209" s="54" t="s">
        <v>1211</v>
      </c>
      <c r="C209" s="62" t="b">
        <v>1</v>
      </c>
      <c r="D209" s="62" t="b">
        <v>0</v>
      </c>
      <c r="E209" s="62" t="b">
        <v>0</v>
      </c>
      <c r="F209" s="63" t="s">
        <v>1212</v>
      </c>
      <c r="G209" s="51" t="s">
        <v>1213</v>
      </c>
      <c r="H209" s="63" t="s">
        <v>731</v>
      </c>
      <c r="I209" s="51" t="s">
        <v>1214</v>
      </c>
    </row>
    <row r="210">
      <c r="A210" s="54">
        <f>ROW()-ROW(Table_Unchain_Conditions[N])</f>
        <v>45</v>
      </c>
      <c r="B210" s="54" t="s">
        <v>1215</v>
      </c>
      <c r="C210" s="62" t="b">
        <v>1</v>
      </c>
      <c r="D210" s="62" t="b">
        <v>0</v>
      </c>
      <c r="E210" s="62" t="b">
        <v>0</v>
      </c>
      <c r="F210" s="63" t="s">
        <v>730</v>
      </c>
      <c r="G210" s="51" t="s">
        <v>730</v>
      </c>
      <c r="H210" s="63" t="s">
        <v>731</v>
      </c>
      <c r="I210" s="51" t="s">
        <v>1216</v>
      </c>
    </row>
    <row r="211">
      <c r="A211" s="54">
        <f>ROW()-ROW(Table_Unchain_Conditions[N])</f>
        <v>46</v>
      </c>
      <c r="B211" s="54" t="s">
        <v>1217</v>
      </c>
      <c r="C211" s="62" t="b">
        <v>1</v>
      </c>
      <c r="D211" s="62" t="b">
        <v>0</v>
      </c>
      <c r="E211" s="62" t="b">
        <v>0</v>
      </c>
      <c r="F211" s="63" t="s">
        <v>730</v>
      </c>
      <c r="G211" s="51" t="s">
        <v>1124</v>
      </c>
      <c r="H211" s="63" t="s">
        <v>777</v>
      </c>
      <c r="I211" s="51" t="s">
        <v>1218</v>
      </c>
    </row>
    <row r="212">
      <c r="A212" s="54">
        <f>ROW()-ROW(Table_Unchain_Conditions[N])</f>
        <v>47</v>
      </c>
      <c r="B212" s="54" t="s">
        <v>1219</v>
      </c>
      <c r="C212" s="62" t="b">
        <v>0</v>
      </c>
      <c r="D212" s="62" t="b">
        <v>0</v>
      </c>
      <c r="E212" s="62" t="b">
        <v>0</v>
      </c>
      <c r="F212" s="63" t="s">
        <v>730</v>
      </c>
      <c r="G212" s="51" t="s">
        <v>974</v>
      </c>
      <c r="H212" s="63" t="s">
        <v>731</v>
      </c>
      <c r="I212" s="51" t="s">
        <v>1220</v>
      </c>
    </row>
    <row r="213">
      <c r="A213" s="54">
        <f>ROW()-ROW(Table_Unchain_Conditions[N])</f>
        <v>48</v>
      </c>
      <c r="B213" s="54" t="s">
        <v>1221</v>
      </c>
      <c r="C213" s="62" t="b">
        <v>0</v>
      </c>
      <c r="D213" s="62" t="b">
        <v>0</v>
      </c>
      <c r="E213" s="62" t="b">
        <v>0</v>
      </c>
      <c r="F213" s="63" t="s">
        <v>730</v>
      </c>
      <c r="G213" s="51" t="s">
        <v>977</v>
      </c>
      <c r="H213" s="63" t="s">
        <v>731</v>
      </c>
      <c r="I213" s="51" t="s">
        <v>1222</v>
      </c>
    </row>
    <row r="214">
      <c r="A214" s="54">
        <f>ROW()-ROW(Table_Unchain_Conditions[N])</f>
        <v>49</v>
      </c>
      <c r="B214" s="54" t="s">
        <v>1223</v>
      </c>
      <c r="C214" s="62" t="b">
        <v>0</v>
      </c>
      <c r="D214" s="62" t="b">
        <v>0</v>
      </c>
      <c r="E214" s="62" t="b">
        <v>0</v>
      </c>
      <c r="F214" s="63" t="s">
        <v>730</v>
      </c>
      <c r="G214" s="51" t="s">
        <v>982</v>
      </c>
      <c r="H214" s="63" t="s">
        <v>777</v>
      </c>
      <c r="I214" s="51" t="s">
        <v>1224</v>
      </c>
    </row>
    <row r="215">
      <c r="A215" s="54">
        <f>ROW()-ROW(Table_Unchain_Conditions[N])</f>
        <v>50</v>
      </c>
      <c r="B215" s="54" t="s">
        <v>1225</v>
      </c>
      <c r="C215" s="62" t="b">
        <v>0</v>
      </c>
      <c r="D215" s="62" t="b">
        <v>0</v>
      </c>
      <c r="E215" s="62" t="b">
        <v>0</v>
      </c>
      <c r="F215" s="63" t="s">
        <v>730</v>
      </c>
      <c r="G215" s="51" t="s">
        <v>1226</v>
      </c>
      <c r="H215" s="63" t="s">
        <v>777</v>
      </c>
      <c r="I215" s="51" t="s">
        <v>1227</v>
      </c>
    </row>
    <row r="216">
      <c r="A216" s="54">
        <f>ROW()-ROW(Table_Unchain_Conditions[N])</f>
        <v>51</v>
      </c>
      <c r="B216" s="54" t="s">
        <v>1228</v>
      </c>
      <c r="C216" s="62" t="b">
        <v>0</v>
      </c>
      <c r="D216" s="62" t="b">
        <v>0</v>
      </c>
      <c r="E216" s="62" t="b">
        <v>0</v>
      </c>
      <c r="F216" s="63" t="s">
        <v>730</v>
      </c>
      <c r="G216" s="51" t="s">
        <v>1229</v>
      </c>
      <c r="H216" s="63" t="s">
        <v>731</v>
      </c>
      <c r="I216" s="51" t="s">
        <v>1230</v>
      </c>
    </row>
    <row r="217">
      <c r="A217" s="54">
        <f>ROW()-ROW(Table_Unchain_Conditions[N])</f>
        <v>52</v>
      </c>
      <c r="B217" s="54" t="s">
        <v>1231</v>
      </c>
      <c r="C217" s="62" t="b">
        <v>0</v>
      </c>
      <c r="D217" s="62" t="b">
        <v>0</v>
      </c>
      <c r="E217" s="62" t="b">
        <v>0</v>
      </c>
      <c r="F217" s="63" t="s">
        <v>730</v>
      </c>
      <c r="G217" s="51" t="s">
        <v>1232</v>
      </c>
      <c r="H217" s="63" t="s">
        <v>731</v>
      </c>
      <c r="I217" s="51" t="s">
        <v>1233</v>
      </c>
    </row>
    <row r="218">
      <c r="A218" s="54">
        <f>ROW()-ROW(Table_Unchain_Conditions[N])</f>
        <v>53</v>
      </c>
      <c r="B218" s="54" t="s">
        <v>1234</v>
      </c>
      <c r="C218" s="62" t="b">
        <v>1</v>
      </c>
      <c r="D218" s="62" t="b">
        <v>0</v>
      </c>
      <c r="E218" s="62" t="b">
        <v>0</v>
      </c>
      <c r="F218" s="63" t="s">
        <v>730</v>
      </c>
      <c r="G218" s="51" t="s">
        <v>1235</v>
      </c>
      <c r="H218" s="63" t="s">
        <v>731</v>
      </c>
      <c r="I218" s="51" t="s">
        <v>1236</v>
      </c>
    </row>
    <row r="219">
      <c r="A219" s="54">
        <f>ROW()-ROW(Table_Unchain_Conditions[N])</f>
        <v>54</v>
      </c>
      <c r="B219" s="54" t="s">
        <v>1237</v>
      </c>
      <c r="C219" s="62" t="b">
        <v>1</v>
      </c>
      <c r="D219" s="62" t="b">
        <v>0</v>
      </c>
      <c r="E219" s="62" t="b">
        <v>0</v>
      </c>
      <c r="F219" s="63" t="s">
        <v>730</v>
      </c>
      <c r="G219" s="51" t="s">
        <v>1238</v>
      </c>
      <c r="H219" s="63" t="s">
        <v>731</v>
      </c>
      <c r="I219" s="51" t="s">
        <v>1239</v>
      </c>
    </row>
    <row r="220">
      <c r="A220" s="54">
        <f>ROW()-ROW(Table_Unchain_Conditions[N])</f>
        <v>55</v>
      </c>
      <c r="B220" s="54" t="s">
        <v>1240</v>
      </c>
      <c r="C220" s="62" t="b">
        <v>0</v>
      </c>
      <c r="D220" s="62" t="b">
        <v>0</v>
      </c>
      <c r="E220" s="62" t="b">
        <v>0</v>
      </c>
      <c r="F220" s="63" t="s">
        <v>730</v>
      </c>
      <c r="G220" s="51" t="s">
        <v>1238</v>
      </c>
      <c r="H220" s="63" t="s">
        <v>731</v>
      </c>
      <c r="I220" s="51" t="s">
        <v>1241</v>
      </c>
    </row>
    <row r="221">
      <c r="A221" s="54">
        <f>ROW()-ROW(Table_Unchain_Conditions[N])</f>
        <v>56</v>
      </c>
      <c r="B221" s="54" t="s">
        <v>1242</v>
      </c>
      <c r="C221" s="62" t="b">
        <v>1</v>
      </c>
      <c r="D221" s="62" t="b">
        <v>0</v>
      </c>
      <c r="E221" s="62" t="b">
        <v>0</v>
      </c>
      <c r="F221" s="63" t="s">
        <v>730</v>
      </c>
      <c r="G221" s="51" t="s">
        <v>1232</v>
      </c>
      <c r="H221" s="63" t="s">
        <v>731</v>
      </c>
      <c r="I221" s="51" t="s">
        <v>1243</v>
      </c>
    </row>
    <row r="222">
      <c r="A222" s="54">
        <f>ROW()-ROW(Table_Unchain_Conditions[N])</f>
        <v>57</v>
      </c>
      <c r="B222" s="54" t="s">
        <v>1244</v>
      </c>
      <c r="C222" s="62" t="b">
        <v>1</v>
      </c>
      <c r="D222" s="62" t="b">
        <v>0</v>
      </c>
      <c r="E222" s="62" t="b">
        <v>0</v>
      </c>
      <c r="F222" s="63" t="s">
        <v>730</v>
      </c>
      <c r="G222" s="51" t="s">
        <v>730</v>
      </c>
      <c r="H222" s="63" t="s">
        <v>731</v>
      </c>
      <c r="I222" s="51" t="s">
        <v>1245</v>
      </c>
    </row>
    <row r="223">
      <c r="A223" s="54">
        <f>ROW()-ROW(Table_Unchain_Conditions[N])</f>
        <v>58</v>
      </c>
      <c r="B223" s="54" t="s">
        <v>1246</v>
      </c>
      <c r="C223" s="62" t="b">
        <v>1</v>
      </c>
      <c r="D223" s="62" t="b">
        <v>0</v>
      </c>
      <c r="E223" s="62" t="b">
        <v>0</v>
      </c>
      <c r="F223" s="63" t="s">
        <v>730</v>
      </c>
      <c r="G223" s="51" t="s">
        <v>730</v>
      </c>
      <c r="H223" s="63" t="s">
        <v>731</v>
      </c>
      <c r="I223" s="51" t="s">
        <v>1247</v>
      </c>
    </row>
    <row r="224">
      <c r="A224" s="54">
        <f>ROW()-ROW(Table_Unchain_Conditions[N])</f>
        <v>59</v>
      </c>
      <c r="B224" s="54" t="s">
        <v>1248</v>
      </c>
      <c r="C224" s="62" t="b">
        <v>0</v>
      </c>
      <c r="D224" s="62" t="b">
        <v>0</v>
      </c>
      <c r="E224" s="62" t="b">
        <v>0</v>
      </c>
      <c r="F224" s="63" t="s">
        <v>730</v>
      </c>
      <c r="G224" s="51" t="s">
        <v>1249</v>
      </c>
      <c r="H224" s="63" t="s">
        <v>731</v>
      </c>
      <c r="I224" s="51" t="s">
        <v>1250</v>
      </c>
    </row>
    <row r="225">
      <c r="A225" s="54">
        <f>ROW()-ROW(Table_Unchain_Conditions[N])</f>
        <v>60</v>
      </c>
      <c r="B225" s="54" t="s">
        <v>1251</v>
      </c>
      <c r="C225" s="62" t="b">
        <v>1</v>
      </c>
      <c r="D225" s="62" t="b">
        <v>0</v>
      </c>
      <c r="E225" s="62" t="b">
        <v>0</v>
      </c>
      <c r="F225" s="63" t="s">
        <v>730</v>
      </c>
      <c r="G225" s="51" t="s">
        <v>1249</v>
      </c>
      <c r="H225" s="63" t="s">
        <v>731</v>
      </c>
      <c r="I225" s="51" t="s">
        <v>1252</v>
      </c>
    </row>
    <row r="226">
      <c r="A226" s="54">
        <f>ROW()-ROW(Table_Unchain_Conditions[N])</f>
        <v>61</v>
      </c>
      <c r="B226" s="54" t="s">
        <v>1253</v>
      </c>
      <c r="C226" s="62" t="b">
        <v>1</v>
      </c>
      <c r="D226" s="62" t="b">
        <v>0</v>
      </c>
      <c r="E226" s="62" t="b">
        <v>0</v>
      </c>
      <c r="F226" s="63" t="s">
        <v>730</v>
      </c>
      <c r="G226" s="51" t="s">
        <v>730</v>
      </c>
      <c r="H226" s="63" t="s">
        <v>731</v>
      </c>
      <c r="I226" s="51" t="s">
        <v>1254</v>
      </c>
    </row>
    <row r="227">
      <c r="A227" s="54">
        <f>ROW()-ROW(Table_Unchain_Conditions[N])</f>
        <v>62</v>
      </c>
      <c r="B227" s="54" t="s">
        <v>1255</v>
      </c>
      <c r="C227" s="62" t="b">
        <v>1</v>
      </c>
      <c r="D227" s="62" t="b">
        <v>0</v>
      </c>
      <c r="E227" s="62" t="b">
        <v>0</v>
      </c>
      <c r="F227" s="63" t="s">
        <v>730</v>
      </c>
      <c r="G227" s="51" t="s">
        <v>730</v>
      </c>
      <c r="H227" s="63" t="s">
        <v>731</v>
      </c>
      <c r="I227" s="51" t="s">
        <v>1256</v>
      </c>
    </row>
    <row r="228">
      <c r="A228" s="54">
        <f>ROW()-ROW(Table_Unchain_Conditions[N])</f>
        <v>63</v>
      </c>
      <c r="B228" s="54" t="s">
        <v>1257</v>
      </c>
      <c r="C228" s="62" t="b">
        <v>1</v>
      </c>
      <c r="D228" s="62" t="b">
        <v>0</v>
      </c>
      <c r="E228" s="62" t="b">
        <v>0</v>
      </c>
      <c r="F228" s="63" t="s">
        <v>730</v>
      </c>
      <c r="G228" s="51" t="s">
        <v>1258</v>
      </c>
      <c r="H228" s="63" t="s">
        <v>777</v>
      </c>
      <c r="I228" s="51" t="s">
        <v>1259</v>
      </c>
    </row>
    <row r="229">
      <c r="A229" s="54">
        <f>ROW()-ROW(Table_Unchain_Conditions[N])</f>
        <v>64</v>
      </c>
      <c r="B229" s="54" t="s">
        <v>1260</v>
      </c>
      <c r="C229" s="62" t="b">
        <v>1</v>
      </c>
      <c r="D229" s="62" t="b">
        <v>0</v>
      </c>
      <c r="E229" s="62" t="b">
        <v>0</v>
      </c>
      <c r="F229" s="63" t="s">
        <v>730</v>
      </c>
      <c r="G229" s="51" t="s">
        <v>730</v>
      </c>
      <c r="H229" s="63" t="s">
        <v>783</v>
      </c>
      <c r="I229" s="51" t="s">
        <v>1261</v>
      </c>
    </row>
    <row r="230">
      <c r="A230" s="54">
        <f>ROW()-ROW(Table_Unchain_Conditions[N])</f>
        <v>65</v>
      </c>
      <c r="B230" s="54" t="s">
        <v>1262</v>
      </c>
      <c r="C230" s="62" t="b">
        <v>1</v>
      </c>
      <c r="D230" s="62" t="b">
        <v>0</v>
      </c>
      <c r="E230" s="62" t="b">
        <v>0</v>
      </c>
      <c r="F230" s="63" t="s">
        <v>730</v>
      </c>
      <c r="G230" s="51" t="s">
        <v>730</v>
      </c>
      <c r="H230" s="63" t="s">
        <v>777</v>
      </c>
      <c r="I230" s="51" t="s">
        <v>1263</v>
      </c>
    </row>
    <row r="231">
      <c r="A231" s="54">
        <f>ROW()-ROW(Table_Unchain_Conditions[N])</f>
        <v>66</v>
      </c>
      <c r="B231" s="54" t="s">
        <v>1264</v>
      </c>
      <c r="C231" s="62" t="b">
        <v>1</v>
      </c>
      <c r="D231" s="62" t="b">
        <v>0</v>
      </c>
      <c r="E231" s="62" t="b">
        <v>0</v>
      </c>
      <c r="F231" s="63" t="s">
        <v>730</v>
      </c>
      <c r="G231" s="51" t="s">
        <v>730</v>
      </c>
      <c r="H231" s="63" t="s">
        <v>777</v>
      </c>
      <c r="I231" s="51" t="s">
        <v>1265</v>
      </c>
    </row>
    <row r="232">
      <c r="A232" s="54">
        <f>ROW()-ROW(Table_Unchain_Conditions[N])</f>
        <v>67</v>
      </c>
      <c r="B232" s="54" t="s">
        <v>1266</v>
      </c>
      <c r="C232" s="62" t="b">
        <v>1</v>
      </c>
      <c r="D232" s="62" t="b">
        <v>0</v>
      </c>
      <c r="E232" s="62" t="b">
        <v>0</v>
      </c>
      <c r="F232" s="63" t="s">
        <v>730</v>
      </c>
      <c r="G232" s="51" t="s">
        <v>730</v>
      </c>
      <c r="H232" s="63" t="s">
        <v>731</v>
      </c>
      <c r="I232" s="51" t="s">
        <v>1267</v>
      </c>
    </row>
    <row r="233">
      <c r="A233" s="54">
        <f>ROW()-ROW(Table_Unchain_Conditions[N])</f>
        <v>68</v>
      </c>
      <c r="B233" s="54" t="s">
        <v>1268</v>
      </c>
      <c r="C233" s="62" t="b">
        <v>0</v>
      </c>
      <c r="D233" s="62" t="b">
        <v>0</v>
      </c>
      <c r="E233" s="62" t="b">
        <v>0</v>
      </c>
      <c r="F233" s="63" t="s">
        <v>730</v>
      </c>
      <c r="G233" s="51" t="s">
        <v>730</v>
      </c>
      <c r="H233" s="63" t="s">
        <v>731</v>
      </c>
      <c r="I233" s="51" t="s">
        <v>734</v>
      </c>
    </row>
    <row r="235">
      <c r="A235" s="1" t="s">
        <v>49</v>
      </c>
      <c r="B235" s="1" t="s">
        <v>1269</v>
      </c>
      <c r="C235" s="2" t="s">
        <v>1270</v>
      </c>
      <c r="D235" s="1" t="s">
        <v>1271</v>
      </c>
      <c r="E235" s="64" t="s">
        <v>1272</v>
      </c>
      <c r="F235" s="64" t="s">
        <v>1273</v>
      </c>
      <c r="G235" s="64" t="s">
        <v>1274</v>
      </c>
      <c r="H235" s="64" t="s">
        <v>1275</v>
      </c>
      <c r="I235" s="64" t="s">
        <v>1276</v>
      </c>
      <c r="J235" s="64" t="s">
        <v>1277</v>
      </c>
      <c r="K235" s="64" t="s">
        <v>1278</v>
      </c>
      <c r="L235" s="64" t="s">
        <v>1279</v>
      </c>
      <c r="M235" s="64" t="s">
        <v>1280</v>
      </c>
      <c r="N235" s="64" t="s">
        <v>1281</v>
      </c>
      <c r="O235" s="64" t="s">
        <v>1282</v>
      </c>
      <c r="P235" s="64" t="s">
        <v>1283</v>
      </c>
      <c r="Q235" s="64" t="s">
        <v>1284</v>
      </c>
      <c r="R235" s="64" t="s">
        <v>1285</v>
      </c>
      <c r="S235" s="64" t="s">
        <v>1286</v>
      </c>
      <c r="T235" s="64" t="s">
        <v>1287</v>
      </c>
      <c r="U235" s="64" t="s">
        <v>1288</v>
      </c>
      <c r="V235" s="64" t="s">
        <v>1289</v>
      </c>
      <c r="W235" s="64" t="s">
        <v>1290</v>
      </c>
      <c r="X235" s="64" t="s">
        <v>1291</v>
      </c>
      <c r="Y235" s="64" t="s">
        <v>1292</v>
      </c>
    </row>
    <row r="236">
      <c r="A236" s="65">
        <f>ROW()-ROW(Table_Actions[N])</f>
        <v>0</v>
      </c>
      <c r="B236" s="54" t="s">
        <v>734</v>
      </c>
      <c r="C236" s="62" t="b">
        <v>0</v>
      </c>
      <c r="D236" s="63" t="s">
        <v>1293</v>
      </c>
      <c r="E236" s="63" t="s">
        <v>361</v>
      </c>
      <c r="F236" s="63" t="s">
        <v>364</v>
      </c>
      <c r="G236" s="63" t="s">
        <v>732</v>
      </c>
      <c r="H236" s="63" t="s">
        <v>1294</v>
      </c>
      <c r="I236" s="66" t="s">
        <v>730</v>
      </c>
      <c r="J236" s="63" t="s">
        <v>1295</v>
      </c>
      <c r="K236" s="63" t="s">
        <v>731</v>
      </c>
      <c r="L236" s="63" t="s">
        <v>1296</v>
      </c>
      <c r="M236" s="63" t="s">
        <v>1297</v>
      </c>
      <c r="N236" s="63" t="s">
        <v>1298</v>
      </c>
      <c r="O236" s="63" t="s">
        <v>1299</v>
      </c>
      <c r="P236" s="63" t="s">
        <v>1300</v>
      </c>
      <c r="Q236" s="50" t="s">
        <v>1301</v>
      </c>
      <c r="R236" s="50" t="s">
        <v>1302</v>
      </c>
      <c r="S236" s="48"/>
      <c r="T236" s="67" t="s">
        <v>1303</v>
      </c>
      <c r="U236" s="67" t="s">
        <v>1303</v>
      </c>
      <c r="V236" s="48">
        <v>0.0</v>
      </c>
      <c r="W236" s="68">
        <v>0.0</v>
      </c>
      <c r="X236" s="50" t="s">
        <v>1304</v>
      </c>
      <c r="Y236" s="50" t="s">
        <v>1305</v>
      </c>
    </row>
    <row r="237">
      <c r="A237" s="65">
        <f>ROW()-ROW(Table_Actions[N])</f>
        <v>1</v>
      </c>
      <c r="B237" s="54" t="s">
        <v>1306</v>
      </c>
      <c r="C237" s="62" t="b">
        <v>0</v>
      </c>
      <c r="D237" s="63" t="s">
        <v>1307</v>
      </c>
      <c r="E237" s="63" t="s">
        <v>361</v>
      </c>
      <c r="F237" s="63" t="s">
        <v>364</v>
      </c>
      <c r="G237" s="63" t="s">
        <v>732</v>
      </c>
      <c r="H237" s="63" t="s">
        <v>1294</v>
      </c>
      <c r="I237" s="66" t="s">
        <v>730</v>
      </c>
      <c r="J237" s="63" t="s">
        <v>1295</v>
      </c>
      <c r="K237" s="63" t="s">
        <v>777</v>
      </c>
      <c r="L237" s="63" t="s">
        <v>1296</v>
      </c>
      <c r="M237" s="63" t="s">
        <v>1297</v>
      </c>
      <c r="N237" s="63" t="s">
        <v>1298</v>
      </c>
      <c r="O237" s="63" t="s">
        <v>1299</v>
      </c>
      <c r="P237" s="63" t="s">
        <v>1300</v>
      </c>
      <c r="Q237" s="50" t="s">
        <v>1301</v>
      </c>
      <c r="R237" s="50" t="s">
        <v>1302</v>
      </c>
      <c r="S237" s="48"/>
      <c r="T237" s="67" t="s">
        <v>1303</v>
      </c>
      <c r="U237" s="67" t="s">
        <v>1303</v>
      </c>
      <c r="V237" s="48">
        <v>0.0</v>
      </c>
      <c r="W237" s="68">
        <v>0.0</v>
      </c>
      <c r="X237" s="50" t="s">
        <v>1304</v>
      </c>
      <c r="Y237" s="50" t="s">
        <v>1305</v>
      </c>
    </row>
    <row r="238">
      <c r="A238" s="65">
        <f>ROW()-ROW(Table_Actions[N])</f>
        <v>2</v>
      </c>
      <c r="B238" s="54" t="s">
        <v>1308</v>
      </c>
      <c r="C238" s="62" t="b">
        <v>0</v>
      </c>
      <c r="D238" s="63" t="s">
        <v>1307</v>
      </c>
      <c r="E238" s="63" t="s">
        <v>361</v>
      </c>
      <c r="F238" s="63" t="s">
        <v>364</v>
      </c>
      <c r="G238" s="63" t="s">
        <v>732</v>
      </c>
      <c r="H238" s="63" t="s">
        <v>1294</v>
      </c>
      <c r="I238" s="66" t="s">
        <v>730</v>
      </c>
      <c r="J238" s="63" t="s">
        <v>1295</v>
      </c>
      <c r="K238" s="63" t="s">
        <v>783</v>
      </c>
      <c r="L238" s="63" t="s">
        <v>1296</v>
      </c>
      <c r="M238" s="63" t="s">
        <v>1297</v>
      </c>
      <c r="N238" s="63" t="s">
        <v>1298</v>
      </c>
      <c r="O238" s="63" t="s">
        <v>1299</v>
      </c>
      <c r="P238" s="63" t="s">
        <v>1300</v>
      </c>
      <c r="Q238" s="50" t="s">
        <v>1301</v>
      </c>
      <c r="R238" s="50" t="s">
        <v>1302</v>
      </c>
      <c r="S238" s="48"/>
      <c r="T238" s="67" t="s">
        <v>1303</v>
      </c>
      <c r="U238" s="67" t="s">
        <v>1303</v>
      </c>
      <c r="V238" s="48">
        <v>0.0</v>
      </c>
      <c r="W238" s="68">
        <v>0.0</v>
      </c>
      <c r="X238" s="50" t="s">
        <v>1304</v>
      </c>
      <c r="Y238" s="50" t="s">
        <v>1305</v>
      </c>
    </row>
    <row r="239">
      <c r="A239" s="65">
        <f>ROW()-ROW(Table_Actions[N])</f>
        <v>3</v>
      </c>
      <c r="B239" s="54" t="s">
        <v>1309</v>
      </c>
      <c r="C239" s="62" t="b">
        <v>0</v>
      </c>
      <c r="D239" s="63" t="s">
        <v>1310</v>
      </c>
      <c r="E239" s="63" t="s">
        <v>361</v>
      </c>
      <c r="F239" s="63" t="s">
        <v>364</v>
      </c>
      <c r="G239" s="63" t="s">
        <v>732</v>
      </c>
      <c r="H239" s="63" t="s">
        <v>1294</v>
      </c>
      <c r="I239" s="66" t="s">
        <v>1103</v>
      </c>
      <c r="J239" s="63" t="s">
        <v>1295</v>
      </c>
      <c r="K239" s="63" t="s">
        <v>731</v>
      </c>
      <c r="L239" s="63" t="s">
        <v>1296</v>
      </c>
      <c r="M239" s="63" t="s">
        <v>1297</v>
      </c>
      <c r="N239" s="63" t="s">
        <v>1298</v>
      </c>
      <c r="O239" s="63" t="s">
        <v>1299</v>
      </c>
      <c r="P239" s="63" t="s">
        <v>1300</v>
      </c>
      <c r="Q239" s="50" t="s">
        <v>1301</v>
      </c>
      <c r="R239" s="50" t="s">
        <v>1302</v>
      </c>
      <c r="S239" s="48"/>
      <c r="T239" s="67" t="s">
        <v>1303</v>
      </c>
      <c r="U239" s="67" t="s">
        <v>1303</v>
      </c>
      <c r="V239" s="48">
        <v>0.0</v>
      </c>
      <c r="W239" s="68">
        <v>0.0</v>
      </c>
      <c r="X239" s="50" t="s">
        <v>1304</v>
      </c>
      <c r="Y239" s="50" t="s">
        <v>1305</v>
      </c>
    </row>
    <row r="240">
      <c r="A240" s="65">
        <f>ROW()-ROW(Table_Actions[N])</f>
        <v>4</v>
      </c>
      <c r="B240" s="54" t="s">
        <v>1311</v>
      </c>
      <c r="C240" s="62" t="b">
        <v>0</v>
      </c>
      <c r="D240" s="63" t="s">
        <v>1312</v>
      </c>
      <c r="E240" s="63" t="s">
        <v>361</v>
      </c>
      <c r="F240" s="63" t="s">
        <v>364</v>
      </c>
      <c r="G240" s="63" t="s">
        <v>732</v>
      </c>
      <c r="H240" s="63" t="s">
        <v>1313</v>
      </c>
      <c r="I240" s="66" t="s">
        <v>730</v>
      </c>
      <c r="J240" s="63" t="s">
        <v>1295</v>
      </c>
      <c r="K240" s="63" t="s">
        <v>731</v>
      </c>
      <c r="L240" s="63" t="s">
        <v>1296</v>
      </c>
      <c r="M240" s="63" t="s">
        <v>1297</v>
      </c>
      <c r="N240" s="63" t="s">
        <v>1298</v>
      </c>
      <c r="O240" s="63" t="s">
        <v>1299</v>
      </c>
      <c r="P240" s="63" t="s">
        <v>1300</v>
      </c>
      <c r="Q240" s="50" t="s">
        <v>1301</v>
      </c>
      <c r="R240" s="50" t="s">
        <v>1302</v>
      </c>
      <c r="S240" s="48"/>
      <c r="T240" s="67" t="s">
        <v>1303</v>
      </c>
      <c r="U240" s="67" t="s">
        <v>1303</v>
      </c>
      <c r="V240" s="48">
        <v>0.0</v>
      </c>
      <c r="W240" s="68">
        <v>0.0</v>
      </c>
      <c r="X240" s="50" t="s">
        <v>1304</v>
      </c>
      <c r="Y240" s="50" t="s">
        <v>1305</v>
      </c>
    </row>
    <row r="241">
      <c r="A241" s="65">
        <f>ROW()-ROW(Table_Actions[N])</f>
        <v>5</v>
      </c>
      <c r="B241" s="54" t="s">
        <v>1314</v>
      </c>
      <c r="C241" s="62" t="b">
        <v>0</v>
      </c>
      <c r="D241" s="63" t="s">
        <v>1315</v>
      </c>
      <c r="E241" s="63" t="s">
        <v>372</v>
      </c>
      <c r="F241" s="63" t="s">
        <v>1316</v>
      </c>
      <c r="G241" s="63" t="s">
        <v>732</v>
      </c>
      <c r="H241" s="63" t="s">
        <v>1294</v>
      </c>
      <c r="I241" s="66" t="s">
        <v>730</v>
      </c>
      <c r="J241" s="63" t="s">
        <v>1295</v>
      </c>
      <c r="K241" s="63" t="s">
        <v>731</v>
      </c>
      <c r="L241" s="63" t="s">
        <v>1296</v>
      </c>
      <c r="M241" s="63" t="s">
        <v>1297</v>
      </c>
      <c r="N241" s="63" t="s">
        <v>1298</v>
      </c>
      <c r="O241" s="63" t="s">
        <v>1299</v>
      </c>
      <c r="P241" s="63" t="s">
        <v>1300</v>
      </c>
      <c r="Q241" s="50" t="s">
        <v>1301</v>
      </c>
      <c r="R241" s="50" t="s">
        <v>1302</v>
      </c>
      <c r="S241" s="48"/>
      <c r="T241" s="67" t="s">
        <v>1303</v>
      </c>
      <c r="U241" s="67" t="s">
        <v>1303</v>
      </c>
      <c r="V241" s="48">
        <v>0.0</v>
      </c>
      <c r="W241" s="68">
        <v>0.0</v>
      </c>
      <c r="X241" s="50" t="s">
        <v>1304</v>
      </c>
      <c r="Y241" s="50" t="s">
        <v>1305</v>
      </c>
    </row>
    <row r="242">
      <c r="A242" s="65">
        <f>ROW()-ROW(Table_Actions[N])</f>
        <v>6</v>
      </c>
      <c r="B242" s="54" t="s">
        <v>1317</v>
      </c>
      <c r="C242" s="62" t="b">
        <v>0</v>
      </c>
      <c r="D242" s="63" t="s">
        <v>1318</v>
      </c>
      <c r="E242" s="63" t="s">
        <v>378</v>
      </c>
      <c r="F242" s="63" t="s">
        <v>364</v>
      </c>
      <c r="G242" s="63" t="s">
        <v>732</v>
      </c>
      <c r="H242" s="63" t="s">
        <v>1294</v>
      </c>
      <c r="I242" s="66" t="s">
        <v>730</v>
      </c>
      <c r="J242" s="63" t="s">
        <v>1295</v>
      </c>
      <c r="K242" s="63" t="s">
        <v>731</v>
      </c>
      <c r="L242" s="63" t="s">
        <v>1296</v>
      </c>
      <c r="M242" s="63" t="s">
        <v>1297</v>
      </c>
      <c r="N242" s="63" t="s">
        <v>1298</v>
      </c>
      <c r="O242" s="63" t="s">
        <v>1299</v>
      </c>
      <c r="P242" s="63" t="s">
        <v>1300</v>
      </c>
      <c r="Q242" s="50" t="s">
        <v>1301</v>
      </c>
      <c r="R242" s="50" t="s">
        <v>1302</v>
      </c>
      <c r="S242" s="48"/>
      <c r="T242" s="67" t="s">
        <v>1303</v>
      </c>
      <c r="U242" s="67" t="s">
        <v>1303</v>
      </c>
      <c r="V242" s="48">
        <v>0.0</v>
      </c>
      <c r="W242" s="68">
        <v>0.0</v>
      </c>
      <c r="X242" s="50" t="s">
        <v>1304</v>
      </c>
      <c r="Y242" s="50" t="s">
        <v>1305</v>
      </c>
    </row>
    <row r="243">
      <c r="A243" s="65">
        <f>ROW()-ROW(Table_Actions[N])</f>
        <v>7</v>
      </c>
      <c r="B243" s="54" t="s">
        <v>1319</v>
      </c>
      <c r="C243" s="62" t="b">
        <v>0</v>
      </c>
      <c r="D243" s="63" t="s">
        <v>1318</v>
      </c>
      <c r="E243" s="63" t="s">
        <v>399</v>
      </c>
      <c r="F243" s="63" t="s">
        <v>364</v>
      </c>
      <c r="G243" s="63" t="s">
        <v>732</v>
      </c>
      <c r="H243" s="63" t="s">
        <v>1294</v>
      </c>
      <c r="I243" s="66" t="s">
        <v>730</v>
      </c>
      <c r="J243" s="63" t="s">
        <v>1295</v>
      </c>
      <c r="K243" s="63" t="s">
        <v>731</v>
      </c>
      <c r="L243" s="63" t="s">
        <v>1296</v>
      </c>
      <c r="M243" s="63" t="s">
        <v>1297</v>
      </c>
      <c r="N243" s="63" t="s">
        <v>1298</v>
      </c>
      <c r="O243" s="63" t="s">
        <v>1299</v>
      </c>
      <c r="P243" s="63" t="s">
        <v>1300</v>
      </c>
      <c r="Q243" s="50" t="s">
        <v>1301</v>
      </c>
      <c r="R243" s="50" t="s">
        <v>1302</v>
      </c>
      <c r="S243" s="48"/>
      <c r="T243" s="67" t="s">
        <v>1303</v>
      </c>
      <c r="U243" s="67" t="s">
        <v>1303</v>
      </c>
      <c r="V243" s="48">
        <v>0.0</v>
      </c>
      <c r="W243" s="68">
        <v>0.0</v>
      </c>
      <c r="X243" s="50" t="s">
        <v>1304</v>
      </c>
      <c r="Y243" s="50" t="s">
        <v>1305</v>
      </c>
    </row>
    <row r="244">
      <c r="A244" s="65">
        <f>ROW()-ROW(Table_Actions[N])</f>
        <v>8</v>
      </c>
      <c r="B244" s="54" t="s">
        <v>1320</v>
      </c>
      <c r="C244" s="62" t="b">
        <v>0</v>
      </c>
      <c r="D244" s="63" t="s">
        <v>1315</v>
      </c>
      <c r="E244" s="63" t="s">
        <v>372</v>
      </c>
      <c r="F244" s="63" t="s">
        <v>376</v>
      </c>
      <c r="G244" s="63" t="s">
        <v>732</v>
      </c>
      <c r="H244" s="63" t="s">
        <v>1294</v>
      </c>
      <c r="I244" s="66" t="s">
        <v>730</v>
      </c>
      <c r="J244" s="63" t="s">
        <v>1295</v>
      </c>
      <c r="K244" s="63" t="s">
        <v>731</v>
      </c>
      <c r="L244" s="63" t="s">
        <v>1296</v>
      </c>
      <c r="M244" s="63" t="s">
        <v>1297</v>
      </c>
      <c r="N244" s="63" t="s">
        <v>1298</v>
      </c>
      <c r="O244" s="63" t="s">
        <v>1299</v>
      </c>
      <c r="P244" s="63" t="s">
        <v>1300</v>
      </c>
      <c r="Q244" s="50" t="s">
        <v>1301</v>
      </c>
      <c r="R244" s="50" t="s">
        <v>1302</v>
      </c>
      <c r="S244" s="48"/>
      <c r="T244" s="67" t="s">
        <v>1303</v>
      </c>
      <c r="U244" s="67" t="s">
        <v>1303</v>
      </c>
      <c r="V244" s="48">
        <v>0.0</v>
      </c>
      <c r="W244" s="68">
        <v>0.0</v>
      </c>
      <c r="X244" s="50" t="s">
        <v>1304</v>
      </c>
      <c r="Y244" s="50" t="s">
        <v>1305</v>
      </c>
    </row>
    <row r="245">
      <c r="A245" s="65">
        <f>ROW()-ROW(Table_Actions[N])</f>
        <v>9</v>
      </c>
      <c r="B245" s="54" t="s">
        <v>1321</v>
      </c>
      <c r="C245" s="62" t="b">
        <v>0</v>
      </c>
      <c r="D245" s="63" t="s">
        <v>1322</v>
      </c>
      <c r="E245" s="63" t="s">
        <v>378</v>
      </c>
      <c r="F245" s="63" t="s">
        <v>364</v>
      </c>
      <c r="G245" s="63" t="s">
        <v>732</v>
      </c>
      <c r="H245" s="63" t="s">
        <v>1294</v>
      </c>
      <c r="I245" s="66" t="s">
        <v>730</v>
      </c>
      <c r="J245" s="63" t="s">
        <v>1295</v>
      </c>
      <c r="K245" s="63" t="s">
        <v>731</v>
      </c>
      <c r="L245" s="63" t="s">
        <v>1296</v>
      </c>
      <c r="M245" s="63" t="s">
        <v>1297</v>
      </c>
      <c r="N245" s="63" t="s">
        <v>1298</v>
      </c>
      <c r="O245" s="63" t="s">
        <v>1299</v>
      </c>
      <c r="P245" s="63" t="s">
        <v>1300</v>
      </c>
      <c r="Q245" s="50" t="s">
        <v>1301</v>
      </c>
      <c r="R245" s="50" t="s">
        <v>1302</v>
      </c>
      <c r="S245" s="48"/>
      <c r="T245" s="67" t="s">
        <v>1303</v>
      </c>
      <c r="U245" s="67" t="s">
        <v>1303</v>
      </c>
      <c r="V245" s="48">
        <v>0.0</v>
      </c>
      <c r="W245" s="68">
        <v>0.0</v>
      </c>
      <c r="X245" s="50" t="s">
        <v>1304</v>
      </c>
      <c r="Y245" s="50" t="s">
        <v>1305</v>
      </c>
    </row>
    <row r="246">
      <c r="A246" s="65">
        <f>ROW()-ROW(Table_Actions[N])</f>
        <v>10</v>
      </c>
      <c r="B246" s="54" t="s">
        <v>1323</v>
      </c>
      <c r="C246" s="62" t="b">
        <v>0</v>
      </c>
      <c r="D246" s="63" t="s">
        <v>1322</v>
      </c>
      <c r="E246" s="63" t="s">
        <v>399</v>
      </c>
      <c r="F246" s="63" t="s">
        <v>364</v>
      </c>
      <c r="G246" s="63" t="s">
        <v>732</v>
      </c>
      <c r="H246" s="63" t="s">
        <v>1294</v>
      </c>
      <c r="I246" s="66" t="s">
        <v>730</v>
      </c>
      <c r="J246" s="63" t="s">
        <v>1295</v>
      </c>
      <c r="K246" s="63" t="s">
        <v>731</v>
      </c>
      <c r="L246" s="63" t="s">
        <v>1296</v>
      </c>
      <c r="M246" s="63" t="s">
        <v>1297</v>
      </c>
      <c r="N246" s="63" t="s">
        <v>1298</v>
      </c>
      <c r="O246" s="63" t="s">
        <v>1299</v>
      </c>
      <c r="P246" s="63" t="s">
        <v>1300</v>
      </c>
      <c r="Q246" s="50" t="s">
        <v>1301</v>
      </c>
      <c r="R246" s="50" t="s">
        <v>1302</v>
      </c>
      <c r="S246" s="48"/>
      <c r="T246" s="67" t="s">
        <v>1303</v>
      </c>
      <c r="U246" s="67" t="s">
        <v>1303</v>
      </c>
      <c r="V246" s="48">
        <v>0.0</v>
      </c>
      <c r="W246" s="68">
        <v>0.0</v>
      </c>
      <c r="X246" s="50" t="s">
        <v>1304</v>
      </c>
      <c r="Y246" s="50" t="s">
        <v>1305</v>
      </c>
    </row>
    <row r="247">
      <c r="A247" s="65">
        <f>ROW()-ROW(Table_Actions[N])</f>
        <v>11</v>
      </c>
      <c r="B247" s="54" t="s">
        <v>1111</v>
      </c>
      <c r="C247" s="62" t="b">
        <v>0</v>
      </c>
      <c r="D247" s="63" t="s">
        <v>1324</v>
      </c>
      <c r="E247" s="63" t="s">
        <v>378</v>
      </c>
      <c r="F247" s="63" t="s">
        <v>364</v>
      </c>
      <c r="G247" s="63" t="s">
        <v>732</v>
      </c>
      <c r="H247" s="63" t="s">
        <v>1294</v>
      </c>
      <c r="I247" s="66" t="s">
        <v>730</v>
      </c>
      <c r="J247" s="63" t="s">
        <v>1295</v>
      </c>
      <c r="K247" s="63" t="s">
        <v>731</v>
      </c>
      <c r="L247" s="63" t="s">
        <v>1296</v>
      </c>
      <c r="M247" s="63" t="s">
        <v>1297</v>
      </c>
      <c r="N247" s="63" t="s">
        <v>1298</v>
      </c>
      <c r="O247" s="63" t="s">
        <v>1299</v>
      </c>
      <c r="P247" s="63" t="s">
        <v>1300</v>
      </c>
      <c r="Q247" s="50" t="s">
        <v>1301</v>
      </c>
      <c r="R247" s="50" t="s">
        <v>1302</v>
      </c>
      <c r="S247" s="48"/>
      <c r="T247" s="67" t="s">
        <v>1303</v>
      </c>
      <c r="U247" s="67" t="s">
        <v>1303</v>
      </c>
      <c r="V247" s="48">
        <v>0.0</v>
      </c>
      <c r="W247" s="68">
        <v>0.0</v>
      </c>
      <c r="X247" s="50" t="s">
        <v>1304</v>
      </c>
      <c r="Y247" s="50" t="s">
        <v>1305</v>
      </c>
    </row>
    <row r="248">
      <c r="A248" s="65">
        <f>ROW()-ROW(Table_Actions[N])</f>
        <v>12</v>
      </c>
      <c r="B248" s="54" t="s">
        <v>1325</v>
      </c>
      <c r="C248" s="62" t="b">
        <v>0</v>
      </c>
      <c r="D248" s="63" t="s">
        <v>1326</v>
      </c>
      <c r="E248" s="63" t="s">
        <v>378</v>
      </c>
      <c r="F248" s="63" t="s">
        <v>364</v>
      </c>
      <c r="G248" s="63" t="s">
        <v>13</v>
      </c>
      <c r="H248" s="63" t="s">
        <v>1294</v>
      </c>
      <c r="I248" s="66" t="s">
        <v>730</v>
      </c>
      <c r="J248" s="63" t="s">
        <v>1295</v>
      </c>
      <c r="K248" s="63" t="s">
        <v>731</v>
      </c>
      <c r="L248" s="63" t="s">
        <v>1296</v>
      </c>
      <c r="M248" s="63" t="s">
        <v>1297</v>
      </c>
      <c r="N248" s="63" t="s">
        <v>1298</v>
      </c>
      <c r="O248" s="63" t="s">
        <v>1299</v>
      </c>
      <c r="P248" s="63" t="s">
        <v>1300</v>
      </c>
      <c r="Q248" s="50" t="s">
        <v>1301</v>
      </c>
      <c r="R248" s="50" t="s">
        <v>1302</v>
      </c>
      <c r="S248" s="48"/>
      <c r="T248" s="67" t="s">
        <v>1303</v>
      </c>
      <c r="U248" s="67" t="s">
        <v>1303</v>
      </c>
      <c r="V248" s="48">
        <v>0.0</v>
      </c>
      <c r="W248" s="68">
        <v>0.0</v>
      </c>
      <c r="X248" s="50" t="s">
        <v>1304</v>
      </c>
      <c r="Y248" s="50" t="s">
        <v>1305</v>
      </c>
    </row>
    <row r="249">
      <c r="A249" s="65">
        <f>ROW()-ROW(Table_Actions[N])</f>
        <v>13</v>
      </c>
      <c r="B249" s="54" t="s">
        <v>1327</v>
      </c>
      <c r="C249" s="62" t="b">
        <v>0</v>
      </c>
      <c r="D249" s="63" t="s">
        <v>1318</v>
      </c>
      <c r="E249" s="63" t="s">
        <v>387</v>
      </c>
      <c r="F249" s="63" t="s">
        <v>364</v>
      </c>
      <c r="G249" s="63" t="s">
        <v>732</v>
      </c>
      <c r="H249" s="63" t="s">
        <v>1294</v>
      </c>
      <c r="I249" s="66" t="s">
        <v>730</v>
      </c>
      <c r="J249" s="63" t="s">
        <v>1295</v>
      </c>
      <c r="K249" s="63" t="s">
        <v>731</v>
      </c>
      <c r="L249" s="63" t="s">
        <v>1296</v>
      </c>
      <c r="M249" s="63" t="s">
        <v>1297</v>
      </c>
      <c r="N249" s="63" t="s">
        <v>1298</v>
      </c>
      <c r="O249" s="63" t="s">
        <v>1299</v>
      </c>
      <c r="P249" s="63" t="s">
        <v>1300</v>
      </c>
      <c r="Q249" s="50" t="s">
        <v>1301</v>
      </c>
      <c r="R249" s="50" t="s">
        <v>1302</v>
      </c>
      <c r="S249" s="48"/>
      <c r="T249" s="67" t="s">
        <v>1303</v>
      </c>
      <c r="U249" s="67" t="s">
        <v>1303</v>
      </c>
      <c r="V249" s="48">
        <v>0.0</v>
      </c>
      <c r="W249" s="68">
        <v>0.0</v>
      </c>
      <c r="X249" s="50" t="s">
        <v>1304</v>
      </c>
      <c r="Y249" s="50" t="s">
        <v>1305</v>
      </c>
    </row>
    <row r="250">
      <c r="A250" s="65">
        <f>ROW()-ROW(Table_Actions[N])</f>
        <v>14</v>
      </c>
      <c r="B250" s="54" t="s">
        <v>1328</v>
      </c>
      <c r="C250" s="62" t="b">
        <v>0</v>
      </c>
      <c r="D250" s="63" t="s">
        <v>1322</v>
      </c>
      <c r="E250" s="63" t="s">
        <v>383</v>
      </c>
      <c r="F250" s="63" t="s">
        <v>364</v>
      </c>
      <c r="G250" s="63" t="s">
        <v>732</v>
      </c>
      <c r="H250" s="63" t="s">
        <v>1294</v>
      </c>
      <c r="I250" s="66" t="s">
        <v>730</v>
      </c>
      <c r="J250" s="63" t="s">
        <v>1295</v>
      </c>
      <c r="K250" s="63" t="s">
        <v>731</v>
      </c>
      <c r="L250" s="63" t="s">
        <v>1296</v>
      </c>
      <c r="M250" s="63" t="s">
        <v>1297</v>
      </c>
      <c r="N250" s="63" t="s">
        <v>1298</v>
      </c>
      <c r="O250" s="63" t="s">
        <v>1299</v>
      </c>
      <c r="P250" s="63" t="s">
        <v>1300</v>
      </c>
      <c r="Q250" s="50" t="s">
        <v>1301</v>
      </c>
      <c r="R250" s="50" t="s">
        <v>1302</v>
      </c>
      <c r="S250" s="48"/>
      <c r="T250" s="67" t="s">
        <v>1303</v>
      </c>
      <c r="U250" s="67" t="s">
        <v>1303</v>
      </c>
      <c r="V250" s="48">
        <v>0.0</v>
      </c>
      <c r="W250" s="68">
        <v>0.0</v>
      </c>
      <c r="X250" s="50" t="s">
        <v>1304</v>
      </c>
      <c r="Y250" s="50" t="s">
        <v>1305</v>
      </c>
    </row>
    <row r="251">
      <c r="A251" s="65">
        <f>ROW()-ROW(Table_Actions[N])</f>
        <v>15</v>
      </c>
      <c r="B251" s="54" t="s">
        <v>1116</v>
      </c>
      <c r="C251" s="62" t="b">
        <v>0</v>
      </c>
      <c r="D251" s="63" t="s">
        <v>1318</v>
      </c>
      <c r="E251" s="63" t="s">
        <v>408</v>
      </c>
      <c r="F251" s="63" t="s">
        <v>364</v>
      </c>
      <c r="G251" s="63" t="s">
        <v>732</v>
      </c>
      <c r="H251" s="63" t="s">
        <v>1294</v>
      </c>
      <c r="I251" s="66" t="s">
        <v>730</v>
      </c>
      <c r="J251" s="63" t="s">
        <v>1295</v>
      </c>
      <c r="K251" s="63" t="s">
        <v>731</v>
      </c>
      <c r="L251" s="63" t="s">
        <v>1296</v>
      </c>
      <c r="M251" s="63" t="s">
        <v>1297</v>
      </c>
      <c r="N251" s="63" t="s">
        <v>1298</v>
      </c>
      <c r="O251" s="63" t="s">
        <v>1299</v>
      </c>
      <c r="P251" s="63" t="s">
        <v>1300</v>
      </c>
      <c r="Q251" s="50" t="s">
        <v>1301</v>
      </c>
      <c r="R251" s="50" t="s">
        <v>1302</v>
      </c>
      <c r="S251" s="48"/>
      <c r="T251" s="67" t="s">
        <v>1303</v>
      </c>
      <c r="U251" s="67" t="s">
        <v>1303</v>
      </c>
      <c r="V251" s="48">
        <v>0.0</v>
      </c>
      <c r="W251" s="68">
        <v>0.0</v>
      </c>
      <c r="X251" s="50" t="s">
        <v>1304</v>
      </c>
      <c r="Y251" s="50" t="s">
        <v>1305</v>
      </c>
    </row>
    <row r="252">
      <c r="A252" s="65">
        <f>ROW()-ROW(Table_Actions[N])</f>
        <v>16</v>
      </c>
      <c r="B252" s="54" t="s">
        <v>1329</v>
      </c>
      <c r="C252" s="62" t="b">
        <v>0</v>
      </c>
      <c r="D252" s="63" t="s">
        <v>1318</v>
      </c>
      <c r="E252" s="63" t="s">
        <v>383</v>
      </c>
      <c r="F252" s="63" t="s">
        <v>364</v>
      </c>
      <c r="G252" s="63" t="s">
        <v>732</v>
      </c>
      <c r="H252" s="63" t="s">
        <v>1294</v>
      </c>
      <c r="I252" s="66" t="s">
        <v>730</v>
      </c>
      <c r="J252" s="63" t="s">
        <v>1295</v>
      </c>
      <c r="K252" s="63" t="s">
        <v>731</v>
      </c>
      <c r="L252" s="63" t="s">
        <v>1296</v>
      </c>
      <c r="M252" s="63" t="s">
        <v>1297</v>
      </c>
      <c r="N252" s="63" t="s">
        <v>1298</v>
      </c>
      <c r="O252" s="63" t="s">
        <v>1299</v>
      </c>
      <c r="P252" s="63" t="s">
        <v>1300</v>
      </c>
      <c r="Q252" s="50" t="s">
        <v>1301</v>
      </c>
      <c r="R252" s="50" t="s">
        <v>1302</v>
      </c>
      <c r="S252" s="48"/>
      <c r="T252" s="67" t="s">
        <v>1303</v>
      </c>
      <c r="U252" s="67" t="s">
        <v>1303</v>
      </c>
      <c r="V252" s="48">
        <v>0.0</v>
      </c>
      <c r="W252" s="68">
        <v>0.0</v>
      </c>
      <c r="X252" s="50" t="s">
        <v>1304</v>
      </c>
      <c r="Y252" s="50" t="s">
        <v>1305</v>
      </c>
    </row>
    <row r="253">
      <c r="A253" s="65">
        <f>ROW()-ROW(Table_Actions[N])</f>
        <v>17</v>
      </c>
      <c r="B253" s="54" t="s">
        <v>1330</v>
      </c>
      <c r="C253" s="62" t="b">
        <v>0</v>
      </c>
      <c r="D253" s="63" t="s">
        <v>1322</v>
      </c>
      <c r="E253" s="63" t="s">
        <v>387</v>
      </c>
      <c r="F253" s="63" t="s">
        <v>364</v>
      </c>
      <c r="G253" s="63" t="s">
        <v>732</v>
      </c>
      <c r="H253" s="63" t="s">
        <v>1294</v>
      </c>
      <c r="I253" s="66" t="s">
        <v>730</v>
      </c>
      <c r="J253" s="63" t="s">
        <v>1295</v>
      </c>
      <c r="K253" s="63" t="s">
        <v>731</v>
      </c>
      <c r="L253" s="63" t="s">
        <v>1296</v>
      </c>
      <c r="M253" s="63" t="s">
        <v>1297</v>
      </c>
      <c r="N253" s="63" t="s">
        <v>1298</v>
      </c>
      <c r="O253" s="63" t="s">
        <v>1299</v>
      </c>
      <c r="P253" s="63" t="s">
        <v>1300</v>
      </c>
      <c r="Q253" s="50" t="s">
        <v>1301</v>
      </c>
      <c r="R253" s="50" t="s">
        <v>1302</v>
      </c>
      <c r="S253" s="48"/>
      <c r="T253" s="67" t="s">
        <v>1303</v>
      </c>
      <c r="U253" s="67" t="s">
        <v>1303</v>
      </c>
      <c r="V253" s="48">
        <v>0.0</v>
      </c>
      <c r="W253" s="68">
        <v>0.0</v>
      </c>
      <c r="X253" s="50" t="s">
        <v>1304</v>
      </c>
      <c r="Y253" s="50" t="s">
        <v>1305</v>
      </c>
    </row>
    <row r="254">
      <c r="A254" s="65">
        <f>ROW()-ROW(Table_Actions[N])</f>
        <v>18</v>
      </c>
      <c r="B254" s="54" t="s">
        <v>1120</v>
      </c>
      <c r="C254" s="62" t="b">
        <v>0</v>
      </c>
      <c r="D254" s="63" t="s">
        <v>1322</v>
      </c>
      <c r="E254" s="63" t="s">
        <v>408</v>
      </c>
      <c r="F254" s="63" t="s">
        <v>364</v>
      </c>
      <c r="G254" s="63" t="s">
        <v>732</v>
      </c>
      <c r="H254" s="63" t="s">
        <v>1294</v>
      </c>
      <c r="I254" s="66" t="s">
        <v>730</v>
      </c>
      <c r="J254" s="63" t="s">
        <v>1295</v>
      </c>
      <c r="K254" s="63" t="s">
        <v>731</v>
      </c>
      <c r="L254" s="63" t="s">
        <v>1296</v>
      </c>
      <c r="M254" s="63" t="s">
        <v>1297</v>
      </c>
      <c r="N254" s="63" t="s">
        <v>1298</v>
      </c>
      <c r="O254" s="63" t="s">
        <v>1299</v>
      </c>
      <c r="P254" s="63" t="s">
        <v>1300</v>
      </c>
      <c r="Q254" s="50" t="s">
        <v>1301</v>
      </c>
      <c r="R254" s="50" t="s">
        <v>1302</v>
      </c>
      <c r="S254" s="48"/>
      <c r="T254" s="67" t="s">
        <v>1303</v>
      </c>
      <c r="U254" s="67" t="s">
        <v>1303</v>
      </c>
      <c r="V254" s="48">
        <v>0.0</v>
      </c>
      <c r="W254" s="68">
        <v>0.0</v>
      </c>
      <c r="X254" s="50" t="s">
        <v>1304</v>
      </c>
      <c r="Y254" s="50" t="s">
        <v>1305</v>
      </c>
    </row>
    <row r="255">
      <c r="A255" s="65">
        <f>ROW()-ROW(Table_Actions[N])</f>
        <v>19</v>
      </c>
      <c r="B255" s="54" t="s">
        <v>1331</v>
      </c>
      <c r="C255" s="62" t="b">
        <v>0</v>
      </c>
      <c r="D255" s="63" t="s">
        <v>1312</v>
      </c>
      <c r="E255" s="63" t="s">
        <v>361</v>
      </c>
      <c r="F255" s="63" t="s">
        <v>364</v>
      </c>
      <c r="G255" s="63" t="s">
        <v>732</v>
      </c>
      <c r="H255" s="63" t="s">
        <v>1332</v>
      </c>
      <c r="I255" s="66" t="s">
        <v>730</v>
      </c>
      <c r="J255" s="63" t="s">
        <v>1295</v>
      </c>
      <c r="K255" s="63" t="s">
        <v>731</v>
      </c>
      <c r="L255" s="63" t="s">
        <v>1296</v>
      </c>
      <c r="M255" s="63" t="s">
        <v>1297</v>
      </c>
      <c r="N255" s="63" t="s">
        <v>1298</v>
      </c>
      <c r="O255" s="63" t="s">
        <v>1299</v>
      </c>
      <c r="P255" s="63" t="s">
        <v>1300</v>
      </c>
      <c r="Q255" s="50" t="s">
        <v>1301</v>
      </c>
      <c r="R255" s="50" t="s">
        <v>1302</v>
      </c>
      <c r="S255" s="48"/>
      <c r="T255" s="67" t="s">
        <v>1303</v>
      </c>
      <c r="U255" s="67" t="s">
        <v>1303</v>
      </c>
      <c r="V255" s="48">
        <v>0.0</v>
      </c>
      <c r="W255" s="68">
        <v>0.0</v>
      </c>
      <c r="X255" s="50" t="s">
        <v>1304</v>
      </c>
      <c r="Y255" s="50" t="s">
        <v>1305</v>
      </c>
    </row>
    <row r="256">
      <c r="A256" s="65">
        <f>ROW()-ROW(Table_Actions[N])</f>
        <v>20</v>
      </c>
      <c r="B256" s="54" t="s">
        <v>1122</v>
      </c>
      <c r="C256" s="62" t="b">
        <v>0</v>
      </c>
      <c r="D256" s="63" t="s">
        <v>1324</v>
      </c>
      <c r="E256" s="63" t="s">
        <v>408</v>
      </c>
      <c r="F256" s="63" t="s">
        <v>364</v>
      </c>
      <c r="G256" s="63" t="s">
        <v>732</v>
      </c>
      <c r="H256" s="63" t="s">
        <v>1294</v>
      </c>
      <c r="I256" s="66" t="s">
        <v>730</v>
      </c>
      <c r="J256" s="63" t="s">
        <v>1295</v>
      </c>
      <c r="K256" s="63" t="s">
        <v>731</v>
      </c>
      <c r="L256" s="63" t="s">
        <v>1296</v>
      </c>
      <c r="M256" s="63" t="s">
        <v>1297</v>
      </c>
      <c r="N256" s="63" t="s">
        <v>1298</v>
      </c>
      <c r="O256" s="63" t="s">
        <v>1299</v>
      </c>
      <c r="P256" s="63" t="s">
        <v>1300</v>
      </c>
      <c r="Q256" s="50" t="s">
        <v>1301</v>
      </c>
      <c r="R256" s="50" t="s">
        <v>1302</v>
      </c>
      <c r="S256" s="48"/>
      <c r="T256" s="67" t="s">
        <v>1303</v>
      </c>
      <c r="U256" s="67" t="s">
        <v>1303</v>
      </c>
      <c r="V256" s="48">
        <v>0.0</v>
      </c>
      <c r="W256" s="68">
        <v>0.0</v>
      </c>
      <c r="X256" s="50" t="s">
        <v>1304</v>
      </c>
      <c r="Y256" s="50" t="s">
        <v>1305</v>
      </c>
    </row>
    <row r="257">
      <c r="A257" s="65">
        <f>ROW()-ROW(Table_Actions[N])</f>
        <v>21</v>
      </c>
      <c r="B257" s="54" t="s">
        <v>1333</v>
      </c>
      <c r="C257" s="62" t="b">
        <v>0</v>
      </c>
      <c r="D257" s="63" t="s">
        <v>1326</v>
      </c>
      <c r="E257" s="63" t="s">
        <v>408</v>
      </c>
      <c r="F257" s="63" t="s">
        <v>364</v>
      </c>
      <c r="G257" s="63" t="s">
        <v>13</v>
      </c>
      <c r="H257" s="63" t="s">
        <v>1294</v>
      </c>
      <c r="I257" s="66" t="s">
        <v>730</v>
      </c>
      <c r="J257" s="63" t="s">
        <v>1295</v>
      </c>
      <c r="K257" s="63" t="s">
        <v>731</v>
      </c>
      <c r="L257" s="63" t="s">
        <v>1296</v>
      </c>
      <c r="M257" s="63" t="s">
        <v>1297</v>
      </c>
      <c r="N257" s="63" t="s">
        <v>1298</v>
      </c>
      <c r="O257" s="63" t="s">
        <v>1299</v>
      </c>
      <c r="P257" s="63" t="s">
        <v>1300</v>
      </c>
      <c r="Q257" s="50" t="s">
        <v>1301</v>
      </c>
      <c r="R257" s="50" t="s">
        <v>1302</v>
      </c>
      <c r="S257" s="48"/>
      <c r="T257" s="67" t="s">
        <v>1303</v>
      </c>
      <c r="U257" s="67" t="s">
        <v>1303</v>
      </c>
      <c r="V257" s="48">
        <v>0.0</v>
      </c>
      <c r="W257" s="68">
        <v>0.0</v>
      </c>
      <c r="X257" s="50" t="s">
        <v>1304</v>
      </c>
      <c r="Y257" s="50" t="s">
        <v>1305</v>
      </c>
    </row>
    <row r="258">
      <c r="A258" s="65">
        <f>ROW()-ROW(Table_Actions[N])</f>
        <v>22</v>
      </c>
      <c r="B258" s="54" t="s">
        <v>762</v>
      </c>
      <c r="C258" s="62" t="b">
        <v>0</v>
      </c>
      <c r="D258" s="63" t="s">
        <v>1334</v>
      </c>
      <c r="E258" s="63" t="s">
        <v>361</v>
      </c>
      <c r="F258" s="63" t="s">
        <v>364</v>
      </c>
      <c r="G258" s="63" t="s">
        <v>732</v>
      </c>
      <c r="H258" s="63" t="s">
        <v>1294</v>
      </c>
      <c r="I258" s="66" t="s">
        <v>730</v>
      </c>
      <c r="J258" s="63" t="s">
        <v>1335</v>
      </c>
      <c r="K258" s="63" t="s">
        <v>731</v>
      </c>
      <c r="L258" s="63" t="s">
        <v>1296</v>
      </c>
      <c r="M258" s="63" t="s">
        <v>1297</v>
      </c>
      <c r="N258" s="63" t="s">
        <v>1298</v>
      </c>
      <c r="O258" s="63" t="s">
        <v>1299</v>
      </c>
      <c r="P258" s="63" t="s">
        <v>1300</v>
      </c>
      <c r="Q258" s="50" t="s">
        <v>1301</v>
      </c>
      <c r="R258" s="50" t="s">
        <v>1302</v>
      </c>
      <c r="S258" s="48"/>
      <c r="T258" s="67" t="s">
        <v>1303</v>
      </c>
      <c r="U258" s="67" t="s">
        <v>1303</v>
      </c>
      <c r="V258" s="48">
        <v>0.0</v>
      </c>
      <c r="W258" s="68">
        <v>0.0</v>
      </c>
      <c r="X258" s="50" t="s">
        <v>1304</v>
      </c>
      <c r="Y258" s="50" t="s">
        <v>1305</v>
      </c>
    </row>
    <row r="259">
      <c r="A259" s="65">
        <f>ROW()-ROW(Table_Actions[N])</f>
        <v>23</v>
      </c>
      <c r="B259" s="54" t="s">
        <v>1125</v>
      </c>
      <c r="C259" s="62" t="b">
        <v>0</v>
      </c>
      <c r="D259" s="63" t="s">
        <v>1318</v>
      </c>
      <c r="E259" s="63" t="s">
        <v>37</v>
      </c>
      <c r="F259" s="69" t="s">
        <v>364</v>
      </c>
      <c r="G259" s="69" t="s">
        <v>732</v>
      </c>
      <c r="H259" s="69" t="s">
        <v>1294</v>
      </c>
      <c r="I259" s="70" t="s">
        <v>730</v>
      </c>
      <c r="J259" s="69" t="s">
        <v>1295</v>
      </c>
      <c r="K259" s="69" t="s">
        <v>731</v>
      </c>
      <c r="L259" s="63" t="s">
        <v>1296</v>
      </c>
      <c r="M259" s="63" t="s">
        <v>1297</v>
      </c>
      <c r="N259" s="63" t="s">
        <v>1298</v>
      </c>
      <c r="O259" s="63" t="s">
        <v>1299</v>
      </c>
      <c r="P259" s="63" t="s">
        <v>1300</v>
      </c>
      <c r="Q259" s="50" t="s">
        <v>1301</v>
      </c>
      <c r="R259" s="50" t="s">
        <v>1302</v>
      </c>
      <c r="S259" s="48"/>
      <c r="T259" s="67" t="s">
        <v>1303</v>
      </c>
      <c r="U259" s="67" t="s">
        <v>1303</v>
      </c>
      <c r="V259" s="48">
        <v>0.0</v>
      </c>
      <c r="W259" s="68">
        <v>0.0</v>
      </c>
      <c r="X259" s="50" t="s">
        <v>1304</v>
      </c>
      <c r="Y259" s="50" t="s">
        <v>1305</v>
      </c>
    </row>
    <row r="260">
      <c r="A260" s="65">
        <f>ROW()-ROW(Table_Actions[N])</f>
        <v>24</v>
      </c>
      <c r="B260" s="54" t="s">
        <v>1127</v>
      </c>
      <c r="C260" s="62" t="b">
        <v>0</v>
      </c>
      <c r="D260" s="63" t="s">
        <v>1318</v>
      </c>
      <c r="E260" s="63" t="s">
        <v>422</v>
      </c>
      <c r="F260" s="63" t="s">
        <v>364</v>
      </c>
      <c r="G260" s="63" t="s">
        <v>732</v>
      </c>
      <c r="H260" s="63" t="s">
        <v>1294</v>
      </c>
      <c r="I260" s="66" t="s">
        <v>730</v>
      </c>
      <c r="J260" s="63" t="s">
        <v>1295</v>
      </c>
      <c r="K260" s="63" t="s">
        <v>731</v>
      </c>
      <c r="L260" s="63" t="s">
        <v>1296</v>
      </c>
      <c r="M260" s="63" t="s">
        <v>1297</v>
      </c>
      <c r="N260" s="63" t="s">
        <v>1298</v>
      </c>
      <c r="O260" s="63" t="s">
        <v>1299</v>
      </c>
      <c r="P260" s="63" t="s">
        <v>1300</v>
      </c>
      <c r="Q260" s="50" t="s">
        <v>1301</v>
      </c>
      <c r="R260" s="50" t="s">
        <v>1302</v>
      </c>
      <c r="S260" s="48"/>
      <c r="T260" s="67" t="s">
        <v>1303</v>
      </c>
      <c r="U260" s="67" t="s">
        <v>1303</v>
      </c>
      <c r="V260" s="48">
        <v>0.0</v>
      </c>
      <c r="W260" s="68">
        <v>0.0</v>
      </c>
      <c r="X260" s="50" t="s">
        <v>1304</v>
      </c>
      <c r="Y260" s="50" t="s">
        <v>1305</v>
      </c>
    </row>
    <row r="261">
      <c r="A261" s="65">
        <f>ROW()-ROW(Table_Actions[N])</f>
        <v>25</v>
      </c>
      <c r="B261" s="54" t="s">
        <v>1129</v>
      </c>
      <c r="C261" s="62" t="b">
        <v>0</v>
      </c>
      <c r="D261" s="63" t="s">
        <v>1318</v>
      </c>
      <c r="E261" s="63" t="s">
        <v>439</v>
      </c>
      <c r="F261" s="63" t="s">
        <v>364</v>
      </c>
      <c r="G261" s="63" t="s">
        <v>732</v>
      </c>
      <c r="H261" s="63" t="s">
        <v>1294</v>
      </c>
      <c r="I261" s="66" t="s">
        <v>730</v>
      </c>
      <c r="J261" s="63" t="s">
        <v>1295</v>
      </c>
      <c r="K261" s="63" t="s">
        <v>731</v>
      </c>
      <c r="L261" s="63" t="s">
        <v>1296</v>
      </c>
      <c r="M261" s="63" t="s">
        <v>1297</v>
      </c>
      <c r="N261" s="63" t="s">
        <v>1298</v>
      </c>
      <c r="O261" s="63" t="s">
        <v>1299</v>
      </c>
      <c r="P261" s="63" t="s">
        <v>1300</v>
      </c>
      <c r="Q261" s="50" t="s">
        <v>1301</v>
      </c>
      <c r="R261" s="50" t="s">
        <v>1302</v>
      </c>
      <c r="S261" s="48"/>
      <c r="T261" s="67" t="s">
        <v>1303</v>
      </c>
      <c r="U261" s="67" t="s">
        <v>1303</v>
      </c>
      <c r="V261" s="48">
        <v>0.0</v>
      </c>
      <c r="W261" s="68">
        <v>0.0</v>
      </c>
      <c r="X261" s="50" t="s">
        <v>1304</v>
      </c>
      <c r="Y261" s="50" t="s">
        <v>1305</v>
      </c>
    </row>
    <row r="262">
      <c r="A262" s="65">
        <f>ROW()-ROW(Table_Actions[N])</f>
        <v>26</v>
      </c>
      <c r="B262" s="54" t="s">
        <v>1131</v>
      </c>
      <c r="C262" s="62" t="b">
        <v>0</v>
      </c>
      <c r="D262" s="63" t="s">
        <v>1318</v>
      </c>
      <c r="E262" s="63" t="s">
        <v>446</v>
      </c>
      <c r="F262" s="63" t="s">
        <v>364</v>
      </c>
      <c r="G262" s="63" t="s">
        <v>732</v>
      </c>
      <c r="H262" s="63" t="s">
        <v>1294</v>
      </c>
      <c r="I262" s="66" t="s">
        <v>730</v>
      </c>
      <c r="J262" s="63" t="s">
        <v>1295</v>
      </c>
      <c r="K262" s="63" t="s">
        <v>731</v>
      </c>
      <c r="L262" s="63" t="s">
        <v>1296</v>
      </c>
      <c r="M262" s="63" t="s">
        <v>1297</v>
      </c>
      <c r="N262" s="63" t="s">
        <v>1298</v>
      </c>
      <c r="O262" s="63" t="s">
        <v>1299</v>
      </c>
      <c r="P262" s="63" t="s">
        <v>1300</v>
      </c>
      <c r="Q262" s="50" t="s">
        <v>1301</v>
      </c>
      <c r="R262" s="50" t="s">
        <v>1302</v>
      </c>
      <c r="S262" s="48"/>
      <c r="T262" s="67" t="s">
        <v>1303</v>
      </c>
      <c r="U262" s="67" t="s">
        <v>1303</v>
      </c>
      <c r="V262" s="48">
        <v>0.0</v>
      </c>
      <c r="W262" s="68">
        <v>0.0</v>
      </c>
      <c r="X262" s="50" t="s">
        <v>1304</v>
      </c>
      <c r="Y262" s="50" t="s">
        <v>1305</v>
      </c>
    </row>
    <row r="263">
      <c r="A263" s="65">
        <f>ROW()-ROW(Table_Actions[N])</f>
        <v>27</v>
      </c>
      <c r="B263" s="54" t="s">
        <v>1336</v>
      </c>
      <c r="C263" s="62" t="b">
        <v>0</v>
      </c>
      <c r="D263" s="63" t="s">
        <v>1312</v>
      </c>
      <c r="E263" s="63" t="s">
        <v>361</v>
      </c>
      <c r="F263" s="63" t="s">
        <v>364</v>
      </c>
      <c r="G263" s="63" t="s">
        <v>732</v>
      </c>
      <c r="H263" s="63" t="s">
        <v>1337</v>
      </c>
      <c r="I263" s="66" t="s">
        <v>730</v>
      </c>
      <c r="J263" s="63" t="s">
        <v>1295</v>
      </c>
      <c r="K263" s="63" t="s">
        <v>731</v>
      </c>
      <c r="L263" s="63" t="s">
        <v>1296</v>
      </c>
      <c r="M263" s="63" t="s">
        <v>1297</v>
      </c>
      <c r="N263" s="63" t="s">
        <v>1298</v>
      </c>
      <c r="O263" s="63" t="s">
        <v>1299</v>
      </c>
      <c r="P263" s="63" t="s">
        <v>1300</v>
      </c>
      <c r="Q263" s="50" t="s">
        <v>1301</v>
      </c>
      <c r="R263" s="50" t="s">
        <v>1302</v>
      </c>
      <c r="S263" s="48"/>
      <c r="T263" s="67" t="s">
        <v>1303</v>
      </c>
      <c r="U263" s="67" t="s">
        <v>1303</v>
      </c>
      <c r="V263" s="48">
        <v>0.0</v>
      </c>
      <c r="W263" s="68">
        <v>0.0</v>
      </c>
      <c r="X263" s="50" t="s">
        <v>1304</v>
      </c>
      <c r="Y263" s="50" t="s">
        <v>1305</v>
      </c>
    </row>
    <row r="264">
      <c r="A264" s="65">
        <f>ROW()-ROW(Table_Actions[N])</f>
        <v>28</v>
      </c>
      <c r="B264" s="54" t="s">
        <v>1338</v>
      </c>
      <c r="C264" s="62" t="b">
        <v>0</v>
      </c>
      <c r="D264" s="63" t="s">
        <v>1312</v>
      </c>
      <c r="E264" s="63" t="s">
        <v>361</v>
      </c>
      <c r="F264" s="63" t="s">
        <v>364</v>
      </c>
      <c r="G264" s="63" t="s">
        <v>732</v>
      </c>
      <c r="H264" s="63" t="s">
        <v>1339</v>
      </c>
      <c r="I264" s="66" t="s">
        <v>730</v>
      </c>
      <c r="J264" s="63" t="s">
        <v>1295</v>
      </c>
      <c r="K264" s="63" t="s">
        <v>731</v>
      </c>
      <c r="L264" s="63" t="s">
        <v>1296</v>
      </c>
      <c r="M264" s="63" t="s">
        <v>1297</v>
      </c>
      <c r="N264" s="63" t="s">
        <v>1298</v>
      </c>
      <c r="O264" s="63" t="s">
        <v>1299</v>
      </c>
      <c r="P264" s="63" t="s">
        <v>1300</v>
      </c>
      <c r="Q264" s="50" t="s">
        <v>1301</v>
      </c>
      <c r="R264" s="50" t="s">
        <v>1302</v>
      </c>
      <c r="S264" s="48"/>
      <c r="T264" s="67" t="s">
        <v>1303</v>
      </c>
      <c r="U264" s="67" t="s">
        <v>1303</v>
      </c>
      <c r="V264" s="48">
        <v>0.0</v>
      </c>
      <c r="W264" s="68">
        <v>0.0</v>
      </c>
      <c r="X264" s="50" t="s">
        <v>1304</v>
      </c>
      <c r="Y264" s="50" t="s">
        <v>1305</v>
      </c>
    </row>
    <row r="265">
      <c r="A265" s="65">
        <f>ROW()-ROW(Table_Actions[N])</f>
        <v>29</v>
      </c>
      <c r="B265" s="54" t="s">
        <v>1134</v>
      </c>
      <c r="C265" s="62" t="b">
        <v>0</v>
      </c>
      <c r="D265" s="63" t="s">
        <v>1324</v>
      </c>
      <c r="E265" s="63" t="s">
        <v>432</v>
      </c>
      <c r="F265" s="63" t="s">
        <v>364</v>
      </c>
      <c r="G265" s="63" t="s">
        <v>732</v>
      </c>
      <c r="H265" s="63" t="s">
        <v>1294</v>
      </c>
      <c r="I265" s="66" t="s">
        <v>730</v>
      </c>
      <c r="J265" s="63" t="s">
        <v>1295</v>
      </c>
      <c r="K265" s="63" t="s">
        <v>731</v>
      </c>
      <c r="L265" s="63" t="s">
        <v>1296</v>
      </c>
      <c r="M265" s="63" t="s">
        <v>1297</v>
      </c>
      <c r="N265" s="63" t="s">
        <v>1298</v>
      </c>
      <c r="O265" s="63" t="s">
        <v>1299</v>
      </c>
      <c r="P265" s="63" t="s">
        <v>1300</v>
      </c>
      <c r="Q265" s="50" t="s">
        <v>1301</v>
      </c>
      <c r="R265" s="50" t="s">
        <v>1302</v>
      </c>
      <c r="S265" s="48"/>
      <c r="T265" s="67" t="s">
        <v>1303</v>
      </c>
      <c r="U265" s="67" t="s">
        <v>1303</v>
      </c>
      <c r="V265" s="48">
        <v>0.0</v>
      </c>
      <c r="W265" s="68">
        <v>0.0</v>
      </c>
      <c r="X265" s="50" t="s">
        <v>1304</v>
      </c>
      <c r="Y265" s="50" t="s">
        <v>1305</v>
      </c>
    </row>
    <row r="266">
      <c r="A266" s="65">
        <f>ROW()-ROW(Table_Actions[N])</f>
        <v>30</v>
      </c>
      <c r="B266" s="54" t="s">
        <v>1340</v>
      </c>
      <c r="C266" s="62" t="b">
        <v>0</v>
      </c>
      <c r="D266" s="63" t="s">
        <v>1326</v>
      </c>
      <c r="E266" s="63" t="s">
        <v>432</v>
      </c>
      <c r="F266" s="63" t="s">
        <v>364</v>
      </c>
      <c r="G266" s="63" t="s">
        <v>13</v>
      </c>
      <c r="H266" s="63" t="s">
        <v>1294</v>
      </c>
      <c r="I266" s="66" t="s">
        <v>730</v>
      </c>
      <c r="J266" s="63" t="s">
        <v>1295</v>
      </c>
      <c r="K266" s="63" t="s">
        <v>731</v>
      </c>
      <c r="L266" s="63" t="s">
        <v>1296</v>
      </c>
      <c r="M266" s="63" t="s">
        <v>1297</v>
      </c>
      <c r="N266" s="63" t="s">
        <v>1298</v>
      </c>
      <c r="O266" s="63" t="s">
        <v>1299</v>
      </c>
      <c r="P266" s="63" t="s">
        <v>1300</v>
      </c>
      <c r="Q266" s="50" t="s">
        <v>1301</v>
      </c>
      <c r="R266" s="50" t="s">
        <v>1302</v>
      </c>
      <c r="S266" s="48"/>
      <c r="T266" s="67" t="s">
        <v>1303</v>
      </c>
      <c r="U266" s="67" t="s">
        <v>1303</v>
      </c>
      <c r="V266" s="48">
        <v>0.0</v>
      </c>
      <c r="W266" s="68">
        <v>0.0</v>
      </c>
      <c r="X266" s="50" t="s">
        <v>1304</v>
      </c>
      <c r="Y266" s="50" t="s">
        <v>1305</v>
      </c>
    </row>
    <row r="267">
      <c r="A267" s="65">
        <f>ROW()-ROW(Table_Actions[N])</f>
        <v>31</v>
      </c>
      <c r="B267" s="54" t="s">
        <v>1137</v>
      </c>
      <c r="C267" s="62" t="b">
        <v>0</v>
      </c>
      <c r="D267" s="63" t="s">
        <v>1318</v>
      </c>
      <c r="E267" s="63" t="s">
        <v>450</v>
      </c>
      <c r="F267" s="63" t="s">
        <v>364</v>
      </c>
      <c r="G267" s="63" t="s">
        <v>732</v>
      </c>
      <c r="H267" s="63" t="s">
        <v>1294</v>
      </c>
      <c r="I267" s="66" t="s">
        <v>730</v>
      </c>
      <c r="J267" s="63" t="s">
        <v>1295</v>
      </c>
      <c r="K267" s="63" t="s">
        <v>731</v>
      </c>
      <c r="L267" s="63" t="s">
        <v>1296</v>
      </c>
      <c r="M267" s="63" t="s">
        <v>1297</v>
      </c>
      <c r="N267" s="63" t="s">
        <v>1298</v>
      </c>
      <c r="O267" s="63" t="s">
        <v>1299</v>
      </c>
      <c r="P267" s="63" t="s">
        <v>1300</v>
      </c>
      <c r="Q267" s="50" t="s">
        <v>1301</v>
      </c>
      <c r="R267" s="50" t="s">
        <v>1302</v>
      </c>
      <c r="S267" s="48"/>
      <c r="T267" s="67" t="s">
        <v>1303</v>
      </c>
      <c r="U267" s="67" t="s">
        <v>1303</v>
      </c>
      <c r="V267" s="48">
        <v>0.0</v>
      </c>
      <c r="W267" s="68">
        <v>0.0</v>
      </c>
      <c r="X267" s="50" t="s">
        <v>1304</v>
      </c>
      <c r="Y267" s="50" t="s">
        <v>1305</v>
      </c>
    </row>
    <row r="268">
      <c r="A268" s="65">
        <f>ROW()-ROW(Table_Actions[N])</f>
        <v>32</v>
      </c>
      <c r="B268" s="54" t="s">
        <v>1341</v>
      </c>
      <c r="C268" s="62" t="b">
        <v>0</v>
      </c>
      <c r="D268" s="63" t="s">
        <v>1312</v>
      </c>
      <c r="E268" s="63" t="s">
        <v>361</v>
      </c>
      <c r="F268" s="63" t="s">
        <v>364</v>
      </c>
      <c r="G268" s="63" t="s">
        <v>732</v>
      </c>
      <c r="H268" s="63" t="s">
        <v>1342</v>
      </c>
      <c r="I268" s="66" t="s">
        <v>730</v>
      </c>
      <c r="J268" s="63" t="s">
        <v>1295</v>
      </c>
      <c r="K268" s="63" t="s">
        <v>731</v>
      </c>
      <c r="L268" s="63" t="s">
        <v>1296</v>
      </c>
      <c r="M268" s="63" t="s">
        <v>1297</v>
      </c>
      <c r="N268" s="63" t="s">
        <v>1298</v>
      </c>
      <c r="O268" s="63" t="s">
        <v>1299</v>
      </c>
      <c r="P268" s="63" t="s">
        <v>1300</v>
      </c>
      <c r="Q268" s="50" t="s">
        <v>1301</v>
      </c>
      <c r="R268" s="50" t="s">
        <v>1302</v>
      </c>
      <c r="S268" s="48"/>
      <c r="T268" s="67" t="s">
        <v>1303</v>
      </c>
      <c r="U268" s="67" t="s">
        <v>1303</v>
      </c>
      <c r="V268" s="48">
        <v>0.0</v>
      </c>
      <c r="W268" s="68">
        <v>0.0</v>
      </c>
      <c r="X268" s="50" t="s">
        <v>1304</v>
      </c>
      <c r="Y268" s="50" t="s">
        <v>1305</v>
      </c>
    </row>
    <row r="269">
      <c r="A269" s="65">
        <f>ROW()-ROW(Table_Actions[N])</f>
        <v>33</v>
      </c>
      <c r="B269" s="54" t="s">
        <v>1140</v>
      </c>
      <c r="C269" s="62" t="b">
        <v>0</v>
      </c>
      <c r="D269" s="63" t="s">
        <v>1318</v>
      </c>
      <c r="E269" s="63" t="s">
        <v>454</v>
      </c>
      <c r="F269" s="63" t="s">
        <v>364</v>
      </c>
      <c r="G269" s="63" t="s">
        <v>732</v>
      </c>
      <c r="H269" s="63" t="s">
        <v>1294</v>
      </c>
      <c r="I269" s="66" t="s">
        <v>730</v>
      </c>
      <c r="J269" s="63" t="s">
        <v>1295</v>
      </c>
      <c r="K269" s="63" t="s">
        <v>731</v>
      </c>
      <c r="L269" s="63" t="s">
        <v>1296</v>
      </c>
      <c r="M269" s="63" t="s">
        <v>1297</v>
      </c>
      <c r="N269" s="63" t="s">
        <v>1298</v>
      </c>
      <c r="O269" s="63" t="s">
        <v>1299</v>
      </c>
      <c r="P269" s="63" t="s">
        <v>1300</v>
      </c>
      <c r="Q269" s="50" t="s">
        <v>1301</v>
      </c>
      <c r="R269" s="50" t="s">
        <v>1302</v>
      </c>
      <c r="S269" s="48"/>
      <c r="T269" s="67" t="s">
        <v>1303</v>
      </c>
      <c r="U269" s="67" t="s">
        <v>1303</v>
      </c>
      <c r="V269" s="48">
        <v>0.0</v>
      </c>
      <c r="W269" s="68">
        <v>0.0</v>
      </c>
      <c r="X269" s="50" t="s">
        <v>1304</v>
      </c>
      <c r="Y269" s="50" t="s">
        <v>1305</v>
      </c>
    </row>
    <row r="270">
      <c r="A270" s="65">
        <f>ROW()-ROW(Table_Actions[N])</f>
        <v>34</v>
      </c>
      <c r="B270" s="54" t="s">
        <v>1143</v>
      </c>
      <c r="C270" s="62" t="b">
        <v>0</v>
      </c>
      <c r="D270" s="63" t="s">
        <v>1322</v>
      </c>
      <c r="E270" s="63" t="s">
        <v>454</v>
      </c>
      <c r="F270" s="63" t="s">
        <v>364</v>
      </c>
      <c r="G270" s="63" t="s">
        <v>732</v>
      </c>
      <c r="H270" s="63" t="s">
        <v>1294</v>
      </c>
      <c r="I270" s="66" t="s">
        <v>730</v>
      </c>
      <c r="J270" s="63" t="s">
        <v>1295</v>
      </c>
      <c r="K270" s="63" t="s">
        <v>731</v>
      </c>
      <c r="L270" s="63" t="s">
        <v>1296</v>
      </c>
      <c r="M270" s="63" t="s">
        <v>1297</v>
      </c>
      <c r="N270" s="63" t="s">
        <v>1298</v>
      </c>
      <c r="O270" s="63" t="s">
        <v>1299</v>
      </c>
      <c r="P270" s="63" t="s">
        <v>1300</v>
      </c>
      <c r="Q270" s="50" t="s">
        <v>1301</v>
      </c>
      <c r="R270" s="50" t="s">
        <v>1302</v>
      </c>
      <c r="S270" s="48"/>
      <c r="T270" s="67" t="s">
        <v>1303</v>
      </c>
      <c r="U270" s="67" t="s">
        <v>1303</v>
      </c>
      <c r="V270" s="48">
        <v>0.0</v>
      </c>
      <c r="W270" s="68">
        <v>0.0</v>
      </c>
      <c r="X270" s="50" t="s">
        <v>1304</v>
      </c>
      <c r="Y270" s="50" t="s">
        <v>1305</v>
      </c>
    </row>
    <row r="271">
      <c r="A271" s="65">
        <f>ROW()-ROW(Table_Actions[N])</f>
        <v>35</v>
      </c>
      <c r="B271" s="54" t="s">
        <v>1146</v>
      </c>
      <c r="C271" s="62" t="b">
        <v>0</v>
      </c>
      <c r="D271" s="63" t="s">
        <v>1310</v>
      </c>
      <c r="E271" s="63" t="s">
        <v>361</v>
      </c>
      <c r="F271" s="63" t="s">
        <v>364</v>
      </c>
      <c r="G271" s="63" t="s">
        <v>732</v>
      </c>
      <c r="H271" s="63" t="s">
        <v>1294</v>
      </c>
      <c r="I271" s="66" t="s">
        <v>1343</v>
      </c>
      <c r="J271" s="63" t="s">
        <v>1295</v>
      </c>
      <c r="K271" s="63" t="s">
        <v>731</v>
      </c>
      <c r="L271" s="63" t="s">
        <v>1296</v>
      </c>
      <c r="M271" s="63" t="s">
        <v>1297</v>
      </c>
      <c r="N271" s="63" t="s">
        <v>1298</v>
      </c>
      <c r="O271" s="63" t="s">
        <v>1299</v>
      </c>
      <c r="P271" s="63" t="s">
        <v>1300</v>
      </c>
      <c r="Q271" s="50" t="s">
        <v>1301</v>
      </c>
      <c r="R271" s="50" t="s">
        <v>1302</v>
      </c>
      <c r="S271" s="48"/>
      <c r="T271" s="67" t="s">
        <v>1303</v>
      </c>
      <c r="U271" s="67" t="s">
        <v>1303</v>
      </c>
      <c r="V271" s="48">
        <v>0.0</v>
      </c>
      <c r="W271" s="68">
        <v>0.0</v>
      </c>
      <c r="X271" s="50" t="s">
        <v>1304</v>
      </c>
      <c r="Y271" s="50" t="s">
        <v>1305</v>
      </c>
    </row>
    <row r="272">
      <c r="A272" s="65">
        <f>ROW()-ROW(Table_Actions[N])</f>
        <v>36</v>
      </c>
      <c r="B272" s="54" t="s">
        <v>1149</v>
      </c>
      <c r="C272" s="62" t="b">
        <v>0</v>
      </c>
      <c r="D272" s="63" t="s">
        <v>1324</v>
      </c>
      <c r="E272" s="63" t="s">
        <v>466</v>
      </c>
      <c r="F272" s="63" t="s">
        <v>364</v>
      </c>
      <c r="G272" s="63" t="s">
        <v>732</v>
      </c>
      <c r="H272" s="63" t="s">
        <v>1294</v>
      </c>
      <c r="I272" s="66" t="s">
        <v>730</v>
      </c>
      <c r="J272" s="63" t="s">
        <v>1295</v>
      </c>
      <c r="K272" s="63" t="s">
        <v>731</v>
      </c>
      <c r="L272" s="63" t="s">
        <v>1296</v>
      </c>
      <c r="M272" s="63" t="s">
        <v>1297</v>
      </c>
      <c r="N272" s="63" t="s">
        <v>1298</v>
      </c>
      <c r="O272" s="63" t="s">
        <v>1299</v>
      </c>
      <c r="P272" s="63" t="s">
        <v>1300</v>
      </c>
      <c r="Q272" s="50" t="s">
        <v>1301</v>
      </c>
      <c r="R272" s="50" t="s">
        <v>1302</v>
      </c>
      <c r="S272" s="48"/>
      <c r="T272" s="67" t="s">
        <v>1303</v>
      </c>
      <c r="U272" s="67" t="s">
        <v>1303</v>
      </c>
      <c r="V272" s="48">
        <v>0.0</v>
      </c>
      <c r="W272" s="68">
        <v>0.0</v>
      </c>
      <c r="X272" s="50" t="s">
        <v>1304</v>
      </c>
      <c r="Y272" s="50" t="s">
        <v>1305</v>
      </c>
    </row>
    <row r="273">
      <c r="A273" s="65">
        <f>ROW()-ROW(Table_Actions[N])</f>
        <v>37</v>
      </c>
      <c r="B273" s="54" t="s">
        <v>1344</v>
      </c>
      <c r="C273" s="62" t="b">
        <v>0</v>
      </c>
      <c r="D273" s="63" t="s">
        <v>1326</v>
      </c>
      <c r="E273" s="63" t="s">
        <v>466</v>
      </c>
      <c r="F273" s="63" t="s">
        <v>364</v>
      </c>
      <c r="G273" s="63" t="s">
        <v>13</v>
      </c>
      <c r="H273" s="63" t="s">
        <v>1294</v>
      </c>
      <c r="I273" s="66" t="s">
        <v>730</v>
      </c>
      <c r="J273" s="63" t="s">
        <v>1295</v>
      </c>
      <c r="K273" s="63" t="s">
        <v>731</v>
      </c>
      <c r="L273" s="63" t="s">
        <v>1296</v>
      </c>
      <c r="M273" s="63" t="s">
        <v>1297</v>
      </c>
      <c r="N273" s="63" t="s">
        <v>1298</v>
      </c>
      <c r="O273" s="63" t="s">
        <v>1299</v>
      </c>
      <c r="P273" s="63" t="s">
        <v>1300</v>
      </c>
      <c r="Q273" s="50" t="s">
        <v>1301</v>
      </c>
      <c r="R273" s="50" t="s">
        <v>1302</v>
      </c>
      <c r="S273" s="48"/>
      <c r="T273" s="67" t="s">
        <v>1303</v>
      </c>
      <c r="U273" s="67" t="s">
        <v>1303</v>
      </c>
      <c r="V273" s="48">
        <v>0.0</v>
      </c>
      <c r="W273" s="68">
        <v>0.0</v>
      </c>
      <c r="X273" s="50" t="s">
        <v>1304</v>
      </c>
      <c r="Y273" s="50" t="s">
        <v>1305</v>
      </c>
    </row>
    <row r="274">
      <c r="A274" s="65">
        <f>ROW()-ROW(Table_Actions[N])</f>
        <v>38</v>
      </c>
      <c r="B274" s="54" t="s">
        <v>1345</v>
      </c>
      <c r="C274" s="62" t="b">
        <v>0</v>
      </c>
      <c r="D274" s="63" t="s">
        <v>1324</v>
      </c>
      <c r="E274" s="63" t="s">
        <v>461</v>
      </c>
      <c r="F274" s="63" t="s">
        <v>364</v>
      </c>
      <c r="G274" s="63" t="s">
        <v>732</v>
      </c>
      <c r="H274" s="63" t="s">
        <v>1294</v>
      </c>
      <c r="I274" s="66" t="s">
        <v>730</v>
      </c>
      <c r="J274" s="63" t="s">
        <v>1295</v>
      </c>
      <c r="K274" s="63" t="s">
        <v>731</v>
      </c>
      <c r="L274" s="63" t="s">
        <v>1296</v>
      </c>
      <c r="M274" s="63" t="s">
        <v>1297</v>
      </c>
      <c r="N274" s="63" t="s">
        <v>1298</v>
      </c>
      <c r="O274" s="63" t="s">
        <v>1299</v>
      </c>
      <c r="P274" s="63" t="s">
        <v>1300</v>
      </c>
      <c r="Q274" s="50" t="s">
        <v>1301</v>
      </c>
      <c r="R274" s="50" t="s">
        <v>1302</v>
      </c>
      <c r="S274" s="48"/>
      <c r="T274" s="67" t="s">
        <v>1303</v>
      </c>
      <c r="U274" s="67" t="s">
        <v>1303</v>
      </c>
      <c r="V274" s="48">
        <v>0.0</v>
      </c>
      <c r="W274" s="68">
        <v>0.0</v>
      </c>
      <c r="X274" s="50" t="s">
        <v>1304</v>
      </c>
      <c r="Y274" s="50" t="s">
        <v>1305</v>
      </c>
    </row>
    <row r="275">
      <c r="A275" s="65">
        <f>ROW()-ROW(Table_Actions[N])</f>
        <v>39</v>
      </c>
      <c r="B275" s="54" t="s">
        <v>1346</v>
      </c>
      <c r="C275" s="62" t="b">
        <v>0</v>
      </c>
      <c r="D275" s="63" t="s">
        <v>1318</v>
      </c>
      <c r="E275" s="63" t="s">
        <v>471</v>
      </c>
      <c r="F275" s="63" t="s">
        <v>364</v>
      </c>
      <c r="G275" s="63" t="s">
        <v>732</v>
      </c>
      <c r="H275" s="63" t="s">
        <v>1294</v>
      </c>
      <c r="I275" s="66" t="s">
        <v>730</v>
      </c>
      <c r="J275" s="63" t="s">
        <v>1295</v>
      </c>
      <c r="K275" s="63" t="s">
        <v>731</v>
      </c>
      <c r="L275" s="63" t="s">
        <v>1296</v>
      </c>
      <c r="M275" s="63" t="s">
        <v>1297</v>
      </c>
      <c r="N275" s="63" t="s">
        <v>1298</v>
      </c>
      <c r="O275" s="63" t="s">
        <v>1299</v>
      </c>
      <c r="P275" s="63" t="s">
        <v>1300</v>
      </c>
      <c r="Q275" s="50" t="s">
        <v>1301</v>
      </c>
      <c r="R275" s="50" t="s">
        <v>1302</v>
      </c>
      <c r="S275" s="48"/>
      <c r="T275" s="67" t="s">
        <v>1303</v>
      </c>
      <c r="U275" s="67" t="s">
        <v>1303</v>
      </c>
      <c r="V275" s="48">
        <v>0.0</v>
      </c>
      <c r="W275" s="68">
        <v>0.0</v>
      </c>
      <c r="X275" s="50" t="s">
        <v>1304</v>
      </c>
      <c r="Y275" s="50" t="s">
        <v>1305</v>
      </c>
    </row>
    <row r="276">
      <c r="A276" s="65">
        <f>ROW()-ROW(Table_Actions[N])</f>
        <v>40</v>
      </c>
      <c r="B276" s="54" t="s">
        <v>1155</v>
      </c>
      <c r="C276" s="62" t="b">
        <v>0</v>
      </c>
      <c r="D276" s="63" t="s">
        <v>1318</v>
      </c>
      <c r="E276" s="63" t="s">
        <v>475</v>
      </c>
      <c r="F276" s="63" t="s">
        <v>364</v>
      </c>
      <c r="G276" s="63" t="s">
        <v>732</v>
      </c>
      <c r="H276" s="63" t="s">
        <v>1294</v>
      </c>
      <c r="I276" s="66" t="s">
        <v>730</v>
      </c>
      <c r="J276" s="63" t="s">
        <v>1295</v>
      </c>
      <c r="K276" s="63" t="s">
        <v>731</v>
      </c>
      <c r="L276" s="63" t="s">
        <v>1296</v>
      </c>
      <c r="M276" s="63" t="s">
        <v>1297</v>
      </c>
      <c r="N276" s="63" t="s">
        <v>1298</v>
      </c>
      <c r="O276" s="63" t="s">
        <v>1299</v>
      </c>
      <c r="P276" s="63" t="s">
        <v>1300</v>
      </c>
      <c r="Q276" s="50" t="s">
        <v>1301</v>
      </c>
      <c r="R276" s="50" t="s">
        <v>1302</v>
      </c>
      <c r="S276" s="48"/>
      <c r="T276" s="67" t="s">
        <v>1303</v>
      </c>
      <c r="U276" s="67" t="s">
        <v>1303</v>
      </c>
      <c r="V276" s="48">
        <v>0.0</v>
      </c>
      <c r="W276" s="68">
        <v>0.0</v>
      </c>
      <c r="X276" s="50" t="s">
        <v>1304</v>
      </c>
      <c r="Y276" s="50" t="s">
        <v>1305</v>
      </c>
    </row>
    <row r="277">
      <c r="A277" s="65">
        <f>ROW()-ROW(Table_Actions[N])</f>
        <v>41</v>
      </c>
      <c r="B277" s="54" t="s">
        <v>1347</v>
      </c>
      <c r="C277" s="62" t="b">
        <v>0</v>
      </c>
      <c r="D277" s="63" t="s">
        <v>1326</v>
      </c>
      <c r="E277" s="63" t="s">
        <v>479</v>
      </c>
      <c r="F277" s="63" t="s">
        <v>364</v>
      </c>
      <c r="G277" s="63" t="s">
        <v>13</v>
      </c>
      <c r="H277" s="63" t="s">
        <v>1294</v>
      </c>
      <c r="I277" s="66" t="s">
        <v>730</v>
      </c>
      <c r="J277" s="63" t="s">
        <v>1295</v>
      </c>
      <c r="K277" s="63" t="s">
        <v>731</v>
      </c>
      <c r="L277" s="63" t="s">
        <v>1296</v>
      </c>
      <c r="M277" s="63" t="s">
        <v>1297</v>
      </c>
      <c r="N277" s="63" t="s">
        <v>1298</v>
      </c>
      <c r="O277" s="63" t="s">
        <v>1299</v>
      </c>
      <c r="P277" s="63" t="s">
        <v>1300</v>
      </c>
      <c r="Q277" s="50" t="s">
        <v>1301</v>
      </c>
      <c r="R277" s="50" t="s">
        <v>1302</v>
      </c>
      <c r="S277" s="48"/>
      <c r="T277" s="67" t="s">
        <v>1303</v>
      </c>
      <c r="U277" s="67" t="s">
        <v>1303</v>
      </c>
      <c r="V277" s="48">
        <v>0.0</v>
      </c>
      <c r="W277" s="68">
        <v>0.0</v>
      </c>
      <c r="X277" s="50" t="s">
        <v>1304</v>
      </c>
      <c r="Y277" s="50" t="s">
        <v>1305</v>
      </c>
    </row>
    <row r="278">
      <c r="A278" s="65">
        <f>ROW()-ROW(Table_Actions[N])</f>
        <v>42</v>
      </c>
      <c r="B278" s="54" t="s">
        <v>1348</v>
      </c>
      <c r="C278" s="62" t="b">
        <v>0</v>
      </c>
      <c r="D278" s="63" t="s">
        <v>1322</v>
      </c>
      <c r="E278" s="63" t="s">
        <v>486</v>
      </c>
      <c r="F278" s="63" t="s">
        <v>364</v>
      </c>
      <c r="G278" s="63" t="s">
        <v>732</v>
      </c>
      <c r="H278" s="63" t="s">
        <v>1294</v>
      </c>
      <c r="I278" s="66" t="s">
        <v>730</v>
      </c>
      <c r="J278" s="63" t="s">
        <v>1295</v>
      </c>
      <c r="K278" s="63" t="s">
        <v>731</v>
      </c>
      <c r="L278" s="63" t="s">
        <v>1296</v>
      </c>
      <c r="M278" s="63" t="s">
        <v>1297</v>
      </c>
      <c r="N278" s="63" t="s">
        <v>1298</v>
      </c>
      <c r="O278" s="63" t="s">
        <v>1299</v>
      </c>
      <c r="P278" s="63" t="s">
        <v>1300</v>
      </c>
      <c r="Q278" s="50" t="s">
        <v>1301</v>
      </c>
      <c r="R278" s="50" t="s">
        <v>1302</v>
      </c>
      <c r="S278" s="48"/>
      <c r="T278" s="67" t="s">
        <v>1303</v>
      </c>
      <c r="U278" s="67" t="s">
        <v>1303</v>
      </c>
      <c r="V278" s="48">
        <v>0.0</v>
      </c>
      <c r="W278" s="68">
        <v>0.0</v>
      </c>
      <c r="X278" s="50" t="s">
        <v>1304</v>
      </c>
      <c r="Y278" s="50" t="s">
        <v>1305</v>
      </c>
    </row>
    <row r="279">
      <c r="A279" s="65">
        <f>ROW()-ROW(Table_Actions[N])</f>
        <v>43</v>
      </c>
      <c r="B279" s="54" t="s">
        <v>1349</v>
      </c>
      <c r="C279" s="62" t="b">
        <v>0</v>
      </c>
      <c r="D279" s="63" t="s">
        <v>1318</v>
      </c>
      <c r="E279" s="63" t="s">
        <v>490</v>
      </c>
      <c r="F279" s="63" t="s">
        <v>364</v>
      </c>
      <c r="G279" s="63" t="s">
        <v>732</v>
      </c>
      <c r="H279" s="63" t="s">
        <v>1294</v>
      </c>
      <c r="I279" s="66" t="s">
        <v>730</v>
      </c>
      <c r="J279" s="63" t="s">
        <v>1295</v>
      </c>
      <c r="K279" s="63" t="s">
        <v>731</v>
      </c>
      <c r="L279" s="63" t="s">
        <v>1296</v>
      </c>
      <c r="M279" s="63" t="s">
        <v>1297</v>
      </c>
      <c r="N279" s="63" t="s">
        <v>1298</v>
      </c>
      <c r="O279" s="63" t="s">
        <v>1299</v>
      </c>
      <c r="P279" s="63" t="s">
        <v>1300</v>
      </c>
      <c r="Q279" s="50" t="s">
        <v>1301</v>
      </c>
      <c r="R279" s="50" t="s">
        <v>1302</v>
      </c>
      <c r="S279" s="48"/>
      <c r="T279" s="67" t="s">
        <v>1303</v>
      </c>
      <c r="U279" s="67" t="s">
        <v>1303</v>
      </c>
      <c r="V279" s="48">
        <v>0.0</v>
      </c>
      <c r="W279" s="68">
        <v>0.0</v>
      </c>
      <c r="X279" s="50" t="s">
        <v>1304</v>
      </c>
      <c r="Y279" s="50" t="s">
        <v>1305</v>
      </c>
    </row>
    <row r="280">
      <c r="A280" s="65">
        <f>ROW()-ROW(Table_Actions[N])</f>
        <v>44</v>
      </c>
      <c r="B280" s="54" t="s">
        <v>750</v>
      </c>
      <c r="C280" s="62" t="b">
        <v>0</v>
      </c>
      <c r="D280" s="71" t="s">
        <v>1350</v>
      </c>
      <c r="E280" s="63" t="s">
        <v>361</v>
      </c>
      <c r="F280" s="63" t="s">
        <v>364</v>
      </c>
      <c r="G280" s="63" t="s">
        <v>732</v>
      </c>
      <c r="H280" s="63" t="s">
        <v>1294</v>
      </c>
      <c r="I280" s="66" t="s">
        <v>730</v>
      </c>
      <c r="J280" s="63" t="s">
        <v>1295</v>
      </c>
      <c r="K280" s="63" t="s">
        <v>731</v>
      </c>
      <c r="L280" s="63" t="s">
        <v>1351</v>
      </c>
      <c r="M280" s="63" t="s">
        <v>1297</v>
      </c>
      <c r="N280" s="63" t="s">
        <v>1298</v>
      </c>
      <c r="O280" s="63" t="s">
        <v>1299</v>
      </c>
      <c r="P280" s="63" t="s">
        <v>1300</v>
      </c>
      <c r="Q280" s="50" t="s">
        <v>1301</v>
      </c>
      <c r="R280" s="50" t="s">
        <v>1302</v>
      </c>
      <c r="S280" s="48"/>
      <c r="T280" s="67" t="s">
        <v>1303</v>
      </c>
      <c r="U280" s="67" t="s">
        <v>1303</v>
      </c>
      <c r="V280" s="48">
        <v>0.0</v>
      </c>
      <c r="W280" s="68">
        <v>0.0</v>
      </c>
      <c r="X280" s="50" t="s">
        <v>1304</v>
      </c>
      <c r="Y280" s="50" t="s">
        <v>1305</v>
      </c>
    </row>
    <row r="281">
      <c r="A281" s="65">
        <f>ROW()-ROW(Table_Actions[N])</f>
        <v>45</v>
      </c>
      <c r="B281" s="54" t="s">
        <v>1352</v>
      </c>
      <c r="C281" s="62" t="b">
        <v>0</v>
      </c>
      <c r="D281" s="71" t="s">
        <v>1350</v>
      </c>
      <c r="E281" s="63" t="s">
        <v>361</v>
      </c>
      <c r="F281" s="63" t="s">
        <v>364</v>
      </c>
      <c r="G281" s="63" t="s">
        <v>732</v>
      </c>
      <c r="H281" s="63" t="s">
        <v>1294</v>
      </c>
      <c r="I281" s="66" t="s">
        <v>730</v>
      </c>
      <c r="J281" s="63" t="s">
        <v>1295</v>
      </c>
      <c r="K281" s="63" t="s">
        <v>731</v>
      </c>
      <c r="L281" s="63" t="s">
        <v>1353</v>
      </c>
      <c r="M281" s="63" t="s">
        <v>1297</v>
      </c>
      <c r="N281" s="63" t="s">
        <v>1354</v>
      </c>
      <c r="O281" s="63" t="s">
        <v>1299</v>
      </c>
      <c r="P281" s="63" t="s">
        <v>1300</v>
      </c>
      <c r="Q281" s="50" t="s">
        <v>1301</v>
      </c>
      <c r="R281" s="50" t="s">
        <v>1302</v>
      </c>
      <c r="S281" s="48"/>
      <c r="T281" s="67" t="s">
        <v>1303</v>
      </c>
      <c r="U281" s="67" t="s">
        <v>1303</v>
      </c>
      <c r="V281" s="48">
        <v>0.0</v>
      </c>
      <c r="W281" s="68">
        <v>0.0</v>
      </c>
      <c r="X281" s="50" t="s">
        <v>1304</v>
      </c>
      <c r="Y281" s="50" t="s">
        <v>1305</v>
      </c>
    </row>
    <row r="282">
      <c r="A282" s="65">
        <f>ROW()-ROW(Table_Actions[N])</f>
        <v>46</v>
      </c>
      <c r="B282" s="54" t="s">
        <v>1355</v>
      </c>
      <c r="C282" s="62" t="b">
        <v>0</v>
      </c>
      <c r="D282" s="71" t="s">
        <v>1350</v>
      </c>
      <c r="E282" s="63" t="s">
        <v>361</v>
      </c>
      <c r="F282" s="63" t="s">
        <v>364</v>
      </c>
      <c r="G282" s="63" t="s">
        <v>732</v>
      </c>
      <c r="H282" s="63" t="s">
        <v>1294</v>
      </c>
      <c r="I282" s="66" t="s">
        <v>730</v>
      </c>
      <c r="J282" s="63" t="s">
        <v>1295</v>
      </c>
      <c r="K282" s="63" t="s">
        <v>731</v>
      </c>
      <c r="L282" s="63" t="s">
        <v>1353</v>
      </c>
      <c r="M282" s="63" t="s">
        <v>1297</v>
      </c>
      <c r="N282" s="63" t="s">
        <v>1356</v>
      </c>
      <c r="O282" s="63" t="s">
        <v>1299</v>
      </c>
      <c r="P282" s="63" t="s">
        <v>1300</v>
      </c>
      <c r="Q282" s="50" t="s">
        <v>1301</v>
      </c>
      <c r="R282" s="50" t="s">
        <v>1302</v>
      </c>
      <c r="S282" s="48"/>
      <c r="T282" s="67" t="s">
        <v>1303</v>
      </c>
      <c r="U282" s="67" t="s">
        <v>1303</v>
      </c>
      <c r="V282" s="48">
        <v>0.0</v>
      </c>
      <c r="W282" s="68">
        <v>0.0</v>
      </c>
      <c r="X282" s="50" t="s">
        <v>1304</v>
      </c>
      <c r="Y282" s="50" t="s">
        <v>1305</v>
      </c>
    </row>
    <row r="283">
      <c r="A283" s="65">
        <f>ROW()-ROW(Table_Actions[N])</f>
        <v>47</v>
      </c>
      <c r="B283" s="54" t="s">
        <v>1357</v>
      </c>
      <c r="C283" s="62" t="b">
        <v>0</v>
      </c>
      <c r="D283" s="71" t="s">
        <v>1350</v>
      </c>
      <c r="E283" s="63" t="s">
        <v>361</v>
      </c>
      <c r="F283" s="63" t="s">
        <v>364</v>
      </c>
      <c r="G283" s="63" t="s">
        <v>732</v>
      </c>
      <c r="H283" s="63" t="s">
        <v>1294</v>
      </c>
      <c r="I283" s="66" t="s">
        <v>730</v>
      </c>
      <c r="J283" s="63" t="s">
        <v>1295</v>
      </c>
      <c r="K283" s="63" t="s">
        <v>731</v>
      </c>
      <c r="L283" s="63" t="s">
        <v>1353</v>
      </c>
      <c r="M283" s="63" t="s">
        <v>1297</v>
      </c>
      <c r="N283" s="63" t="s">
        <v>1358</v>
      </c>
      <c r="O283" s="63" t="s">
        <v>1299</v>
      </c>
      <c r="P283" s="63" t="s">
        <v>1300</v>
      </c>
      <c r="Q283" s="50" t="s">
        <v>1301</v>
      </c>
      <c r="R283" s="50" t="s">
        <v>1302</v>
      </c>
      <c r="S283" s="48"/>
      <c r="T283" s="67" t="s">
        <v>1303</v>
      </c>
      <c r="U283" s="67" t="s">
        <v>1303</v>
      </c>
      <c r="V283" s="48">
        <v>0.0</v>
      </c>
      <c r="W283" s="68">
        <v>0.0</v>
      </c>
      <c r="X283" s="50" t="s">
        <v>1304</v>
      </c>
      <c r="Y283" s="50" t="s">
        <v>1305</v>
      </c>
    </row>
    <row r="284">
      <c r="A284" s="65">
        <f>ROW()-ROW(Table_Actions[N])</f>
        <v>48</v>
      </c>
      <c r="B284" s="54" t="s">
        <v>1359</v>
      </c>
      <c r="C284" s="62" t="b">
        <v>0</v>
      </c>
      <c r="D284" s="71" t="s">
        <v>1350</v>
      </c>
      <c r="E284" s="63" t="s">
        <v>361</v>
      </c>
      <c r="F284" s="63" t="s">
        <v>364</v>
      </c>
      <c r="G284" s="63" t="s">
        <v>732</v>
      </c>
      <c r="H284" s="63" t="s">
        <v>1294</v>
      </c>
      <c r="I284" s="66" t="s">
        <v>730</v>
      </c>
      <c r="J284" s="63" t="s">
        <v>1295</v>
      </c>
      <c r="K284" s="63" t="s">
        <v>731</v>
      </c>
      <c r="L284" s="63" t="s">
        <v>1353</v>
      </c>
      <c r="M284" s="63" t="s">
        <v>1297</v>
      </c>
      <c r="N284" s="63" t="s">
        <v>1360</v>
      </c>
      <c r="O284" s="63" t="s">
        <v>1299</v>
      </c>
      <c r="P284" s="63" t="s">
        <v>1300</v>
      </c>
      <c r="Q284" s="50" t="s">
        <v>1301</v>
      </c>
      <c r="R284" s="50" t="s">
        <v>1302</v>
      </c>
      <c r="S284" s="48"/>
      <c r="T284" s="67" t="s">
        <v>1303</v>
      </c>
      <c r="U284" s="67" t="s">
        <v>1303</v>
      </c>
      <c r="V284" s="48">
        <v>0.0</v>
      </c>
      <c r="W284" s="68">
        <v>0.0</v>
      </c>
      <c r="X284" s="50" t="s">
        <v>1304</v>
      </c>
      <c r="Y284" s="50" t="s">
        <v>1305</v>
      </c>
    </row>
    <row r="285">
      <c r="A285" s="65">
        <f>ROW()-ROW(Table_Actions[N])</f>
        <v>49</v>
      </c>
      <c r="B285" s="54" t="s">
        <v>760</v>
      </c>
      <c r="C285" s="62" t="b">
        <v>0</v>
      </c>
      <c r="D285" s="71" t="s">
        <v>1350</v>
      </c>
      <c r="E285" s="63" t="s">
        <v>361</v>
      </c>
      <c r="F285" s="63" t="s">
        <v>364</v>
      </c>
      <c r="G285" s="63" t="s">
        <v>732</v>
      </c>
      <c r="H285" s="63" t="s">
        <v>1294</v>
      </c>
      <c r="I285" s="66" t="s">
        <v>730</v>
      </c>
      <c r="J285" s="63" t="s">
        <v>1295</v>
      </c>
      <c r="K285" s="63" t="s">
        <v>731</v>
      </c>
      <c r="L285" s="63" t="s">
        <v>1361</v>
      </c>
      <c r="M285" s="63" t="s">
        <v>1297</v>
      </c>
      <c r="N285" s="63" t="s">
        <v>1298</v>
      </c>
      <c r="O285" s="63" t="s">
        <v>1299</v>
      </c>
      <c r="P285" s="63" t="s">
        <v>1300</v>
      </c>
      <c r="Q285" s="50" t="s">
        <v>1301</v>
      </c>
      <c r="R285" s="50" t="s">
        <v>1302</v>
      </c>
      <c r="S285" s="48"/>
      <c r="T285" s="67" t="s">
        <v>1303</v>
      </c>
      <c r="U285" s="67" t="s">
        <v>1303</v>
      </c>
      <c r="V285" s="48">
        <v>0.0</v>
      </c>
      <c r="W285" s="68">
        <v>0.0</v>
      </c>
      <c r="X285" s="50" t="s">
        <v>1304</v>
      </c>
      <c r="Y285" s="50" t="s">
        <v>1305</v>
      </c>
    </row>
    <row r="286">
      <c r="A286" s="65">
        <f>ROW()-ROW(Table_Actions[N])</f>
        <v>50</v>
      </c>
      <c r="B286" s="54" t="s">
        <v>755</v>
      </c>
      <c r="C286" s="62" t="b">
        <v>0</v>
      </c>
      <c r="D286" s="71" t="s">
        <v>1350</v>
      </c>
      <c r="E286" s="63" t="s">
        <v>361</v>
      </c>
      <c r="F286" s="63" t="s">
        <v>364</v>
      </c>
      <c r="G286" s="63" t="s">
        <v>732</v>
      </c>
      <c r="H286" s="63" t="s">
        <v>1294</v>
      </c>
      <c r="I286" s="66" t="s">
        <v>730</v>
      </c>
      <c r="J286" s="63" t="s">
        <v>1295</v>
      </c>
      <c r="K286" s="63" t="s">
        <v>731</v>
      </c>
      <c r="L286" s="63" t="s">
        <v>1353</v>
      </c>
      <c r="M286" s="63" t="s">
        <v>1297</v>
      </c>
      <c r="N286" s="63" t="s">
        <v>1362</v>
      </c>
      <c r="O286" s="63" t="s">
        <v>1299</v>
      </c>
      <c r="P286" s="63" t="s">
        <v>1300</v>
      </c>
      <c r="Q286" s="50" t="s">
        <v>1301</v>
      </c>
      <c r="R286" s="50" t="s">
        <v>1302</v>
      </c>
      <c r="S286" s="48"/>
      <c r="T286" s="67" t="s">
        <v>1303</v>
      </c>
      <c r="U286" s="67" t="s">
        <v>1303</v>
      </c>
      <c r="V286" s="48">
        <v>0.0</v>
      </c>
      <c r="W286" s="68">
        <v>0.0</v>
      </c>
      <c r="X286" s="50" t="s">
        <v>1304</v>
      </c>
      <c r="Y286" s="50" t="s">
        <v>1305</v>
      </c>
    </row>
    <row r="287">
      <c r="A287" s="65">
        <f>ROW()-ROW(Table_Actions[N])</f>
        <v>51</v>
      </c>
      <c r="B287" s="54" t="s">
        <v>764</v>
      </c>
      <c r="C287" s="62" t="b">
        <v>0</v>
      </c>
      <c r="D287" s="71" t="s">
        <v>1350</v>
      </c>
      <c r="E287" s="63" t="s">
        <v>361</v>
      </c>
      <c r="F287" s="63" t="s">
        <v>364</v>
      </c>
      <c r="G287" s="63" t="s">
        <v>732</v>
      </c>
      <c r="H287" s="63" t="s">
        <v>1294</v>
      </c>
      <c r="I287" s="66" t="s">
        <v>730</v>
      </c>
      <c r="J287" s="63" t="s">
        <v>1295</v>
      </c>
      <c r="K287" s="63" t="s">
        <v>731</v>
      </c>
      <c r="L287" s="63" t="s">
        <v>1353</v>
      </c>
      <c r="M287" s="63" t="s">
        <v>1297</v>
      </c>
      <c r="N287" s="63" t="s">
        <v>1363</v>
      </c>
      <c r="O287" s="63" t="s">
        <v>1299</v>
      </c>
      <c r="P287" s="63" t="s">
        <v>1300</v>
      </c>
      <c r="Q287" s="50" t="s">
        <v>1301</v>
      </c>
      <c r="R287" s="50" t="s">
        <v>1302</v>
      </c>
      <c r="S287" s="48"/>
      <c r="T287" s="67" t="s">
        <v>1303</v>
      </c>
      <c r="U287" s="67" t="s">
        <v>1303</v>
      </c>
      <c r="V287" s="48">
        <v>0.0</v>
      </c>
      <c r="W287" s="68">
        <v>0.0</v>
      </c>
      <c r="X287" s="50" t="s">
        <v>1304</v>
      </c>
      <c r="Y287" s="50" t="s">
        <v>1305</v>
      </c>
    </row>
    <row r="288">
      <c r="A288" s="65">
        <f>ROW()-ROW(Table_Actions[N])</f>
        <v>52</v>
      </c>
      <c r="B288" s="54" t="s">
        <v>1364</v>
      </c>
      <c r="C288" s="62" t="b">
        <v>0</v>
      </c>
      <c r="D288" s="71" t="s">
        <v>1350</v>
      </c>
      <c r="E288" s="63" t="s">
        <v>361</v>
      </c>
      <c r="F288" s="63" t="s">
        <v>364</v>
      </c>
      <c r="G288" s="63" t="s">
        <v>732</v>
      </c>
      <c r="H288" s="63" t="s">
        <v>1294</v>
      </c>
      <c r="I288" s="66" t="s">
        <v>730</v>
      </c>
      <c r="J288" s="63" t="s">
        <v>1295</v>
      </c>
      <c r="K288" s="63" t="s">
        <v>731</v>
      </c>
      <c r="L288" s="63" t="s">
        <v>1365</v>
      </c>
      <c r="M288" s="63" t="s">
        <v>1297</v>
      </c>
      <c r="N288" s="63" t="s">
        <v>1298</v>
      </c>
      <c r="O288" s="63" t="s">
        <v>1299</v>
      </c>
      <c r="P288" s="63" t="s">
        <v>1300</v>
      </c>
      <c r="Q288" s="50" t="s">
        <v>1301</v>
      </c>
      <c r="R288" s="50" t="s">
        <v>1302</v>
      </c>
      <c r="S288" s="48"/>
      <c r="T288" s="67" t="s">
        <v>1303</v>
      </c>
      <c r="U288" s="67" t="s">
        <v>1303</v>
      </c>
      <c r="V288" s="48">
        <v>0.0</v>
      </c>
      <c r="W288" s="68">
        <v>0.0</v>
      </c>
      <c r="X288" s="50" t="s">
        <v>1304</v>
      </c>
      <c r="Y288" s="50" t="s">
        <v>1305</v>
      </c>
    </row>
    <row r="289">
      <c r="A289" s="65">
        <f>ROW()-ROW(Table_Actions[N])</f>
        <v>53</v>
      </c>
      <c r="B289" s="54" t="s">
        <v>1366</v>
      </c>
      <c r="C289" s="62" t="b">
        <v>0</v>
      </c>
      <c r="D289" s="63" t="s">
        <v>1367</v>
      </c>
      <c r="E289" s="63" t="s">
        <v>361</v>
      </c>
      <c r="F289" s="63" t="s">
        <v>364</v>
      </c>
      <c r="G289" s="63" t="s">
        <v>732</v>
      </c>
      <c r="H289" s="63" t="s">
        <v>1294</v>
      </c>
      <c r="I289" s="66" t="s">
        <v>730</v>
      </c>
      <c r="J289" s="63" t="s">
        <v>1295</v>
      </c>
      <c r="K289" s="63" t="s">
        <v>731</v>
      </c>
      <c r="L289" s="63" t="s">
        <v>1368</v>
      </c>
      <c r="M289" s="63" t="s">
        <v>1369</v>
      </c>
      <c r="N289" s="63" t="s">
        <v>1298</v>
      </c>
      <c r="O289" s="63" t="s">
        <v>1299</v>
      </c>
      <c r="P289" s="63" t="s">
        <v>1300</v>
      </c>
      <c r="Q289" s="50" t="s">
        <v>1301</v>
      </c>
      <c r="R289" s="50" t="s">
        <v>1302</v>
      </c>
      <c r="S289" s="48"/>
      <c r="T289" s="67" t="s">
        <v>1303</v>
      </c>
      <c r="U289" s="67" t="s">
        <v>1303</v>
      </c>
      <c r="V289" s="48">
        <v>0.0</v>
      </c>
      <c r="W289" s="68">
        <v>0.0</v>
      </c>
      <c r="X289" s="50" t="s">
        <v>1304</v>
      </c>
      <c r="Y289" s="50" t="s">
        <v>1305</v>
      </c>
    </row>
    <row r="290">
      <c r="A290" s="65">
        <f>ROW()-ROW(Table_Actions[N])</f>
        <v>54</v>
      </c>
      <c r="B290" s="54" t="s">
        <v>771</v>
      </c>
      <c r="C290" s="62" t="b">
        <v>0</v>
      </c>
      <c r="D290" s="71" t="s">
        <v>1350</v>
      </c>
      <c r="E290" s="63" t="s">
        <v>361</v>
      </c>
      <c r="F290" s="63" t="s">
        <v>364</v>
      </c>
      <c r="G290" s="63" t="s">
        <v>732</v>
      </c>
      <c r="H290" s="63" t="s">
        <v>1294</v>
      </c>
      <c r="I290" s="66" t="s">
        <v>730</v>
      </c>
      <c r="J290" s="63" t="s">
        <v>1295</v>
      </c>
      <c r="K290" s="63" t="s">
        <v>731</v>
      </c>
      <c r="L290" s="63" t="s">
        <v>1370</v>
      </c>
      <c r="M290" s="63" t="s">
        <v>1297</v>
      </c>
      <c r="N290" s="63" t="s">
        <v>1298</v>
      </c>
      <c r="O290" s="63" t="s">
        <v>1299</v>
      </c>
      <c r="P290" s="63" t="s">
        <v>1300</v>
      </c>
      <c r="Q290" s="50" t="s">
        <v>1301</v>
      </c>
      <c r="R290" s="50" t="s">
        <v>1302</v>
      </c>
      <c r="S290" s="48"/>
      <c r="T290" s="67" t="s">
        <v>1303</v>
      </c>
      <c r="U290" s="67" t="s">
        <v>1303</v>
      </c>
      <c r="V290" s="48">
        <v>0.0</v>
      </c>
      <c r="W290" s="68">
        <v>0.0</v>
      </c>
      <c r="X290" s="50" t="s">
        <v>1304</v>
      </c>
      <c r="Y290" s="50" t="s">
        <v>1305</v>
      </c>
    </row>
    <row r="291">
      <c r="A291" s="65">
        <f>ROW()-ROW(Table_Actions[N])</f>
        <v>55</v>
      </c>
      <c r="B291" s="54" t="s">
        <v>1371</v>
      </c>
      <c r="C291" s="62" t="b">
        <v>1</v>
      </c>
      <c r="D291" s="63" t="s">
        <v>1372</v>
      </c>
      <c r="E291" s="63" t="s">
        <v>424</v>
      </c>
      <c r="F291" s="63" t="s">
        <v>364</v>
      </c>
      <c r="G291" s="63" t="s">
        <v>732</v>
      </c>
      <c r="H291" s="63" t="s">
        <v>1294</v>
      </c>
      <c r="I291" s="66" t="s">
        <v>730</v>
      </c>
      <c r="J291" s="63" t="s">
        <v>1295</v>
      </c>
      <c r="K291" s="63" t="s">
        <v>731</v>
      </c>
      <c r="L291" s="63" t="s">
        <v>1296</v>
      </c>
      <c r="M291" s="63" t="s">
        <v>1297</v>
      </c>
      <c r="N291" s="63" t="s">
        <v>1298</v>
      </c>
      <c r="O291" s="63" t="s">
        <v>1373</v>
      </c>
      <c r="P291" s="63" t="s">
        <v>1300</v>
      </c>
      <c r="Q291" s="50" t="s">
        <v>1301</v>
      </c>
      <c r="R291" s="50" t="s">
        <v>1302</v>
      </c>
      <c r="T291" s="67" t="s">
        <v>1303</v>
      </c>
      <c r="U291" s="67" t="s">
        <v>1303</v>
      </c>
      <c r="V291" s="48">
        <v>0.0</v>
      </c>
      <c r="W291" s="68">
        <v>0.0</v>
      </c>
      <c r="X291" s="50" t="s">
        <v>1304</v>
      </c>
      <c r="Y291" s="50" t="s">
        <v>1305</v>
      </c>
    </row>
    <row r="292">
      <c r="A292" s="65">
        <f>ROW()-ROW(Table_Actions[N])</f>
        <v>56</v>
      </c>
      <c r="B292" s="54" t="s">
        <v>1374</v>
      </c>
      <c r="C292" s="62" t="b">
        <v>0</v>
      </c>
      <c r="D292" s="63" t="s">
        <v>1372</v>
      </c>
      <c r="E292" s="63" t="s">
        <v>424</v>
      </c>
      <c r="F292" s="63" t="s">
        <v>364</v>
      </c>
      <c r="G292" s="63" t="s">
        <v>732</v>
      </c>
      <c r="H292" s="63" t="s">
        <v>1294</v>
      </c>
      <c r="I292" s="66" t="s">
        <v>730</v>
      </c>
      <c r="J292" s="63" t="s">
        <v>1295</v>
      </c>
      <c r="K292" s="63" t="s">
        <v>731</v>
      </c>
      <c r="L292" s="63" t="s">
        <v>1296</v>
      </c>
      <c r="M292" s="63" t="s">
        <v>1297</v>
      </c>
      <c r="N292" s="63" t="s">
        <v>1298</v>
      </c>
      <c r="O292" s="63" t="s">
        <v>1375</v>
      </c>
      <c r="P292" s="63" t="s">
        <v>1300</v>
      </c>
      <c r="Q292" s="50" t="s">
        <v>1301</v>
      </c>
      <c r="R292" s="50" t="s">
        <v>1302</v>
      </c>
      <c r="S292" s="48" t="s">
        <v>1376</v>
      </c>
      <c r="T292" s="67" t="s">
        <v>1303</v>
      </c>
      <c r="U292" s="67" t="s">
        <v>1303</v>
      </c>
      <c r="V292" s="48">
        <v>0.0</v>
      </c>
      <c r="W292" s="68">
        <v>0.0</v>
      </c>
      <c r="X292" s="50" t="s">
        <v>1304</v>
      </c>
      <c r="Y292" s="50" t="s">
        <v>1305</v>
      </c>
    </row>
    <row r="293">
      <c r="A293" s="65">
        <f>ROW()-ROW(Table_Actions[N])</f>
        <v>57</v>
      </c>
      <c r="B293" s="54" t="s">
        <v>1377</v>
      </c>
      <c r="C293" s="62" t="b">
        <v>1</v>
      </c>
      <c r="D293" s="63" t="s">
        <v>1372</v>
      </c>
      <c r="E293" s="63" t="s">
        <v>424</v>
      </c>
      <c r="F293" s="63" t="s">
        <v>364</v>
      </c>
      <c r="G293" s="63" t="s">
        <v>732</v>
      </c>
      <c r="H293" s="63" t="s">
        <v>1294</v>
      </c>
      <c r="I293" s="66" t="s">
        <v>730</v>
      </c>
      <c r="J293" s="63" t="s">
        <v>1295</v>
      </c>
      <c r="K293" s="63" t="s">
        <v>731</v>
      </c>
      <c r="L293" s="63" t="s">
        <v>1296</v>
      </c>
      <c r="M293" s="63" t="s">
        <v>1297</v>
      </c>
      <c r="N293" s="63" t="s">
        <v>1298</v>
      </c>
      <c r="O293" s="63" t="s">
        <v>1378</v>
      </c>
      <c r="P293" s="63" t="s">
        <v>1300</v>
      </c>
      <c r="Q293" s="50" t="s">
        <v>1301</v>
      </c>
      <c r="R293" s="50" t="s">
        <v>1302</v>
      </c>
      <c r="T293" s="67" t="s">
        <v>1303</v>
      </c>
      <c r="U293" s="67" t="s">
        <v>1303</v>
      </c>
      <c r="V293" s="48">
        <v>0.0</v>
      </c>
      <c r="W293" s="68">
        <v>0.0</v>
      </c>
      <c r="X293" s="50" t="s">
        <v>1304</v>
      </c>
      <c r="Y293" s="50" t="s">
        <v>1305</v>
      </c>
    </row>
    <row r="294">
      <c r="A294" s="65">
        <f>ROW()-ROW(Table_Actions[N])</f>
        <v>58</v>
      </c>
      <c r="B294" s="54" t="s">
        <v>1379</v>
      </c>
      <c r="C294" s="62" t="b">
        <v>0</v>
      </c>
      <c r="D294" s="63" t="s">
        <v>1372</v>
      </c>
      <c r="E294" s="63" t="s">
        <v>424</v>
      </c>
      <c r="F294" s="63" t="s">
        <v>364</v>
      </c>
      <c r="G294" s="63" t="s">
        <v>732</v>
      </c>
      <c r="H294" s="63" t="s">
        <v>1294</v>
      </c>
      <c r="I294" s="66" t="s">
        <v>730</v>
      </c>
      <c r="J294" s="63" t="s">
        <v>1295</v>
      </c>
      <c r="K294" s="63" t="s">
        <v>731</v>
      </c>
      <c r="L294" s="63" t="s">
        <v>1296</v>
      </c>
      <c r="M294" s="63" t="s">
        <v>1297</v>
      </c>
      <c r="N294" s="63" t="s">
        <v>1298</v>
      </c>
      <c r="O294" s="63" t="s">
        <v>1380</v>
      </c>
      <c r="P294" s="63" t="s">
        <v>1300</v>
      </c>
      <c r="Q294" s="50" t="s">
        <v>1301</v>
      </c>
      <c r="R294" s="50" t="s">
        <v>1302</v>
      </c>
      <c r="S294" s="48" t="s">
        <v>1376</v>
      </c>
      <c r="T294" s="67" t="s">
        <v>1303</v>
      </c>
      <c r="U294" s="67" t="s">
        <v>1303</v>
      </c>
      <c r="V294" s="48">
        <v>0.0</v>
      </c>
      <c r="W294" s="68">
        <v>0.0</v>
      </c>
      <c r="X294" s="50" t="s">
        <v>1304</v>
      </c>
      <c r="Y294" s="50" t="s">
        <v>1305</v>
      </c>
    </row>
    <row r="295">
      <c r="A295" s="65">
        <f>ROW()-ROW(Table_Actions[N])</f>
        <v>59</v>
      </c>
      <c r="B295" s="54" t="s">
        <v>774</v>
      </c>
      <c r="C295" s="62" t="b">
        <v>0</v>
      </c>
      <c r="D295" s="71" t="s">
        <v>1350</v>
      </c>
      <c r="E295" s="63" t="s">
        <v>361</v>
      </c>
      <c r="F295" s="63" t="s">
        <v>364</v>
      </c>
      <c r="G295" s="63" t="s">
        <v>732</v>
      </c>
      <c r="H295" s="63" t="s">
        <v>1294</v>
      </c>
      <c r="I295" s="66" t="s">
        <v>730</v>
      </c>
      <c r="J295" s="63" t="s">
        <v>1295</v>
      </c>
      <c r="K295" s="63" t="s">
        <v>731</v>
      </c>
      <c r="L295" s="63" t="s">
        <v>1353</v>
      </c>
      <c r="M295" s="63" t="s">
        <v>1297</v>
      </c>
      <c r="N295" s="63" t="s">
        <v>1381</v>
      </c>
      <c r="O295" s="63" t="s">
        <v>1299</v>
      </c>
      <c r="P295" s="63" t="s">
        <v>1300</v>
      </c>
      <c r="Q295" s="50" t="s">
        <v>1301</v>
      </c>
      <c r="R295" s="50" t="s">
        <v>1302</v>
      </c>
      <c r="S295" s="48"/>
      <c r="T295" s="67" t="s">
        <v>1303</v>
      </c>
      <c r="U295" s="67" t="s">
        <v>1303</v>
      </c>
      <c r="V295" s="48">
        <v>0.0</v>
      </c>
      <c r="W295" s="68">
        <v>0.0</v>
      </c>
      <c r="X295" s="50" t="s">
        <v>1304</v>
      </c>
      <c r="Y295" s="50" t="s">
        <v>1305</v>
      </c>
    </row>
    <row r="296">
      <c r="A296" s="65">
        <f>ROW()-ROW(Table_Actions[N])</f>
        <v>60</v>
      </c>
      <c r="B296" s="54" t="s">
        <v>1382</v>
      </c>
      <c r="C296" s="62" t="b">
        <v>0</v>
      </c>
      <c r="D296" s="71" t="s">
        <v>1350</v>
      </c>
      <c r="E296" s="63" t="s">
        <v>361</v>
      </c>
      <c r="F296" s="63" t="s">
        <v>364</v>
      </c>
      <c r="G296" s="63" t="s">
        <v>732</v>
      </c>
      <c r="H296" s="63" t="s">
        <v>1294</v>
      </c>
      <c r="I296" s="66" t="s">
        <v>730</v>
      </c>
      <c r="J296" s="63" t="s">
        <v>1295</v>
      </c>
      <c r="K296" s="63" t="s">
        <v>731</v>
      </c>
      <c r="L296" s="63" t="s">
        <v>1383</v>
      </c>
      <c r="M296" s="63" t="s">
        <v>1297</v>
      </c>
      <c r="N296" s="63" t="s">
        <v>1298</v>
      </c>
      <c r="O296" s="63" t="s">
        <v>1299</v>
      </c>
      <c r="P296" s="63" t="s">
        <v>1300</v>
      </c>
      <c r="Q296" s="50" t="s">
        <v>1301</v>
      </c>
      <c r="R296" s="50" t="s">
        <v>1302</v>
      </c>
      <c r="S296" s="48"/>
      <c r="T296" s="67" t="s">
        <v>1303</v>
      </c>
      <c r="U296" s="67" t="s">
        <v>1303</v>
      </c>
      <c r="V296" s="48">
        <v>0.0</v>
      </c>
      <c r="W296" s="68">
        <v>0.0</v>
      </c>
      <c r="X296" s="50" t="s">
        <v>1304</v>
      </c>
      <c r="Y296" s="50" t="s">
        <v>1305</v>
      </c>
    </row>
    <row r="297">
      <c r="A297" s="65">
        <f>ROW()-ROW(Table_Actions[N])</f>
        <v>61</v>
      </c>
      <c r="B297" s="54" t="s">
        <v>781</v>
      </c>
      <c r="C297" s="62" t="b">
        <v>0</v>
      </c>
      <c r="D297" s="71" t="s">
        <v>1350</v>
      </c>
      <c r="E297" s="63" t="s">
        <v>361</v>
      </c>
      <c r="F297" s="63" t="s">
        <v>364</v>
      </c>
      <c r="G297" s="63" t="s">
        <v>732</v>
      </c>
      <c r="H297" s="63" t="s">
        <v>1294</v>
      </c>
      <c r="I297" s="66" t="s">
        <v>730</v>
      </c>
      <c r="J297" s="63" t="s">
        <v>1295</v>
      </c>
      <c r="K297" s="63" t="s">
        <v>731</v>
      </c>
      <c r="L297" s="63" t="s">
        <v>1384</v>
      </c>
      <c r="M297" s="63" t="s">
        <v>1297</v>
      </c>
      <c r="N297" s="63" t="s">
        <v>1298</v>
      </c>
      <c r="O297" s="63" t="s">
        <v>1299</v>
      </c>
      <c r="P297" s="63" t="s">
        <v>1300</v>
      </c>
      <c r="Q297" s="50" t="s">
        <v>1301</v>
      </c>
      <c r="R297" s="50" t="s">
        <v>1302</v>
      </c>
      <c r="S297" s="48"/>
      <c r="T297" s="67" t="s">
        <v>1303</v>
      </c>
      <c r="U297" s="67" t="s">
        <v>1303</v>
      </c>
      <c r="V297" s="48">
        <v>0.0</v>
      </c>
      <c r="W297" s="68">
        <v>0.0</v>
      </c>
      <c r="X297" s="50" t="s">
        <v>1304</v>
      </c>
      <c r="Y297" s="50" t="s">
        <v>1305</v>
      </c>
    </row>
    <row r="298">
      <c r="A298" s="65">
        <f>ROW()-ROW(Table_Actions[N])</f>
        <v>62</v>
      </c>
      <c r="B298" s="54" t="s">
        <v>1385</v>
      </c>
      <c r="C298" s="62" t="b">
        <v>0</v>
      </c>
      <c r="D298" s="71" t="s">
        <v>1350</v>
      </c>
      <c r="E298" s="63" t="s">
        <v>361</v>
      </c>
      <c r="F298" s="63" t="s">
        <v>364</v>
      </c>
      <c r="G298" s="63" t="s">
        <v>732</v>
      </c>
      <c r="H298" s="63" t="s">
        <v>1294</v>
      </c>
      <c r="I298" s="66" t="s">
        <v>730</v>
      </c>
      <c r="J298" s="63" t="s">
        <v>1295</v>
      </c>
      <c r="K298" s="63" t="s">
        <v>731</v>
      </c>
      <c r="L298" s="63" t="s">
        <v>1353</v>
      </c>
      <c r="M298" s="63" t="s">
        <v>1297</v>
      </c>
      <c r="N298" s="63" t="s">
        <v>1386</v>
      </c>
      <c r="O298" s="63" t="s">
        <v>1299</v>
      </c>
      <c r="P298" s="63" t="s">
        <v>1300</v>
      </c>
      <c r="Q298" s="50" t="s">
        <v>1301</v>
      </c>
      <c r="R298" s="50" t="s">
        <v>1302</v>
      </c>
      <c r="S298" s="48"/>
      <c r="T298" s="67" t="s">
        <v>1303</v>
      </c>
      <c r="U298" s="67" t="s">
        <v>1303</v>
      </c>
      <c r="V298" s="48">
        <v>0.0</v>
      </c>
      <c r="W298" s="68">
        <v>0.0</v>
      </c>
      <c r="X298" s="50" t="s">
        <v>1304</v>
      </c>
      <c r="Y298" s="50" t="s">
        <v>1305</v>
      </c>
    </row>
    <row r="299">
      <c r="A299" s="65">
        <f>ROW()-ROW(Table_Actions[N])</f>
        <v>63</v>
      </c>
      <c r="B299" s="54" t="s">
        <v>1162</v>
      </c>
      <c r="C299" s="62" t="b">
        <v>0</v>
      </c>
      <c r="D299" s="63" t="s">
        <v>1387</v>
      </c>
      <c r="E299" s="63" t="s">
        <v>361</v>
      </c>
      <c r="F299" s="63" t="s">
        <v>364</v>
      </c>
      <c r="G299" s="63" t="s">
        <v>732</v>
      </c>
      <c r="H299" s="63" t="s">
        <v>1294</v>
      </c>
      <c r="I299" s="66" t="s">
        <v>730</v>
      </c>
      <c r="J299" s="63" t="s">
        <v>1295</v>
      </c>
      <c r="K299" s="63" t="s">
        <v>731</v>
      </c>
      <c r="L299" s="63" t="s">
        <v>1388</v>
      </c>
      <c r="M299" s="63" t="s">
        <v>1297</v>
      </c>
      <c r="N299" s="63" t="s">
        <v>1298</v>
      </c>
      <c r="O299" s="63" t="s">
        <v>1299</v>
      </c>
      <c r="P299" s="63" t="s">
        <v>1300</v>
      </c>
      <c r="Q299" s="50" t="s">
        <v>1301</v>
      </c>
      <c r="R299" s="50" t="s">
        <v>1302</v>
      </c>
      <c r="S299" s="48"/>
      <c r="T299" s="67" t="s">
        <v>1303</v>
      </c>
      <c r="U299" s="67" t="s">
        <v>1303</v>
      </c>
      <c r="V299" s="48">
        <v>0.0</v>
      </c>
      <c r="W299" s="68">
        <v>0.0</v>
      </c>
      <c r="X299" s="50" t="s">
        <v>1304</v>
      </c>
      <c r="Y299" s="50" t="s">
        <v>1305</v>
      </c>
    </row>
    <row r="300">
      <c r="A300" s="65">
        <f>ROW()-ROW(Table_Actions[N])</f>
        <v>64</v>
      </c>
      <c r="B300" s="54" t="s">
        <v>786</v>
      </c>
      <c r="C300" s="62" t="b">
        <v>0</v>
      </c>
      <c r="D300" s="71" t="s">
        <v>1350</v>
      </c>
      <c r="E300" s="63" t="s">
        <v>361</v>
      </c>
      <c r="F300" s="63" t="s">
        <v>364</v>
      </c>
      <c r="G300" s="63" t="s">
        <v>732</v>
      </c>
      <c r="H300" s="63" t="s">
        <v>1294</v>
      </c>
      <c r="I300" s="66" t="s">
        <v>730</v>
      </c>
      <c r="J300" s="63" t="s">
        <v>1295</v>
      </c>
      <c r="K300" s="63" t="s">
        <v>731</v>
      </c>
      <c r="L300" s="63" t="s">
        <v>1353</v>
      </c>
      <c r="M300" s="63" t="s">
        <v>1297</v>
      </c>
      <c r="N300" s="63" t="s">
        <v>1389</v>
      </c>
      <c r="O300" s="63" t="s">
        <v>1299</v>
      </c>
      <c r="P300" s="63" t="s">
        <v>1300</v>
      </c>
      <c r="Q300" s="50" t="s">
        <v>1301</v>
      </c>
      <c r="R300" s="50" t="s">
        <v>1302</v>
      </c>
      <c r="S300" s="48"/>
      <c r="T300" s="67" t="s">
        <v>1303</v>
      </c>
      <c r="U300" s="67" t="s">
        <v>1303</v>
      </c>
      <c r="V300" s="48">
        <v>0.0</v>
      </c>
      <c r="W300" s="68">
        <v>0.0</v>
      </c>
      <c r="X300" s="50" t="s">
        <v>1304</v>
      </c>
      <c r="Y300" s="50" t="s">
        <v>1305</v>
      </c>
    </row>
    <row r="301">
      <c r="A301" s="65">
        <f>ROW()-ROW(Table_Actions[N])</f>
        <v>65</v>
      </c>
      <c r="B301" s="54" t="s">
        <v>1164</v>
      </c>
      <c r="C301" s="62" t="b">
        <v>0</v>
      </c>
      <c r="D301" s="63" t="s">
        <v>1387</v>
      </c>
      <c r="E301" s="63" t="s">
        <v>361</v>
      </c>
      <c r="F301" s="63" t="s">
        <v>364</v>
      </c>
      <c r="G301" s="63" t="s">
        <v>732</v>
      </c>
      <c r="H301" s="63" t="s">
        <v>1294</v>
      </c>
      <c r="I301" s="66" t="s">
        <v>730</v>
      </c>
      <c r="J301" s="63" t="s">
        <v>1295</v>
      </c>
      <c r="K301" s="63" t="s">
        <v>731</v>
      </c>
      <c r="L301" s="63" t="s">
        <v>1390</v>
      </c>
      <c r="M301" s="63" t="s">
        <v>1297</v>
      </c>
      <c r="N301" s="63" t="s">
        <v>1298</v>
      </c>
      <c r="O301" s="63" t="s">
        <v>1299</v>
      </c>
      <c r="P301" s="63" t="s">
        <v>1300</v>
      </c>
      <c r="Q301" s="50" t="s">
        <v>1301</v>
      </c>
      <c r="R301" s="50" t="s">
        <v>1302</v>
      </c>
      <c r="S301" s="48"/>
      <c r="T301" s="67" t="s">
        <v>1303</v>
      </c>
      <c r="U301" s="67" t="s">
        <v>1303</v>
      </c>
      <c r="V301" s="48">
        <v>0.0</v>
      </c>
      <c r="W301" s="68">
        <v>0.0</v>
      </c>
      <c r="X301" s="50" t="s">
        <v>1304</v>
      </c>
      <c r="Y301" s="50" t="s">
        <v>1305</v>
      </c>
    </row>
    <row r="302">
      <c r="A302" s="65">
        <f>ROW()-ROW(Table_Actions[N])</f>
        <v>66</v>
      </c>
      <c r="B302" s="54" t="s">
        <v>788</v>
      </c>
      <c r="C302" s="62" t="b">
        <v>0</v>
      </c>
      <c r="D302" s="71" t="s">
        <v>1350</v>
      </c>
      <c r="E302" s="63" t="s">
        <v>361</v>
      </c>
      <c r="F302" s="63" t="s">
        <v>364</v>
      </c>
      <c r="G302" s="63" t="s">
        <v>732</v>
      </c>
      <c r="H302" s="63" t="s">
        <v>1294</v>
      </c>
      <c r="I302" s="66" t="s">
        <v>730</v>
      </c>
      <c r="J302" s="63" t="s">
        <v>1295</v>
      </c>
      <c r="K302" s="63" t="s">
        <v>731</v>
      </c>
      <c r="L302" s="63" t="s">
        <v>1391</v>
      </c>
      <c r="M302" s="63" t="s">
        <v>1297</v>
      </c>
      <c r="N302" s="63" t="s">
        <v>1298</v>
      </c>
      <c r="O302" s="63" t="s">
        <v>1299</v>
      </c>
      <c r="P302" s="63" t="s">
        <v>1300</v>
      </c>
      <c r="Q302" s="50" t="s">
        <v>1301</v>
      </c>
      <c r="R302" s="50" t="s">
        <v>1302</v>
      </c>
      <c r="S302" s="48"/>
      <c r="T302" s="67" t="s">
        <v>1303</v>
      </c>
      <c r="U302" s="67" t="s">
        <v>1303</v>
      </c>
      <c r="V302" s="48">
        <v>0.0</v>
      </c>
      <c r="W302" s="68">
        <v>0.0</v>
      </c>
      <c r="X302" s="50" t="s">
        <v>1304</v>
      </c>
      <c r="Y302" s="50" t="s">
        <v>1305</v>
      </c>
    </row>
    <row r="303">
      <c r="A303" s="65">
        <f>ROW()-ROW(Table_Actions[N])</f>
        <v>67</v>
      </c>
      <c r="B303" s="54" t="s">
        <v>790</v>
      </c>
      <c r="C303" s="62" t="b">
        <v>0</v>
      </c>
      <c r="D303" s="71" t="s">
        <v>1350</v>
      </c>
      <c r="E303" s="63" t="s">
        <v>361</v>
      </c>
      <c r="F303" s="63" t="s">
        <v>364</v>
      </c>
      <c r="G303" s="63" t="s">
        <v>732</v>
      </c>
      <c r="H303" s="63" t="s">
        <v>1294</v>
      </c>
      <c r="I303" s="66" t="s">
        <v>730</v>
      </c>
      <c r="J303" s="63" t="s">
        <v>1295</v>
      </c>
      <c r="K303" s="63" t="s">
        <v>731</v>
      </c>
      <c r="L303" s="63" t="s">
        <v>1353</v>
      </c>
      <c r="M303" s="63" t="s">
        <v>1297</v>
      </c>
      <c r="N303" s="63" t="s">
        <v>1392</v>
      </c>
      <c r="O303" s="63" t="s">
        <v>1299</v>
      </c>
      <c r="P303" s="63" t="s">
        <v>1300</v>
      </c>
      <c r="Q303" s="50" t="s">
        <v>1301</v>
      </c>
      <c r="R303" s="50" t="s">
        <v>1302</v>
      </c>
      <c r="S303" s="48"/>
      <c r="T303" s="67" t="s">
        <v>1303</v>
      </c>
      <c r="U303" s="67" t="s">
        <v>1303</v>
      </c>
      <c r="V303" s="48">
        <v>0.0</v>
      </c>
      <c r="W303" s="68">
        <v>0.0</v>
      </c>
      <c r="X303" s="50" t="s">
        <v>1304</v>
      </c>
      <c r="Y303" s="50" t="s">
        <v>1305</v>
      </c>
    </row>
    <row r="304">
      <c r="A304" s="65">
        <f>ROW()-ROW(Table_Actions[N])</f>
        <v>68</v>
      </c>
      <c r="B304" s="54" t="s">
        <v>793</v>
      </c>
      <c r="C304" s="62" t="b">
        <v>0</v>
      </c>
      <c r="D304" s="71" t="s">
        <v>1350</v>
      </c>
      <c r="E304" s="63" t="s">
        <v>361</v>
      </c>
      <c r="F304" s="63" t="s">
        <v>364</v>
      </c>
      <c r="G304" s="63" t="s">
        <v>732</v>
      </c>
      <c r="H304" s="63" t="s">
        <v>1294</v>
      </c>
      <c r="I304" s="66" t="s">
        <v>730</v>
      </c>
      <c r="J304" s="63" t="s">
        <v>1295</v>
      </c>
      <c r="K304" s="63" t="s">
        <v>731</v>
      </c>
      <c r="L304" s="63" t="s">
        <v>1353</v>
      </c>
      <c r="M304" s="63" t="s">
        <v>1297</v>
      </c>
      <c r="N304" s="63" t="s">
        <v>1393</v>
      </c>
      <c r="O304" s="63" t="s">
        <v>1299</v>
      </c>
      <c r="P304" s="63" t="s">
        <v>1300</v>
      </c>
      <c r="Q304" s="50" t="s">
        <v>1301</v>
      </c>
      <c r="R304" s="50" t="s">
        <v>1302</v>
      </c>
      <c r="S304" s="48"/>
      <c r="T304" s="67" t="s">
        <v>1303</v>
      </c>
      <c r="U304" s="67" t="s">
        <v>1303</v>
      </c>
      <c r="V304" s="48">
        <v>0.0</v>
      </c>
      <c r="W304" s="68">
        <v>0.0</v>
      </c>
      <c r="X304" s="50" t="s">
        <v>1304</v>
      </c>
      <c r="Y304" s="50" t="s">
        <v>1305</v>
      </c>
    </row>
    <row r="305">
      <c r="A305" s="65">
        <f>ROW()-ROW(Table_Actions[N])</f>
        <v>69</v>
      </c>
      <c r="B305" s="54" t="s">
        <v>1394</v>
      </c>
      <c r="C305" s="62" t="b">
        <v>0</v>
      </c>
      <c r="D305" s="71" t="s">
        <v>1350</v>
      </c>
      <c r="E305" s="63" t="s">
        <v>361</v>
      </c>
      <c r="F305" s="63" t="s">
        <v>364</v>
      </c>
      <c r="G305" s="63" t="s">
        <v>732</v>
      </c>
      <c r="H305" s="63" t="s">
        <v>1294</v>
      </c>
      <c r="I305" s="66" t="s">
        <v>730</v>
      </c>
      <c r="J305" s="63" t="s">
        <v>1295</v>
      </c>
      <c r="K305" s="63" t="s">
        <v>731</v>
      </c>
      <c r="L305" s="63" t="s">
        <v>1353</v>
      </c>
      <c r="M305" s="63" t="s">
        <v>1297</v>
      </c>
      <c r="N305" s="63" t="s">
        <v>1395</v>
      </c>
      <c r="O305" s="63" t="s">
        <v>1299</v>
      </c>
      <c r="P305" s="63" t="s">
        <v>1300</v>
      </c>
      <c r="Q305" s="50" t="s">
        <v>1301</v>
      </c>
      <c r="R305" s="50" t="s">
        <v>1302</v>
      </c>
      <c r="S305" s="48"/>
      <c r="T305" s="67" t="s">
        <v>1303</v>
      </c>
      <c r="U305" s="67" t="s">
        <v>1303</v>
      </c>
      <c r="V305" s="48">
        <v>0.0</v>
      </c>
      <c r="W305" s="68">
        <v>0.0</v>
      </c>
      <c r="X305" s="50" t="s">
        <v>1304</v>
      </c>
      <c r="Y305" s="50" t="s">
        <v>1305</v>
      </c>
    </row>
    <row r="306">
      <c r="A306" s="65">
        <f>ROW()-ROW(Table_Actions[N])</f>
        <v>70</v>
      </c>
      <c r="B306" s="54" t="s">
        <v>1396</v>
      </c>
      <c r="C306" s="62" t="b">
        <v>0</v>
      </c>
      <c r="D306" s="71" t="s">
        <v>1350</v>
      </c>
      <c r="E306" s="63" t="s">
        <v>361</v>
      </c>
      <c r="F306" s="63" t="s">
        <v>364</v>
      </c>
      <c r="G306" s="63" t="s">
        <v>732</v>
      </c>
      <c r="H306" s="63" t="s">
        <v>1294</v>
      </c>
      <c r="I306" s="66" t="s">
        <v>730</v>
      </c>
      <c r="J306" s="63" t="s">
        <v>1295</v>
      </c>
      <c r="K306" s="63" t="s">
        <v>731</v>
      </c>
      <c r="L306" s="63" t="s">
        <v>1353</v>
      </c>
      <c r="M306" s="63" t="s">
        <v>1297</v>
      </c>
      <c r="N306" s="63" t="s">
        <v>1397</v>
      </c>
      <c r="O306" s="63" t="s">
        <v>1299</v>
      </c>
      <c r="P306" s="63" t="s">
        <v>1300</v>
      </c>
      <c r="Q306" s="50" t="s">
        <v>1301</v>
      </c>
      <c r="R306" s="50" t="s">
        <v>1302</v>
      </c>
      <c r="S306" s="48"/>
      <c r="T306" s="67" t="s">
        <v>1303</v>
      </c>
      <c r="U306" s="67" t="s">
        <v>1303</v>
      </c>
      <c r="V306" s="48">
        <v>0.0</v>
      </c>
      <c r="W306" s="68">
        <v>0.0</v>
      </c>
      <c r="X306" s="50" t="s">
        <v>1304</v>
      </c>
      <c r="Y306" s="50" t="s">
        <v>1305</v>
      </c>
    </row>
    <row r="307">
      <c r="A307" s="65">
        <f>ROW()-ROW(Table_Actions[N])</f>
        <v>71</v>
      </c>
      <c r="B307" s="54" t="s">
        <v>801</v>
      </c>
      <c r="C307" s="62" t="b">
        <v>0</v>
      </c>
      <c r="D307" s="71" t="s">
        <v>1350</v>
      </c>
      <c r="E307" s="63" t="s">
        <v>361</v>
      </c>
      <c r="F307" s="63" t="s">
        <v>364</v>
      </c>
      <c r="G307" s="63" t="s">
        <v>732</v>
      </c>
      <c r="H307" s="63" t="s">
        <v>1294</v>
      </c>
      <c r="I307" s="66" t="s">
        <v>730</v>
      </c>
      <c r="J307" s="63" t="s">
        <v>1295</v>
      </c>
      <c r="K307" s="63" t="s">
        <v>731</v>
      </c>
      <c r="L307" s="63" t="s">
        <v>1353</v>
      </c>
      <c r="M307" s="63" t="s">
        <v>1297</v>
      </c>
      <c r="N307" s="63" t="s">
        <v>1398</v>
      </c>
      <c r="O307" s="63" t="s">
        <v>1299</v>
      </c>
      <c r="P307" s="63" t="s">
        <v>1300</v>
      </c>
      <c r="Q307" s="50" t="s">
        <v>1301</v>
      </c>
      <c r="R307" s="50" t="s">
        <v>1302</v>
      </c>
      <c r="S307" s="48"/>
      <c r="T307" s="67" t="s">
        <v>1303</v>
      </c>
      <c r="U307" s="67" t="s">
        <v>1303</v>
      </c>
      <c r="V307" s="48">
        <v>0.0</v>
      </c>
      <c r="W307" s="68">
        <v>0.0</v>
      </c>
      <c r="X307" s="50" t="s">
        <v>1304</v>
      </c>
      <c r="Y307" s="50" t="s">
        <v>1305</v>
      </c>
    </row>
    <row r="308">
      <c r="A308" s="65">
        <f>ROW()-ROW(Table_Actions[N])</f>
        <v>72</v>
      </c>
      <c r="B308" s="54" t="s">
        <v>804</v>
      </c>
      <c r="C308" s="62" t="b">
        <v>0</v>
      </c>
      <c r="D308" s="71" t="s">
        <v>1350</v>
      </c>
      <c r="E308" s="63" t="s">
        <v>361</v>
      </c>
      <c r="F308" s="63" t="s">
        <v>364</v>
      </c>
      <c r="G308" s="63" t="s">
        <v>732</v>
      </c>
      <c r="H308" s="63" t="s">
        <v>1294</v>
      </c>
      <c r="I308" s="66" t="s">
        <v>730</v>
      </c>
      <c r="J308" s="63" t="s">
        <v>1295</v>
      </c>
      <c r="K308" s="63" t="s">
        <v>731</v>
      </c>
      <c r="L308" s="63" t="s">
        <v>1353</v>
      </c>
      <c r="M308" s="63" t="s">
        <v>1297</v>
      </c>
      <c r="N308" s="63" t="s">
        <v>1393</v>
      </c>
      <c r="O308" s="63" t="s">
        <v>1299</v>
      </c>
      <c r="P308" s="63" t="s">
        <v>1300</v>
      </c>
      <c r="Q308" s="50" t="s">
        <v>1301</v>
      </c>
      <c r="R308" s="50" t="s">
        <v>1302</v>
      </c>
      <c r="S308" s="48"/>
      <c r="T308" s="67" t="s">
        <v>1303</v>
      </c>
      <c r="U308" s="67" t="s">
        <v>1303</v>
      </c>
      <c r="V308" s="48">
        <v>0.0</v>
      </c>
      <c r="W308" s="68">
        <v>0.0</v>
      </c>
      <c r="X308" s="50" t="s">
        <v>1304</v>
      </c>
      <c r="Y308" s="50" t="s">
        <v>1305</v>
      </c>
    </row>
    <row r="309">
      <c r="A309" s="65">
        <f>ROW()-ROW(Table_Actions[N])</f>
        <v>73</v>
      </c>
      <c r="B309" s="54" t="s">
        <v>1399</v>
      </c>
      <c r="C309" s="62" t="b">
        <v>0</v>
      </c>
      <c r="D309" s="71" t="s">
        <v>1350</v>
      </c>
      <c r="E309" s="63" t="s">
        <v>361</v>
      </c>
      <c r="F309" s="63" t="s">
        <v>364</v>
      </c>
      <c r="G309" s="63" t="s">
        <v>732</v>
      </c>
      <c r="H309" s="63" t="s">
        <v>1294</v>
      </c>
      <c r="I309" s="66" t="s">
        <v>730</v>
      </c>
      <c r="J309" s="63" t="s">
        <v>1295</v>
      </c>
      <c r="K309" s="63" t="s">
        <v>731</v>
      </c>
      <c r="L309" s="63" t="s">
        <v>1353</v>
      </c>
      <c r="M309" s="63" t="s">
        <v>1297</v>
      </c>
      <c r="N309" s="63" t="s">
        <v>1400</v>
      </c>
      <c r="O309" s="63" t="s">
        <v>1299</v>
      </c>
      <c r="P309" s="63" t="s">
        <v>1300</v>
      </c>
      <c r="Q309" s="50" t="s">
        <v>1301</v>
      </c>
      <c r="R309" s="50" t="s">
        <v>1302</v>
      </c>
      <c r="S309" s="48"/>
      <c r="T309" s="67" t="s">
        <v>1303</v>
      </c>
      <c r="U309" s="67" t="s">
        <v>1303</v>
      </c>
      <c r="V309" s="48">
        <v>0.0</v>
      </c>
      <c r="W309" s="68">
        <v>0.0</v>
      </c>
      <c r="X309" s="50" t="s">
        <v>1304</v>
      </c>
      <c r="Y309" s="50" t="s">
        <v>1305</v>
      </c>
    </row>
    <row r="310">
      <c r="A310" s="65">
        <f>ROW()-ROW(Table_Actions[N])</f>
        <v>74</v>
      </c>
      <c r="B310" s="54" t="s">
        <v>810</v>
      </c>
      <c r="C310" s="62" t="b">
        <v>0</v>
      </c>
      <c r="D310" s="71" t="s">
        <v>1350</v>
      </c>
      <c r="E310" s="63" t="s">
        <v>361</v>
      </c>
      <c r="F310" s="63" t="s">
        <v>364</v>
      </c>
      <c r="G310" s="63" t="s">
        <v>732</v>
      </c>
      <c r="H310" s="63" t="s">
        <v>1294</v>
      </c>
      <c r="I310" s="66" t="s">
        <v>730</v>
      </c>
      <c r="J310" s="63" t="s">
        <v>1295</v>
      </c>
      <c r="K310" s="63" t="s">
        <v>731</v>
      </c>
      <c r="L310" s="63" t="s">
        <v>1353</v>
      </c>
      <c r="M310" s="63" t="s">
        <v>1297</v>
      </c>
      <c r="N310" s="63" t="s">
        <v>1401</v>
      </c>
      <c r="O310" s="63" t="s">
        <v>1299</v>
      </c>
      <c r="P310" s="63" t="s">
        <v>1300</v>
      </c>
      <c r="Q310" s="50" t="s">
        <v>1301</v>
      </c>
      <c r="R310" s="50" t="s">
        <v>1302</v>
      </c>
      <c r="S310" s="48"/>
      <c r="T310" s="67" t="s">
        <v>1303</v>
      </c>
      <c r="U310" s="67" t="s">
        <v>1303</v>
      </c>
      <c r="V310" s="48">
        <v>0.0</v>
      </c>
      <c r="W310" s="68">
        <v>0.0</v>
      </c>
      <c r="X310" s="50" t="s">
        <v>1304</v>
      </c>
      <c r="Y310" s="50" t="s">
        <v>1305</v>
      </c>
    </row>
    <row r="311">
      <c r="A311" s="65">
        <f>ROW()-ROW(Table_Actions[N])</f>
        <v>75</v>
      </c>
      <c r="B311" s="54" t="s">
        <v>1402</v>
      </c>
      <c r="C311" s="62" t="b">
        <v>0</v>
      </c>
      <c r="D311" s="71" t="s">
        <v>1350</v>
      </c>
      <c r="E311" s="63" t="s">
        <v>361</v>
      </c>
      <c r="F311" s="63" t="s">
        <v>364</v>
      </c>
      <c r="G311" s="63" t="s">
        <v>732</v>
      </c>
      <c r="H311" s="63" t="s">
        <v>1294</v>
      </c>
      <c r="I311" s="66" t="s">
        <v>730</v>
      </c>
      <c r="J311" s="63" t="s">
        <v>1295</v>
      </c>
      <c r="K311" s="63" t="s">
        <v>731</v>
      </c>
      <c r="L311" s="63" t="s">
        <v>1353</v>
      </c>
      <c r="M311" s="63" t="s">
        <v>1297</v>
      </c>
      <c r="N311" s="63" t="s">
        <v>1403</v>
      </c>
      <c r="O311" s="63" t="s">
        <v>1299</v>
      </c>
      <c r="P311" s="63" t="s">
        <v>1300</v>
      </c>
      <c r="Q311" s="50" t="s">
        <v>1301</v>
      </c>
      <c r="R311" s="50" t="s">
        <v>1302</v>
      </c>
      <c r="S311" s="48"/>
      <c r="T311" s="67" t="s">
        <v>1303</v>
      </c>
      <c r="U311" s="67" t="s">
        <v>1303</v>
      </c>
      <c r="V311" s="48">
        <v>0.0</v>
      </c>
      <c r="W311" s="68">
        <v>0.0</v>
      </c>
      <c r="X311" s="50" t="s">
        <v>1304</v>
      </c>
      <c r="Y311" s="50" t="s">
        <v>1305</v>
      </c>
    </row>
    <row r="312">
      <c r="A312" s="65">
        <f>ROW()-ROW(Table_Actions[N])</f>
        <v>76</v>
      </c>
      <c r="B312" s="54" t="s">
        <v>814</v>
      </c>
      <c r="C312" s="62" t="b">
        <v>0</v>
      </c>
      <c r="D312" s="71" t="s">
        <v>1350</v>
      </c>
      <c r="E312" s="63" t="s">
        <v>361</v>
      </c>
      <c r="F312" s="63" t="s">
        <v>364</v>
      </c>
      <c r="G312" s="63" t="s">
        <v>732</v>
      </c>
      <c r="H312" s="63" t="s">
        <v>1294</v>
      </c>
      <c r="I312" s="66" t="s">
        <v>730</v>
      </c>
      <c r="J312" s="63" t="s">
        <v>1295</v>
      </c>
      <c r="K312" s="63" t="s">
        <v>731</v>
      </c>
      <c r="L312" s="63" t="s">
        <v>1353</v>
      </c>
      <c r="M312" s="63" t="s">
        <v>1297</v>
      </c>
      <c r="N312" s="63" t="s">
        <v>1404</v>
      </c>
      <c r="O312" s="63" t="s">
        <v>1299</v>
      </c>
      <c r="P312" s="63" t="s">
        <v>1300</v>
      </c>
      <c r="Q312" s="50" t="s">
        <v>1301</v>
      </c>
      <c r="R312" s="50" t="s">
        <v>1302</v>
      </c>
      <c r="S312" s="48"/>
      <c r="T312" s="67" t="s">
        <v>1303</v>
      </c>
      <c r="U312" s="67" t="s">
        <v>1303</v>
      </c>
      <c r="V312" s="48">
        <v>0.0</v>
      </c>
      <c r="W312" s="68">
        <v>0.0</v>
      </c>
      <c r="X312" s="50" t="s">
        <v>1304</v>
      </c>
      <c r="Y312" s="50" t="s">
        <v>1305</v>
      </c>
    </row>
    <row r="313">
      <c r="A313" s="65">
        <f>ROW()-ROW(Table_Actions[N])</f>
        <v>77</v>
      </c>
      <c r="B313" s="54" t="s">
        <v>816</v>
      </c>
      <c r="C313" s="62" t="b">
        <v>0</v>
      </c>
      <c r="D313" s="71" t="s">
        <v>1350</v>
      </c>
      <c r="E313" s="63" t="s">
        <v>361</v>
      </c>
      <c r="F313" s="63" t="s">
        <v>364</v>
      </c>
      <c r="G313" s="63" t="s">
        <v>732</v>
      </c>
      <c r="H313" s="63" t="s">
        <v>1294</v>
      </c>
      <c r="I313" s="66" t="s">
        <v>730</v>
      </c>
      <c r="J313" s="63" t="s">
        <v>1295</v>
      </c>
      <c r="K313" s="63" t="s">
        <v>731</v>
      </c>
      <c r="L313" s="63" t="s">
        <v>1353</v>
      </c>
      <c r="M313" s="63" t="s">
        <v>1297</v>
      </c>
      <c r="N313" s="63" t="s">
        <v>1405</v>
      </c>
      <c r="O313" s="63" t="s">
        <v>1299</v>
      </c>
      <c r="P313" s="63" t="s">
        <v>1300</v>
      </c>
      <c r="Q313" s="50" t="s">
        <v>1301</v>
      </c>
      <c r="R313" s="50" t="s">
        <v>1302</v>
      </c>
      <c r="S313" s="48"/>
      <c r="T313" s="67" t="s">
        <v>1303</v>
      </c>
      <c r="U313" s="67" t="s">
        <v>1303</v>
      </c>
      <c r="V313" s="48">
        <v>0.0</v>
      </c>
      <c r="W313" s="68">
        <v>0.0</v>
      </c>
      <c r="X313" s="50" t="s">
        <v>1304</v>
      </c>
      <c r="Y313" s="50" t="s">
        <v>1305</v>
      </c>
    </row>
    <row r="314">
      <c r="A314" s="65">
        <f>ROW()-ROW(Table_Actions[N])</f>
        <v>78</v>
      </c>
      <c r="B314" s="54" t="s">
        <v>819</v>
      </c>
      <c r="C314" s="62" t="b">
        <v>0</v>
      </c>
      <c r="D314" s="71" t="s">
        <v>1350</v>
      </c>
      <c r="E314" s="63" t="s">
        <v>361</v>
      </c>
      <c r="F314" s="63" t="s">
        <v>364</v>
      </c>
      <c r="G314" s="63" t="s">
        <v>732</v>
      </c>
      <c r="H314" s="63" t="s">
        <v>1294</v>
      </c>
      <c r="I314" s="66" t="s">
        <v>730</v>
      </c>
      <c r="J314" s="63" t="s">
        <v>1295</v>
      </c>
      <c r="K314" s="63" t="s">
        <v>731</v>
      </c>
      <c r="L314" s="63" t="s">
        <v>1353</v>
      </c>
      <c r="M314" s="63" t="s">
        <v>1297</v>
      </c>
      <c r="N314" s="63" t="s">
        <v>1406</v>
      </c>
      <c r="O314" s="63" t="s">
        <v>1299</v>
      </c>
      <c r="P314" s="63" t="s">
        <v>1300</v>
      </c>
      <c r="Q314" s="50" t="s">
        <v>1301</v>
      </c>
      <c r="R314" s="50" t="s">
        <v>1302</v>
      </c>
      <c r="S314" s="48"/>
      <c r="T314" s="67" t="s">
        <v>1303</v>
      </c>
      <c r="U314" s="67" t="s">
        <v>1303</v>
      </c>
      <c r="V314" s="48">
        <v>0.0</v>
      </c>
      <c r="W314" s="68">
        <v>0.0</v>
      </c>
      <c r="X314" s="50" t="s">
        <v>1304</v>
      </c>
      <c r="Y314" s="50" t="s">
        <v>1305</v>
      </c>
    </row>
    <row r="315">
      <c r="A315" s="65">
        <f>ROW()-ROW(Table_Actions[N])</f>
        <v>79</v>
      </c>
      <c r="B315" s="54" t="s">
        <v>822</v>
      </c>
      <c r="C315" s="62" t="b">
        <v>0</v>
      </c>
      <c r="D315" s="71" t="s">
        <v>1350</v>
      </c>
      <c r="E315" s="63" t="s">
        <v>361</v>
      </c>
      <c r="F315" s="63" t="s">
        <v>364</v>
      </c>
      <c r="G315" s="63" t="s">
        <v>732</v>
      </c>
      <c r="H315" s="63" t="s">
        <v>1294</v>
      </c>
      <c r="I315" s="66" t="s">
        <v>730</v>
      </c>
      <c r="J315" s="63" t="s">
        <v>1295</v>
      </c>
      <c r="K315" s="63" t="s">
        <v>731</v>
      </c>
      <c r="L315" s="63" t="s">
        <v>1353</v>
      </c>
      <c r="M315" s="63" t="s">
        <v>1297</v>
      </c>
      <c r="N315" s="63" t="s">
        <v>1406</v>
      </c>
      <c r="O315" s="63" t="s">
        <v>1299</v>
      </c>
      <c r="P315" s="63" t="s">
        <v>1300</v>
      </c>
      <c r="Q315" s="50" t="s">
        <v>1301</v>
      </c>
      <c r="R315" s="50" t="s">
        <v>1302</v>
      </c>
      <c r="S315" s="48"/>
      <c r="T315" s="67" t="s">
        <v>1303</v>
      </c>
      <c r="U315" s="67" t="s">
        <v>1303</v>
      </c>
      <c r="V315" s="48">
        <v>0.0</v>
      </c>
      <c r="W315" s="68">
        <v>0.0</v>
      </c>
      <c r="X315" s="50" t="s">
        <v>1304</v>
      </c>
      <c r="Y315" s="50" t="s">
        <v>1305</v>
      </c>
    </row>
    <row r="316">
      <c r="A316" s="65">
        <f>ROW()-ROW(Table_Actions[N])</f>
        <v>80</v>
      </c>
      <c r="B316" s="54" t="s">
        <v>1407</v>
      </c>
      <c r="C316" s="62" t="b">
        <v>0</v>
      </c>
      <c r="D316" s="71" t="s">
        <v>1350</v>
      </c>
      <c r="E316" s="63" t="s">
        <v>361</v>
      </c>
      <c r="F316" s="63" t="s">
        <v>364</v>
      </c>
      <c r="G316" s="63" t="s">
        <v>732</v>
      </c>
      <c r="H316" s="63" t="s">
        <v>1294</v>
      </c>
      <c r="I316" s="66" t="s">
        <v>730</v>
      </c>
      <c r="J316" s="63" t="s">
        <v>1295</v>
      </c>
      <c r="K316" s="63" t="s">
        <v>731</v>
      </c>
      <c r="L316" s="63" t="s">
        <v>1353</v>
      </c>
      <c r="M316" s="63" t="s">
        <v>1297</v>
      </c>
      <c r="N316" s="63" t="s">
        <v>1408</v>
      </c>
      <c r="O316" s="63" t="s">
        <v>1299</v>
      </c>
      <c r="P316" s="63" t="s">
        <v>1300</v>
      </c>
      <c r="Q316" s="50" t="s">
        <v>1301</v>
      </c>
      <c r="R316" s="50" t="s">
        <v>1302</v>
      </c>
      <c r="S316" s="48"/>
      <c r="T316" s="67" t="s">
        <v>1303</v>
      </c>
      <c r="U316" s="67" t="s">
        <v>1303</v>
      </c>
      <c r="V316" s="48">
        <v>0.0</v>
      </c>
      <c r="W316" s="68">
        <v>0.0</v>
      </c>
      <c r="X316" s="50" t="s">
        <v>1304</v>
      </c>
      <c r="Y316" s="50" t="s">
        <v>1305</v>
      </c>
    </row>
    <row r="317">
      <c r="A317" s="65">
        <f>ROW()-ROW(Table_Actions[N])</f>
        <v>81</v>
      </c>
      <c r="B317" s="54" t="s">
        <v>826</v>
      </c>
      <c r="C317" s="62" t="b">
        <v>0</v>
      </c>
      <c r="D317" s="71" t="s">
        <v>1350</v>
      </c>
      <c r="E317" s="63" t="s">
        <v>361</v>
      </c>
      <c r="F317" s="63" t="s">
        <v>364</v>
      </c>
      <c r="G317" s="63" t="s">
        <v>732</v>
      </c>
      <c r="H317" s="63" t="s">
        <v>1294</v>
      </c>
      <c r="I317" s="66" t="s">
        <v>730</v>
      </c>
      <c r="J317" s="63" t="s">
        <v>1295</v>
      </c>
      <c r="K317" s="63" t="s">
        <v>731</v>
      </c>
      <c r="L317" s="63" t="s">
        <v>1353</v>
      </c>
      <c r="M317" s="63" t="s">
        <v>1297</v>
      </c>
      <c r="N317" s="63" t="s">
        <v>1409</v>
      </c>
      <c r="O317" s="63" t="s">
        <v>1299</v>
      </c>
      <c r="P317" s="63" t="s">
        <v>1300</v>
      </c>
      <c r="Q317" s="50" t="s">
        <v>1301</v>
      </c>
      <c r="R317" s="50" t="s">
        <v>1302</v>
      </c>
      <c r="S317" s="48"/>
      <c r="T317" s="67" t="s">
        <v>1303</v>
      </c>
      <c r="U317" s="67" t="s">
        <v>1303</v>
      </c>
      <c r="V317" s="48">
        <v>0.0</v>
      </c>
      <c r="W317" s="68">
        <v>0.0</v>
      </c>
      <c r="X317" s="50" t="s">
        <v>1304</v>
      </c>
      <c r="Y317" s="50" t="s">
        <v>1305</v>
      </c>
    </row>
    <row r="318">
      <c r="A318" s="65">
        <f>ROW()-ROW(Table_Actions[N])</f>
        <v>82</v>
      </c>
      <c r="B318" s="54" t="s">
        <v>1410</v>
      </c>
      <c r="C318" s="62" t="b">
        <v>0</v>
      </c>
      <c r="D318" s="71" t="s">
        <v>1350</v>
      </c>
      <c r="E318" s="63" t="s">
        <v>361</v>
      </c>
      <c r="F318" s="63" t="s">
        <v>364</v>
      </c>
      <c r="G318" s="63" t="s">
        <v>732</v>
      </c>
      <c r="H318" s="63" t="s">
        <v>1294</v>
      </c>
      <c r="I318" s="66" t="s">
        <v>730</v>
      </c>
      <c r="J318" s="63" t="s">
        <v>1295</v>
      </c>
      <c r="K318" s="63" t="s">
        <v>731</v>
      </c>
      <c r="L318" s="63" t="s">
        <v>1353</v>
      </c>
      <c r="M318" s="63" t="s">
        <v>1297</v>
      </c>
      <c r="N318" s="63" t="s">
        <v>1411</v>
      </c>
      <c r="O318" s="63" t="s">
        <v>1299</v>
      </c>
      <c r="P318" s="63" t="s">
        <v>1300</v>
      </c>
      <c r="Q318" s="50" t="s">
        <v>1301</v>
      </c>
      <c r="R318" s="50" t="s">
        <v>1302</v>
      </c>
      <c r="S318" s="48"/>
      <c r="T318" s="67" t="s">
        <v>1303</v>
      </c>
      <c r="U318" s="67" t="s">
        <v>1303</v>
      </c>
      <c r="V318" s="48">
        <v>0.0</v>
      </c>
      <c r="W318" s="68">
        <v>0.0</v>
      </c>
      <c r="X318" s="50" t="s">
        <v>1304</v>
      </c>
      <c r="Y318" s="50" t="s">
        <v>1305</v>
      </c>
    </row>
    <row r="319">
      <c r="A319" s="65">
        <f>ROW()-ROW(Table_Actions[N])</f>
        <v>83</v>
      </c>
      <c r="B319" s="54" t="s">
        <v>1412</v>
      </c>
      <c r="C319" s="62" t="b">
        <v>0</v>
      </c>
      <c r="D319" s="71" t="s">
        <v>1350</v>
      </c>
      <c r="E319" s="63" t="s">
        <v>361</v>
      </c>
      <c r="F319" s="63" t="s">
        <v>364</v>
      </c>
      <c r="G319" s="63" t="s">
        <v>732</v>
      </c>
      <c r="H319" s="63" t="s">
        <v>1294</v>
      </c>
      <c r="I319" s="66" t="s">
        <v>730</v>
      </c>
      <c r="J319" s="63" t="s">
        <v>1295</v>
      </c>
      <c r="K319" s="63" t="s">
        <v>731</v>
      </c>
      <c r="L319" s="63" t="s">
        <v>1353</v>
      </c>
      <c r="M319" s="63" t="s">
        <v>1297</v>
      </c>
      <c r="N319" s="63" t="s">
        <v>1413</v>
      </c>
      <c r="O319" s="63" t="s">
        <v>1299</v>
      </c>
      <c r="P319" s="63" t="s">
        <v>1300</v>
      </c>
      <c r="Q319" s="50" t="s">
        <v>1301</v>
      </c>
      <c r="R319" s="50" t="s">
        <v>1302</v>
      </c>
      <c r="S319" s="48"/>
      <c r="T319" s="67" t="s">
        <v>1303</v>
      </c>
      <c r="U319" s="67" t="s">
        <v>1303</v>
      </c>
      <c r="V319" s="48">
        <v>0.0</v>
      </c>
      <c r="W319" s="68">
        <v>0.0</v>
      </c>
      <c r="X319" s="50" t="s">
        <v>1304</v>
      </c>
      <c r="Y319" s="50" t="s">
        <v>1305</v>
      </c>
    </row>
    <row r="320">
      <c r="A320" s="65">
        <f>ROW()-ROW(Table_Actions[N])</f>
        <v>84</v>
      </c>
      <c r="B320" s="54" t="s">
        <v>835</v>
      </c>
      <c r="C320" s="62" t="b">
        <v>0</v>
      </c>
      <c r="D320" s="71" t="s">
        <v>1350</v>
      </c>
      <c r="E320" s="63" t="s">
        <v>361</v>
      </c>
      <c r="F320" s="63" t="s">
        <v>364</v>
      </c>
      <c r="G320" s="63" t="s">
        <v>732</v>
      </c>
      <c r="H320" s="63" t="s">
        <v>1294</v>
      </c>
      <c r="I320" s="66" t="s">
        <v>730</v>
      </c>
      <c r="J320" s="63" t="s">
        <v>1295</v>
      </c>
      <c r="K320" s="63" t="s">
        <v>731</v>
      </c>
      <c r="L320" s="63" t="s">
        <v>1353</v>
      </c>
      <c r="M320" s="63" t="s">
        <v>1297</v>
      </c>
      <c r="N320" s="63" t="s">
        <v>1414</v>
      </c>
      <c r="O320" s="63" t="s">
        <v>1299</v>
      </c>
      <c r="P320" s="63" t="s">
        <v>1300</v>
      </c>
      <c r="Q320" s="50" t="s">
        <v>1301</v>
      </c>
      <c r="R320" s="50" t="s">
        <v>1302</v>
      </c>
      <c r="S320" s="48"/>
      <c r="T320" s="67" t="s">
        <v>1303</v>
      </c>
      <c r="U320" s="67" t="s">
        <v>1303</v>
      </c>
      <c r="V320" s="48">
        <v>0.0</v>
      </c>
      <c r="W320" s="68">
        <v>0.0</v>
      </c>
      <c r="X320" s="50" t="s">
        <v>1304</v>
      </c>
      <c r="Y320" s="50" t="s">
        <v>1305</v>
      </c>
    </row>
    <row r="321">
      <c r="A321" s="65">
        <f>ROW()-ROW(Table_Actions[N])</f>
        <v>85</v>
      </c>
      <c r="B321" s="54" t="s">
        <v>837</v>
      </c>
      <c r="C321" s="62" t="b">
        <v>0</v>
      </c>
      <c r="D321" s="71" t="s">
        <v>1350</v>
      </c>
      <c r="E321" s="63" t="s">
        <v>361</v>
      </c>
      <c r="F321" s="63" t="s">
        <v>364</v>
      </c>
      <c r="G321" s="63" t="s">
        <v>732</v>
      </c>
      <c r="H321" s="63" t="s">
        <v>1294</v>
      </c>
      <c r="I321" s="66" t="s">
        <v>730</v>
      </c>
      <c r="J321" s="63" t="s">
        <v>1295</v>
      </c>
      <c r="K321" s="63" t="s">
        <v>731</v>
      </c>
      <c r="L321" s="63" t="s">
        <v>1353</v>
      </c>
      <c r="M321" s="63" t="s">
        <v>1297</v>
      </c>
      <c r="N321" s="63" t="s">
        <v>1415</v>
      </c>
      <c r="O321" s="63" t="s">
        <v>1299</v>
      </c>
      <c r="P321" s="63" t="s">
        <v>1300</v>
      </c>
      <c r="Q321" s="50" t="s">
        <v>1301</v>
      </c>
      <c r="R321" s="50" t="s">
        <v>1302</v>
      </c>
      <c r="S321" s="48"/>
      <c r="T321" s="67" t="s">
        <v>1303</v>
      </c>
      <c r="U321" s="67" t="s">
        <v>1303</v>
      </c>
      <c r="V321" s="48">
        <v>0.0</v>
      </c>
      <c r="W321" s="68">
        <v>0.0</v>
      </c>
      <c r="X321" s="50" t="s">
        <v>1304</v>
      </c>
      <c r="Y321" s="50" t="s">
        <v>1305</v>
      </c>
    </row>
    <row r="322">
      <c r="A322" s="65">
        <f>ROW()-ROW(Table_Actions[N])</f>
        <v>86</v>
      </c>
      <c r="B322" s="54" t="s">
        <v>839</v>
      </c>
      <c r="C322" s="62" t="b">
        <v>0</v>
      </c>
      <c r="D322" s="71" t="s">
        <v>1350</v>
      </c>
      <c r="E322" s="63" t="s">
        <v>361</v>
      </c>
      <c r="F322" s="63" t="s">
        <v>364</v>
      </c>
      <c r="G322" s="63" t="s">
        <v>732</v>
      </c>
      <c r="H322" s="63" t="s">
        <v>1294</v>
      </c>
      <c r="I322" s="66" t="s">
        <v>730</v>
      </c>
      <c r="J322" s="63" t="s">
        <v>1295</v>
      </c>
      <c r="K322" s="63" t="s">
        <v>731</v>
      </c>
      <c r="L322" s="63" t="s">
        <v>1416</v>
      </c>
      <c r="M322" s="63" t="s">
        <v>1297</v>
      </c>
      <c r="N322" s="63" t="s">
        <v>1298</v>
      </c>
      <c r="O322" s="63" t="s">
        <v>1299</v>
      </c>
      <c r="P322" s="63" t="s">
        <v>1300</v>
      </c>
      <c r="Q322" s="50" t="s">
        <v>1301</v>
      </c>
      <c r="R322" s="50" t="s">
        <v>1302</v>
      </c>
      <c r="S322" s="48"/>
      <c r="T322" s="67" t="s">
        <v>1303</v>
      </c>
      <c r="U322" s="67" t="s">
        <v>1303</v>
      </c>
      <c r="V322" s="48">
        <v>0.0</v>
      </c>
      <c r="W322" s="68">
        <v>0.0</v>
      </c>
      <c r="X322" s="50" t="s">
        <v>1304</v>
      </c>
      <c r="Y322" s="50" t="s">
        <v>1305</v>
      </c>
    </row>
    <row r="323">
      <c r="A323" s="65">
        <f>ROW()-ROW(Table_Actions[N])</f>
        <v>87</v>
      </c>
      <c r="B323" s="54" t="s">
        <v>1417</v>
      </c>
      <c r="C323" s="62" t="b">
        <v>0</v>
      </c>
      <c r="D323" s="71" t="s">
        <v>1350</v>
      </c>
      <c r="E323" s="63" t="s">
        <v>361</v>
      </c>
      <c r="F323" s="63" t="s">
        <v>364</v>
      </c>
      <c r="G323" s="63" t="s">
        <v>732</v>
      </c>
      <c r="H323" s="63" t="s">
        <v>1294</v>
      </c>
      <c r="I323" s="66" t="s">
        <v>730</v>
      </c>
      <c r="J323" s="63" t="s">
        <v>1295</v>
      </c>
      <c r="K323" s="63" t="s">
        <v>731</v>
      </c>
      <c r="L323" s="63" t="s">
        <v>1353</v>
      </c>
      <c r="M323" s="63" t="s">
        <v>1297</v>
      </c>
      <c r="N323" s="63" t="s">
        <v>1418</v>
      </c>
      <c r="O323" s="63" t="s">
        <v>1299</v>
      </c>
      <c r="P323" s="63" t="s">
        <v>1300</v>
      </c>
      <c r="Q323" s="50" t="s">
        <v>1301</v>
      </c>
      <c r="R323" s="50" t="s">
        <v>1302</v>
      </c>
      <c r="S323" s="48"/>
      <c r="T323" s="67" t="s">
        <v>1303</v>
      </c>
      <c r="U323" s="67" t="s">
        <v>1303</v>
      </c>
      <c r="V323" s="48">
        <v>0.0</v>
      </c>
      <c r="W323" s="68">
        <v>0.0</v>
      </c>
      <c r="X323" s="50" t="s">
        <v>1304</v>
      </c>
      <c r="Y323" s="50" t="s">
        <v>1305</v>
      </c>
    </row>
    <row r="324">
      <c r="A324" s="65">
        <f>ROW()-ROW(Table_Actions[N])</f>
        <v>88</v>
      </c>
      <c r="B324" s="54" t="s">
        <v>1419</v>
      </c>
      <c r="C324" s="62" t="b">
        <v>0</v>
      </c>
      <c r="D324" s="71" t="s">
        <v>1350</v>
      </c>
      <c r="E324" s="63" t="s">
        <v>361</v>
      </c>
      <c r="F324" s="63" t="s">
        <v>364</v>
      </c>
      <c r="G324" s="63" t="s">
        <v>732</v>
      </c>
      <c r="H324" s="63" t="s">
        <v>1294</v>
      </c>
      <c r="I324" s="66" t="s">
        <v>730</v>
      </c>
      <c r="J324" s="63" t="s">
        <v>1295</v>
      </c>
      <c r="K324" s="63" t="s">
        <v>731</v>
      </c>
      <c r="L324" s="63" t="s">
        <v>1353</v>
      </c>
      <c r="M324" s="63" t="s">
        <v>1297</v>
      </c>
      <c r="N324" s="63" t="s">
        <v>1420</v>
      </c>
      <c r="O324" s="63" t="s">
        <v>1299</v>
      </c>
      <c r="P324" s="63" t="s">
        <v>1300</v>
      </c>
      <c r="Q324" s="50" t="s">
        <v>1301</v>
      </c>
      <c r="R324" s="50" t="s">
        <v>1302</v>
      </c>
      <c r="S324" s="48"/>
      <c r="T324" s="67" t="s">
        <v>1303</v>
      </c>
      <c r="U324" s="67" t="s">
        <v>1303</v>
      </c>
      <c r="V324" s="48">
        <v>0.0</v>
      </c>
      <c r="W324" s="68">
        <v>0.0</v>
      </c>
      <c r="X324" s="50" t="s">
        <v>1304</v>
      </c>
      <c r="Y324" s="50" t="s">
        <v>1305</v>
      </c>
    </row>
    <row r="325">
      <c r="A325" s="65">
        <f>ROW()-ROW(Table_Actions[N])</f>
        <v>89</v>
      </c>
      <c r="B325" s="54" t="s">
        <v>847</v>
      </c>
      <c r="C325" s="62" t="b">
        <v>0</v>
      </c>
      <c r="D325" s="71" t="s">
        <v>1350</v>
      </c>
      <c r="E325" s="63" t="s">
        <v>361</v>
      </c>
      <c r="F325" s="63" t="s">
        <v>364</v>
      </c>
      <c r="G325" s="63" t="s">
        <v>732</v>
      </c>
      <c r="H325" s="63" t="s">
        <v>1294</v>
      </c>
      <c r="I325" s="66" t="s">
        <v>730</v>
      </c>
      <c r="J325" s="63" t="s">
        <v>1295</v>
      </c>
      <c r="K325" s="63" t="s">
        <v>731</v>
      </c>
      <c r="L325" s="63" t="s">
        <v>1353</v>
      </c>
      <c r="M325" s="63" t="s">
        <v>1297</v>
      </c>
      <c r="N325" s="63" t="s">
        <v>1421</v>
      </c>
      <c r="O325" s="63" t="s">
        <v>1299</v>
      </c>
      <c r="P325" s="63" t="s">
        <v>1300</v>
      </c>
      <c r="Q325" s="50" t="s">
        <v>1301</v>
      </c>
      <c r="R325" s="50" t="s">
        <v>1302</v>
      </c>
      <c r="S325" s="48"/>
      <c r="T325" s="67" t="s">
        <v>1303</v>
      </c>
      <c r="U325" s="67" t="s">
        <v>1303</v>
      </c>
      <c r="V325" s="48">
        <v>0.0</v>
      </c>
      <c r="W325" s="68">
        <v>0.0</v>
      </c>
      <c r="X325" s="50" t="s">
        <v>1304</v>
      </c>
      <c r="Y325" s="50" t="s">
        <v>1305</v>
      </c>
    </row>
    <row r="326">
      <c r="A326" s="65">
        <f>ROW()-ROW(Table_Actions[N])</f>
        <v>90</v>
      </c>
      <c r="B326" s="54" t="s">
        <v>849</v>
      </c>
      <c r="C326" s="62" t="b">
        <v>0</v>
      </c>
      <c r="D326" s="71" t="s">
        <v>1350</v>
      </c>
      <c r="E326" s="63" t="s">
        <v>361</v>
      </c>
      <c r="F326" s="63" t="s">
        <v>364</v>
      </c>
      <c r="G326" s="63" t="s">
        <v>732</v>
      </c>
      <c r="H326" s="63" t="s">
        <v>1294</v>
      </c>
      <c r="I326" s="66" t="s">
        <v>730</v>
      </c>
      <c r="J326" s="63" t="s">
        <v>1295</v>
      </c>
      <c r="K326" s="63" t="s">
        <v>731</v>
      </c>
      <c r="L326" s="63" t="s">
        <v>1353</v>
      </c>
      <c r="M326" s="63" t="s">
        <v>1297</v>
      </c>
      <c r="N326" s="63" t="s">
        <v>1422</v>
      </c>
      <c r="O326" s="63" t="s">
        <v>1299</v>
      </c>
      <c r="P326" s="63" t="s">
        <v>1300</v>
      </c>
      <c r="Q326" s="50" t="s">
        <v>1301</v>
      </c>
      <c r="R326" s="50" t="s">
        <v>1302</v>
      </c>
      <c r="S326" s="48"/>
      <c r="T326" s="67" t="s">
        <v>1303</v>
      </c>
      <c r="U326" s="67" t="s">
        <v>1303</v>
      </c>
      <c r="V326" s="48">
        <v>0.0</v>
      </c>
      <c r="W326" s="68">
        <v>0.0</v>
      </c>
      <c r="X326" s="50" t="s">
        <v>1304</v>
      </c>
      <c r="Y326" s="50" t="s">
        <v>1305</v>
      </c>
    </row>
    <row r="327">
      <c r="A327" s="65">
        <f>ROW()-ROW(Table_Actions[N])</f>
        <v>91</v>
      </c>
      <c r="B327" s="54" t="s">
        <v>852</v>
      </c>
      <c r="C327" s="62" t="b">
        <v>0</v>
      </c>
      <c r="D327" s="71" t="s">
        <v>1350</v>
      </c>
      <c r="E327" s="63" t="s">
        <v>361</v>
      </c>
      <c r="F327" s="63" t="s">
        <v>364</v>
      </c>
      <c r="G327" s="63" t="s">
        <v>732</v>
      </c>
      <c r="H327" s="63" t="s">
        <v>1294</v>
      </c>
      <c r="I327" s="66" t="s">
        <v>730</v>
      </c>
      <c r="J327" s="63" t="s">
        <v>1295</v>
      </c>
      <c r="K327" s="63" t="s">
        <v>731</v>
      </c>
      <c r="L327" s="63" t="s">
        <v>1353</v>
      </c>
      <c r="M327" s="63" t="s">
        <v>1297</v>
      </c>
      <c r="N327" s="63" t="s">
        <v>1406</v>
      </c>
      <c r="O327" s="63" t="s">
        <v>1299</v>
      </c>
      <c r="P327" s="63" t="s">
        <v>1300</v>
      </c>
      <c r="Q327" s="50" t="s">
        <v>1301</v>
      </c>
      <c r="R327" s="50" t="s">
        <v>1302</v>
      </c>
      <c r="S327" s="48"/>
      <c r="T327" s="67" t="s">
        <v>1303</v>
      </c>
      <c r="U327" s="67" t="s">
        <v>1303</v>
      </c>
      <c r="V327" s="48">
        <v>0.0</v>
      </c>
      <c r="W327" s="68">
        <v>0.0</v>
      </c>
      <c r="X327" s="50" t="s">
        <v>1304</v>
      </c>
      <c r="Y327" s="50" t="s">
        <v>1305</v>
      </c>
    </row>
    <row r="328">
      <c r="A328" s="65">
        <f>ROW()-ROW(Table_Actions[N])</f>
        <v>92</v>
      </c>
      <c r="B328" s="54" t="s">
        <v>1423</v>
      </c>
      <c r="C328" s="62" t="b">
        <v>0</v>
      </c>
      <c r="D328" s="71" t="s">
        <v>1350</v>
      </c>
      <c r="E328" s="63" t="s">
        <v>361</v>
      </c>
      <c r="F328" s="63" t="s">
        <v>364</v>
      </c>
      <c r="G328" s="63" t="s">
        <v>732</v>
      </c>
      <c r="H328" s="63" t="s">
        <v>1294</v>
      </c>
      <c r="I328" s="66" t="s">
        <v>730</v>
      </c>
      <c r="J328" s="63" t="s">
        <v>1295</v>
      </c>
      <c r="K328" s="63" t="s">
        <v>731</v>
      </c>
      <c r="L328" s="63" t="s">
        <v>1424</v>
      </c>
      <c r="M328" s="63" t="s">
        <v>1297</v>
      </c>
      <c r="N328" s="63" t="s">
        <v>1298</v>
      </c>
      <c r="O328" s="63" t="s">
        <v>1299</v>
      </c>
      <c r="P328" s="63" t="s">
        <v>1300</v>
      </c>
      <c r="Q328" s="50" t="s">
        <v>1301</v>
      </c>
      <c r="R328" s="50" t="s">
        <v>1302</v>
      </c>
      <c r="S328" s="48"/>
      <c r="T328" s="67" t="s">
        <v>1303</v>
      </c>
      <c r="U328" s="67" t="s">
        <v>1303</v>
      </c>
      <c r="V328" s="48">
        <v>0.0</v>
      </c>
      <c r="W328" s="68">
        <v>0.0</v>
      </c>
      <c r="X328" s="50" t="s">
        <v>1304</v>
      </c>
      <c r="Y328" s="50" t="s">
        <v>1305</v>
      </c>
    </row>
    <row r="329">
      <c r="A329" s="65">
        <f>ROW()-ROW(Table_Actions[N])</f>
        <v>93</v>
      </c>
      <c r="B329" s="54" t="s">
        <v>1425</v>
      </c>
      <c r="C329" s="62" t="b">
        <v>0</v>
      </c>
      <c r="D329" s="71" t="s">
        <v>1350</v>
      </c>
      <c r="E329" s="63" t="s">
        <v>361</v>
      </c>
      <c r="F329" s="63" t="s">
        <v>364</v>
      </c>
      <c r="G329" s="63" t="s">
        <v>732</v>
      </c>
      <c r="H329" s="63" t="s">
        <v>1294</v>
      </c>
      <c r="I329" s="66" t="s">
        <v>730</v>
      </c>
      <c r="J329" s="63" t="s">
        <v>1295</v>
      </c>
      <c r="K329" s="63" t="s">
        <v>731</v>
      </c>
      <c r="L329" s="63" t="s">
        <v>1424</v>
      </c>
      <c r="M329" s="63" t="s">
        <v>1297</v>
      </c>
      <c r="N329" s="63" t="s">
        <v>1298</v>
      </c>
      <c r="O329" s="63" t="s">
        <v>1299</v>
      </c>
      <c r="P329" s="63" t="s">
        <v>1300</v>
      </c>
      <c r="Q329" s="50" t="s">
        <v>1301</v>
      </c>
      <c r="R329" s="50" t="s">
        <v>1302</v>
      </c>
      <c r="S329" s="48"/>
      <c r="T329" s="67" t="s">
        <v>1303</v>
      </c>
      <c r="U329" s="67" t="s">
        <v>1303</v>
      </c>
      <c r="V329" s="48">
        <v>0.0</v>
      </c>
      <c r="W329" s="68">
        <v>0.0</v>
      </c>
      <c r="X329" s="50" t="s">
        <v>1304</v>
      </c>
      <c r="Y329" s="50" t="s">
        <v>1305</v>
      </c>
    </row>
    <row r="330">
      <c r="A330" s="65">
        <f>ROW()-ROW(Table_Actions[N])</f>
        <v>94</v>
      </c>
      <c r="B330" s="54" t="s">
        <v>860</v>
      </c>
      <c r="C330" s="62" t="b">
        <v>0</v>
      </c>
      <c r="D330" s="71" t="s">
        <v>1350</v>
      </c>
      <c r="E330" s="63" t="s">
        <v>361</v>
      </c>
      <c r="F330" s="63" t="s">
        <v>364</v>
      </c>
      <c r="G330" s="63" t="s">
        <v>732</v>
      </c>
      <c r="H330" s="63" t="s">
        <v>1294</v>
      </c>
      <c r="I330" s="66" t="s">
        <v>730</v>
      </c>
      <c r="J330" s="63" t="s">
        <v>1295</v>
      </c>
      <c r="K330" s="63" t="s">
        <v>731</v>
      </c>
      <c r="L330" s="63" t="s">
        <v>1426</v>
      </c>
      <c r="M330" s="63" t="s">
        <v>1297</v>
      </c>
      <c r="N330" s="63" t="s">
        <v>1298</v>
      </c>
      <c r="O330" s="63" t="s">
        <v>1299</v>
      </c>
      <c r="P330" s="63" t="s">
        <v>1300</v>
      </c>
      <c r="Q330" s="50" t="s">
        <v>1301</v>
      </c>
      <c r="R330" s="50" t="s">
        <v>1302</v>
      </c>
      <c r="S330" s="48"/>
      <c r="T330" s="67" t="s">
        <v>1303</v>
      </c>
      <c r="U330" s="67" t="s">
        <v>1303</v>
      </c>
      <c r="V330" s="48">
        <v>0.0</v>
      </c>
      <c r="W330" s="68">
        <v>0.0</v>
      </c>
      <c r="X330" s="50" t="s">
        <v>1304</v>
      </c>
      <c r="Y330" s="50" t="s">
        <v>1305</v>
      </c>
    </row>
    <row r="331">
      <c r="A331" s="65">
        <f>ROW()-ROW(Table_Actions[N])</f>
        <v>95</v>
      </c>
      <c r="B331" s="54" t="s">
        <v>1427</v>
      </c>
      <c r="C331" s="62" t="b">
        <v>0</v>
      </c>
      <c r="D331" s="71" t="s">
        <v>1350</v>
      </c>
      <c r="E331" s="63" t="s">
        <v>361</v>
      </c>
      <c r="F331" s="63" t="s">
        <v>364</v>
      </c>
      <c r="G331" s="63" t="s">
        <v>732</v>
      </c>
      <c r="H331" s="63" t="s">
        <v>1294</v>
      </c>
      <c r="I331" s="66" t="s">
        <v>730</v>
      </c>
      <c r="J331" s="63" t="s">
        <v>1295</v>
      </c>
      <c r="K331" s="63" t="s">
        <v>731</v>
      </c>
      <c r="L331" s="63" t="s">
        <v>1353</v>
      </c>
      <c r="M331" s="63" t="s">
        <v>1297</v>
      </c>
      <c r="N331" s="63" t="s">
        <v>1428</v>
      </c>
      <c r="O331" s="63" t="s">
        <v>1299</v>
      </c>
      <c r="P331" s="63" t="s">
        <v>1300</v>
      </c>
      <c r="Q331" s="50" t="s">
        <v>1301</v>
      </c>
      <c r="R331" s="50" t="s">
        <v>1302</v>
      </c>
      <c r="S331" s="48"/>
      <c r="T331" s="67" t="s">
        <v>1303</v>
      </c>
      <c r="U331" s="67" t="s">
        <v>1303</v>
      </c>
      <c r="V331" s="48">
        <v>0.0</v>
      </c>
      <c r="W331" s="68">
        <v>0.0</v>
      </c>
      <c r="X331" s="50" t="s">
        <v>1304</v>
      </c>
      <c r="Y331" s="50" t="s">
        <v>1305</v>
      </c>
    </row>
    <row r="332">
      <c r="A332" s="65">
        <f>ROW()-ROW(Table_Actions[N])</f>
        <v>96</v>
      </c>
      <c r="B332" s="54" t="s">
        <v>864</v>
      </c>
      <c r="C332" s="62" t="b">
        <v>0</v>
      </c>
      <c r="D332" s="71" t="s">
        <v>1350</v>
      </c>
      <c r="E332" s="63" t="s">
        <v>361</v>
      </c>
      <c r="F332" s="63" t="s">
        <v>364</v>
      </c>
      <c r="G332" s="63" t="s">
        <v>732</v>
      </c>
      <c r="H332" s="63" t="s">
        <v>1294</v>
      </c>
      <c r="I332" s="66" t="s">
        <v>730</v>
      </c>
      <c r="J332" s="63" t="s">
        <v>1295</v>
      </c>
      <c r="K332" s="63" t="s">
        <v>731</v>
      </c>
      <c r="L332" s="63" t="s">
        <v>1353</v>
      </c>
      <c r="M332" s="63" t="s">
        <v>1297</v>
      </c>
      <c r="N332" s="63" t="s">
        <v>1429</v>
      </c>
      <c r="O332" s="63" t="s">
        <v>1299</v>
      </c>
      <c r="P332" s="63" t="s">
        <v>1300</v>
      </c>
      <c r="Q332" s="50" t="s">
        <v>1301</v>
      </c>
      <c r="R332" s="50" t="s">
        <v>1302</v>
      </c>
      <c r="S332" s="48"/>
      <c r="T332" s="67" t="s">
        <v>1303</v>
      </c>
      <c r="U332" s="67" t="s">
        <v>1303</v>
      </c>
      <c r="V332" s="48">
        <v>0.0</v>
      </c>
      <c r="W332" s="68">
        <v>0.0</v>
      </c>
      <c r="X332" s="50" t="s">
        <v>1304</v>
      </c>
      <c r="Y332" s="50" t="s">
        <v>1305</v>
      </c>
    </row>
    <row r="333">
      <c r="A333" s="65">
        <f>ROW()-ROW(Table_Actions[N])</f>
        <v>97</v>
      </c>
      <c r="B333" s="54" t="s">
        <v>1430</v>
      </c>
      <c r="C333" s="62" t="b">
        <v>0</v>
      </c>
      <c r="D333" s="63" t="s">
        <v>1310</v>
      </c>
      <c r="E333" s="63" t="s">
        <v>361</v>
      </c>
      <c r="F333" s="63" t="s">
        <v>364</v>
      </c>
      <c r="G333" s="63" t="s">
        <v>732</v>
      </c>
      <c r="H333" s="63" t="s">
        <v>1294</v>
      </c>
      <c r="I333" s="66" t="s">
        <v>740</v>
      </c>
      <c r="J333" s="63" t="s">
        <v>1295</v>
      </c>
      <c r="K333" s="63" t="s">
        <v>731</v>
      </c>
      <c r="L333" s="63" t="s">
        <v>1296</v>
      </c>
      <c r="M333" s="63" t="s">
        <v>1297</v>
      </c>
      <c r="N333" s="63" t="s">
        <v>1298</v>
      </c>
      <c r="O333" s="63" t="s">
        <v>1299</v>
      </c>
      <c r="P333" s="63" t="s">
        <v>1300</v>
      </c>
      <c r="Q333" s="50" t="s">
        <v>1301</v>
      </c>
      <c r="R333" s="50" t="s">
        <v>1302</v>
      </c>
      <c r="S333" s="48"/>
      <c r="T333" s="67" t="s">
        <v>1303</v>
      </c>
      <c r="U333" s="67" t="s">
        <v>1303</v>
      </c>
      <c r="V333" s="48">
        <v>0.0</v>
      </c>
      <c r="W333" s="68">
        <v>0.0</v>
      </c>
      <c r="X333" s="50" t="s">
        <v>1304</v>
      </c>
      <c r="Y333" s="50" t="s">
        <v>1305</v>
      </c>
    </row>
    <row r="334">
      <c r="A334" s="65">
        <f>ROW()-ROW(Table_Actions[N])</f>
        <v>98</v>
      </c>
      <c r="B334" s="54" t="s">
        <v>1431</v>
      </c>
      <c r="C334" s="62" t="b">
        <v>0</v>
      </c>
      <c r="D334" s="63" t="s">
        <v>1310</v>
      </c>
      <c r="E334" s="63" t="s">
        <v>361</v>
      </c>
      <c r="F334" s="63" t="s">
        <v>364</v>
      </c>
      <c r="G334" s="63" t="s">
        <v>732</v>
      </c>
      <c r="H334" s="63" t="s">
        <v>1294</v>
      </c>
      <c r="I334" s="66" t="s">
        <v>736</v>
      </c>
      <c r="J334" s="63" t="s">
        <v>1295</v>
      </c>
      <c r="K334" s="63" t="s">
        <v>731</v>
      </c>
      <c r="L334" s="63" t="s">
        <v>1296</v>
      </c>
      <c r="M334" s="63" t="s">
        <v>1297</v>
      </c>
      <c r="N334" s="63" t="s">
        <v>1298</v>
      </c>
      <c r="O334" s="63" t="s">
        <v>1299</v>
      </c>
      <c r="P334" s="63" t="s">
        <v>1300</v>
      </c>
      <c r="Q334" s="50" t="s">
        <v>1301</v>
      </c>
      <c r="R334" s="50" t="s">
        <v>1302</v>
      </c>
      <c r="S334" s="48"/>
      <c r="T334" s="67" t="s">
        <v>1303</v>
      </c>
      <c r="U334" s="67" t="s">
        <v>1303</v>
      </c>
      <c r="V334" s="48">
        <v>0.0</v>
      </c>
      <c r="W334" s="68">
        <v>0.0</v>
      </c>
      <c r="X334" s="50" t="s">
        <v>1304</v>
      </c>
      <c r="Y334" s="50" t="s">
        <v>1305</v>
      </c>
    </row>
    <row r="335">
      <c r="A335" s="65">
        <f>ROW()-ROW(Table_Actions[N])</f>
        <v>99</v>
      </c>
      <c r="B335" s="54" t="s">
        <v>1432</v>
      </c>
      <c r="C335" s="62" t="b">
        <v>0</v>
      </c>
      <c r="D335" s="63" t="s">
        <v>1310</v>
      </c>
      <c r="E335" s="63" t="s">
        <v>361</v>
      </c>
      <c r="F335" s="63" t="s">
        <v>364</v>
      </c>
      <c r="G335" s="63" t="s">
        <v>732</v>
      </c>
      <c r="H335" s="63" t="s">
        <v>1294</v>
      </c>
      <c r="I335" s="66" t="s">
        <v>1110</v>
      </c>
      <c r="J335" s="63" t="s">
        <v>1295</v>
      </c>
      <c r="K335" s="63" t="s">
        <v>731</v>
      </c>
      <c r="L335" s="63" t="s">
        <v>1296</v>
      </c>
      <c r="M335" s="63" t="s">
        <v>1297</v>
      </c>
      <c r="N335" s="63" t="s">
        <v>1298</v>
      </c>
      <c r="O335" s="63" t="s">
        <v>1299</v>
      </c>
      <c r="P335" s="63" t="s">
        <v>1300</v>
      </c>
      <c r="Q335" s="50" t="s">
        <v>1301</v>
      </c>
      <c r="R335" s="50" t="s">
        <v>1302</v>
      </c>
      <c r="S335" s="48"/>
      <c r="T335" s="67" t="s">
        <v>1303</v>
      </c>
      <c r="U335" s="67" t="s">
        <v>1303</v>
      </c>
      <c r="V335" s="48">
        <v>0.0</v>
      </c>
      <c r="W335" s="68">
        <v>0.0</v>
      </c>
      <c r="X335" s="50" t="s">
        <v>1304</v>
      </c>
      <c r="Y335" s="50" t="s">
        <v>1305</v>
      </c>
    </row>
    <row r="336">
      <c r="A336" s="65">
        <f>ROW()-ROW(Table_Actions[N])</f>
        <v>100</v>
      </c>
      <c r="B336" s="54" t="s">
        <v>1433</v>
      </c>
      <c r="C336" s="62" t="b">
        <v>0</v>
      </c>
      <c r="D336" s="63" t="s">
        <v>1310</v>
      </c>
      <c r="E336" s="63" t="s">
        <v>361</v>
      </c>
      <c r="F336" s="63" t="s">
        <v>364</v>
      </c>
      <c r="G336" s="63" t="s">
        <v>732</v>
      </c>
      <c r="H336" s="63" t="s">
        <v>1294</v>
      </c>
      <c r="I336" s="66" t="s">
        <v>746</v>
      </c>
      <c r="J336" s="63" t="s">
        <v>1295</v>
      </c>
      <c r="K336" s="63" t="s">
        <v>731</v>
      </c>
      <c r="L336" s="63" t="s">
        <v>1296</v>
      </c>
      <c r="M336" s="63" t="s">
        <v>1297</v>
      </c>
      <c r="N336" s="63" t="s">
        <v>1298</v>
      </c>
      <c r="O336" s="63" t="s">
        <v>1299</v>
      </c>
      <c r="P336" s="63" t="s">
        <v>1300</v>
      </c>
      <c r="Q336" s="50" t="s">
        <v>1301</v>
      </c>
      <c r="R336" s="50" t="s">
        <v>1302</v>
      </c>
      <c r="S336" s="48"/>
      <c r="T336" s="67" t="s">
        <v>1303</v>
      </c>
      <c r="U336" s="67" t="s">
        <v>1303</v>
      </c>
      <c r="V336" s="48">
        <v>0.0</v>
      </c>
      <c r="W336" s="68">
        <v>0.0</v>
      </c>
      <c r="X336" s="50" t="s">
        <v>1304</v>
      </c>
      <c r="Y336" s="50" t="s">
        <v>1305</v>
      </c>
    </row>
    <row r="337">
      <c r="A337" s="65">
        <f>ROW()-ROW(Table_Actions[N])</f>
        <v>101</v>
      </c>
      <c r="B337" s="54" t="s">
        <v>1434</v>
      </c>
      <c r="C337" s="62" t="b">
        <v>0</v>
      </c>
      <c r="D337" s="63" t="s">
        <v>1310</v>
      </c>
      <c r="E337" s="63" t="s">
        <v>361</v>
      </c>
      <c r="F337" s="63" t="s">
        <v>364</v>
      </c>
      <c r="G337" s="63" t="s">
        <v>732</v>
      </c>
      <c r="H337" s="63" t="s">
        <v>1294</v>
      </c>
      <c r="I337" s="66" t="s">
        <v>744</v>
      </c>
      <c r="J337" s="63" t="s">
        <v>1295</v>
      </c>
      <c r="K337" s="63" t="s">
        <v>731</v>
      </c>
      <c r="L337" s="63" t="s">
        <v>1296</v>
      </c>
      <c r="M337" s="63" t="s">
        <v>1297</v>
      </c>
      <c r="N337" s="63" t="s">
        <v>1298</v>
      </c>
      <c r="O337" s="63" t="s">
        <v>1299</v>
      </c>
      <c r="P337" s="63" t="s">
        <v>1300</v>
      </c>
      <c r="Q337" s="50" t="s">
        <v>1301</v>
      </c>
      <c r="R337" s="50" t="s">
        <v>1302</v>
      </c>
      <c r="S337" s="48"/>
      <c r="T337" s="67" t="s">
        <v>1303</v>
      </c>
      <c r="U337" s="67" t="s">
        <v>1303</v>
      </c>
      <c r="V337" s="48">
        <v>0.0</v>
      </c>
      <c r="W337" s="68">
        <v>0.0</v>
      </c>
      <c r="X337" s="50" t="s">
        <v>1304</v>
      </c>
      <c r="Y337" s="50" t="s">
        <v>1305</v>
      </c>
    </row>
    <row r="338">
      <c r="A338" s="65">
        <f>ROW()-ROW(Table_Actions[N])</f>
        <v>102</v>
      </c>
      <c r="B338" s="54" t="s">
        <v>1435</v>
      </c>
      <c r="C338" s="62" t="b">
        <v>0</v>
      </c>
      <c r="D338" s="63" t="s">
        <v>1310</v>
      </c>
      <c r="E338" s="63" t="s">
        <v>361</v>
      </c>
      <c r="F338" s="63" t="s">
        <v>364</v>
      </c>
      <c r="G338" s="63" t="s">
        <v>732</v>
      </c>
      <c r="H338" s="63" t="s">
        <v>1294</v>
      </c>
      <c r="I338" s="66" t="s">
        <v>1436</v>
      </c>
      <c r="J338" s="63" t="s">
        <v>1295</v>
      </c>
      <c r="K338" s="63" t="s">
        <v>731</v>
      </c>
      <c r="L338" s="63" t="s">
        <v>1296</v>
      </c>
      <c r="M338" s="63" t="s">
        <v>1297</v>
      </c>
      <c r="N338" s="63" t="s">
        <v>1298</v>
      </c>
      <c r="O338" s="63" t="s">
        <v>1299</v>
      </c>
      <c r="P338" s="63" t="s">
        <v>1300</v>
      </c>
      <c r="Q338" s="50" t="s">
        <v>1301</v>
      </c>
      <c r="R338" s="50" t="s">
        <v>1302</v>
      </c>
      <c r="S338" s="48"/>
      <c r="T338" s="67" t="s">
        <v>1303</v>
      </c>
      <c r="U338" s="67" t="s">
        <v>1303</v>
      </c>
      <c r="V338" s="48">
        <v>0.0</v>
      </c>
      <c r="W338" s="68">
        <v>0.0</v>
      </c>
      <c r="X338" s="50" t="s">
        <v>1304</v>
      </c>
      <c r="Y338" s="50" t="s">
        <v>1305</v>
      </c>
    </row>
    <row r="339">
      <c r="A339" s="65">
        <f>ROW()-ROW(Table_Actions[N])</f>
        <v>103</v>
      </c>
      <c r="B339" s="54" t="s">
        <v>1437</v>
      </c>
      <c r="C339" s="62" t="b">
        <v>0</v>
      </c>
      <c r="D339" s="63" t="s">
        <v>1310</v>
      </c>
      <c r="E339" s="63" t="s">
        <v>361</v>
      </c>
      <c r="F339" s="63" t="s">
        <v>364</v>
      </c>
      <c r="G339" s="63" t="s">
        <v>732</v>
      </c>
      <c r="H339" s="63" t="s">
        <v>1294</v>
      </c>
      <c r="I339" s="66" t="s">
        <v>1115</v>
      </c>
      <c r="J339" s="63" t="s">
        <v>1295</v>
      </c>
      <c r="K339" s="63" t="s">
        <v>731</v>
      </c>
      <c r="L339" s="63" t="s">
        <v>1296</v>
      </c>
      <c r="M339" s="63" t="s">
        <v>1297</v>
      </c>
      <c r="N339" s="63" t="s">
        <v>1298</v>
      </c>
      <c r="O339" s="63" t="s">
        <v>1299</v>
      </c>
      <c r="P339" s="63" t="s">
        <v>1300</v>
      </c>
      <c r="Q339" s="50" t="s">
        <v>1301</v>
      </c>
      <c r="R339" s="50" t="s">
        <v>1302</v>
      </c>
      <c r="S339" s="48"/>
      <c r="T339" s="67" t="s">
        <v>1303</v>
      </c>
      <c r="U339" s="67" t="s">
        <v>1303</v>
      </c>
      <c r="V339" s="48">
        <v>0.0</v>
      </c>
      <c r="W339" s="68">
        <v>0.0</v>
      </c>
      <c r="X339" s="50" t="s">
        <v>1304</v>
      </c>
      <c r="Y339" s="50" t="s">
        <v>1305</v>
      </c>
    </row>
    <row r="340">
      <c r="A340" s="65">
        <f>ROW()-ROW(Table_Actions[N])</f>
        <v>104</v>
      </c>
      <c r="B340" s="54" t="s">
        <v>1438</v>
      </c>
      <c r="C340" s="62" t="b">
        <v>0</v>
      </c>
      <c r="D340" s="63" t="s">
        <v>1310</v>
      </c>
      <c r="E340" s="63" t="s">
        <v>361</v>
      </c>
      <c r="F340" s="63" t="s">
        <v>364</v>
      </c>
      <c r="G340" s="63" t="s">
        <v>732</v>
      </c>
      <c r="H340" s="63" t="s">
        <v>1294</v>
      </c>
      <c r="I340" s="66" t="s">
        <v>1133</v>
      </c>
      <c r="J340" s="63" t="s">
        <v>1295</v>
      </c>
      <c r="K340" s="63" t="s">
        <v>731</v>
      </c>
      <c r="L340" s="63" t="s">
        <v>1296</v>
      </c>
      <c r="M340" s="63" t="s">
        <v>1297</v>
      </c>
      <c r="N340" s="63" t="s">
        <v>1298</v>
      </c>
      <c r="O340" s="63" t="s">
        <v>1299</v>
      </c>
      <c r="P340" s="63" t="s">
        <v>1300</v>
      </c>
      <c r="Q340" s="50" t="s">
        <v>1301</v>
      </c>
      <c r="R340" s="50" t="s">
        <v>1302</v>
      </c>
      <c r="S340" s="48"/>
      <c r="T340" s="67" t="s">
        <v>1303</v>
      </c>
      <c r="U340" s="67" t="s">
        <v>1303</v>
      </c>
      <c r="V340" s="48">
        <v>0.0</v>
      </c>
      <c r="W340" s="68">
        <v>0.0</v>
      </c>
      <c r="X340" s="50" t="s">
        <v>1304</v>
      </c>
      <c r="Y340" s="50" t="s">
        <v>1305</v>
      </c>
    </row>
    <row r="341">
      <c r="A341" s="65">
        <f>ROW()-ROW(Table_Actions[N])</f>
        <v>105</v>
      </c>
      <c r="B341" s="54" t="s">
        <v>1439</v>
      </c>
      <c r="C341" s="62" t="b">
        <v>0</v>
      </c>
      <c r="D341" s="63" t="s">
        <v>1310</v>
      </c>
      <c r="E341" s="63" t="s">
        <v>361</v>
      </c>
      <c r="F341" s="63" t="s">
        <v>364</v>
      </c>
      <c r="G341" s="63" t="s">
        <v>732</v>
      </c>
      <c r="H341" s="63" t="s">
        <v>1294</v>
      </c>
      <c r="I341" s="66" t="s">
        <v>806</v>
      </c>
      <c r="J341" s="63" t="s">
        <v>1295</v>
      </c>
      <c r="K341" s="63" t="s">
        <v>731</v>
      </c>
      <c r="L341" s="63" t="s">
        <v>1296</v>
      </c>
      <c r="M341" s="63" t="s">
        <v>1297</v>
      </c>
      <c r="N341" s="63" t="s">
        <v>1298</v>
      </c>
      <c r="O341" s="63" t="s">
        <v>1299</v>
      </c>
      <c r="P341" s="63" t="s">
        <v>1300</v>
      </c>
      <c r="Q341" s="50" t="s">
        <v>1301</v>
      </c>
      <c r="R341" s="50" t="s">
        <v>1302</v>
      </c>
      <c r="S341" s="48"/>
      <c r="T341" s="67" t="s">
        <v>1303</v>
      </c>
      <c r="U341" s="67" t="s">
        <v>1303</v>
      </c>
      <c r="V341" s="48">
        <v>0.0</v>
      </c>
      <c r="W341" s="68">
        <v>0.0</v>
      </c>
      <c r="X341" s="50" t="s">
        <v>1304</v>
      </c>
      <c r="Y341" s="50" t="s">
        <v>1305</v>
      </c>
    </row>
    <row r="342">
      <c r="A342" s="65">
        <f>ROW()-ROW(Table_Actions[N])</f>
        <v>106</v>
      </c>
      <c r="B342" s="54" t="s">
        <v>1440</v>
      </c>
      <c r="C342" s="62" t="b">
        <v>0</v>
      </c>
      <c r="D342" s="63" t="s">
        <v>1310</v>
      </c>
      <c r="E342" s="63" t="s">
        <v>361</v>
      </c>
      <c r="F342" s="63" t="s">
        <v>364</v>
      </c>
      <c r="G342" s="63" t="s">
        <v>732</v>
      </c>
      <c r="H342" s="63" t="s">
        <v>1294</v>
      </c>
      <c r="I342" s="66" t="s">
        <v>809</v>
      </c>
      <c r="J342" s="63" t="s">
        <v>1295</v>
      </c>
      <c r="K342" s="63" t="s">
        <v>731</v>
      </c>
      <c r="L342" s="63" t="s">
        <v>1296</v>
      </c>
      <c r="M342" s="63" t="s">
        <v>1297</v>
      </c>
      <c r="N342" s="63" t="s">
        <v>1298</v>
      </c>
      <c r="O342" s="63" t="s">
        <v>1299</v>
      </c>
      <c r="P342" s="63" t="s">
        <v>1300</v>
      </c>
      <c r="Q342" s="50" t="s">
        <v>1301</v>
      </c>
      <c r="R342" s="50" t="s">
        <v>1302</v>
      </c>
      <c r="S342" s="48"/>
      <c r="T342" s="67" t="s">
        <v>1303</v>
      </c>
      <c r="U342" s="67" t="s">
        <v>1303</v>
      </c>
      <c r="V342" s="48">
        <v>0.0</v>
      </c>
      <c r="W342" s="68">
        <v>0.0</v>
      </c>
      <c r="X342" s="50" t="s">
        <v>1304</v>
      </c>
      <c r="Y342" s="50" t="s">
        <v>1305</v>
      </c>
    </row>
    <row r="343">
      <c r="A343" s="65">
        <f>ROW()-ROW(Table_Actions[N])</f>
        <v>107</v>
      </c>
      <c r="B343" s="54" t="s">
        <v>1441</v>
      </c>
      <c r="C343" s="62" t="b">
        <v>0</v>
      </c>
      <c r="D343" s="63" t="s">
        <v>1310</v>
      </c>
      <c r="E343" s="63" t="s">
        <v>361</v>
      </c>
      <c r="F343" s="63" t="s">
        <v>364</v>
      </c>
      <c r="G343" s="63" t="s">
        <v>732</v>
      </c>
      <c r="H343" s="63" t="s">
        <v>1294</v>
      </c>
      <c r="I343" s="66" t="s">
        <v>1142</v>
      </c>
      <c r="J343" s="63" t="s">
        <v>1295</v>
      </c>
      <c r="K343" s="63" t="s">
        <v>731</v>
      </c>
      <c r="L343" s="63" t="s">
        <v>1296</v>
      </c>
      <c r="M343" s="63" t="s">
        <v>1297</v>
      </c>
      <c r="N343" s="63" t="s">
        <v>1298</v>
      </c>
      <c r="O343" s="63" t="s">
        <v>1299</v>
      </c>
      <c r="P343" s="63" t="s">
        <v>1300</v>
      </c>
      <c r="Q343" s="50" t="s">
        <v>1301</v>
      </c>
      <c r="R343" s="50" t="s">
        <v>1302</v>
      </c>
      <c r="S343" s="48"/>
      <c r="T343" s="67" t="s">
        <v>1303</v>
      </c>
      <c r="U343" s="67" t="s">
        <v>1303</v>
      </c>
      <c r="V343" s="48">
        <v>0.0</v>
      </c>
      <c r="W343" s="68">
        <v>0.0</v>
      </c>
      <c r="X343" s="50" t="s">
        <v>1304</v>
      </c>
      <c r="Y343" s="50" t="s">
        <v>1305</v>
      </c>
    </row>
    <row r="344">
      <c r="A344" s="65">
        <f>ROW()-ROW(Table_Actions[N])</f>
        <v>108</v>
      </c>
      <c r="B344" s="54" t="s">
        <v>1442</v>
      </c>
      <c r="C344" s="62" t="b">
        <v>0</v>
      </c>
      <c r="D344" s="63" t="s">
        <v>1310</v>
      </c>
      <c r="E344" s="63" t="s">
        <v>361</v>
      </c>
      <c r="F344" s="63" t="s">
        <v>364</v>
      </c>
      <c r="G344" s="63" t="s">
        <v>732</v>
      </c>
      <c r="H344" s="63" t="s">
        <v>1294</v>
      </c>
      <c r="I344" s="66" t="s">
        <v>821</v>
      </c>
      <c r="J344" s="63" t="s">
        <v>1295</v>
      </c>
      <c r="K344" s="63" t="s">
        <v>731</v>
      </c>
      <c r="L344" s="63" t="s">
        <v>1296</v>
      </c>
      <c r="M344" s="63" t="s">
        <v>1297</v>
      </c>
      <c r="N344" s="63" t="s">
        <v>1298</v>
      </c>
      <c r="O344" s="63" t="s">
        <v>1299</v>
      </c>
      <c r="P344" s="63" t="s">
        <v>1300</v>
      </c>
      <c r="Q344" s="50" t="s">
        <v>1301</v>
      </c>
      <c r="R344" s="50" t="s">
        <v>1302</v>
      </c>
      <c r="S344" s="48"/>
      <c r="T344" s="67" t="s">
        <v>1303</v>
      </c>
      <c r="U344" s="67" t="s">
        <v>1303</v>
      </c>
      <c r="V344" s="48">
        <v>0.0</v>
      </c>
      <c r="W344" s="68">
        <v>0.0</v>
      </c>
      <c r="X344" s="50" t="s">
        <v>1304</v>
      </c>
      <c r="Y344" s="50" t="s">
        <v>1305</v>
      </c>
    </row>
    <row r="345">
      <c r="A345" s="65">
        <f>ROW()-ROW(Table_Actions[N])</f>
        <v>109</v>
      </c>
      <c r="B345" s="54" t="s">
        <v>1443</v>
      </c>
      <c r="C345" s="62" t="b">
        <v>0</v>
      </c>
      <c r="D345" s="63" t="s">
        <v>1310</v>
      </c>
      <c r="E345" s="63" t="s">
        <v>361</v>
      </c>
      <c r="F345" s="63" t="s">
        <v>364</v>
      </c>
      <c r="G345" s="63" t="s">
        <v>732</v>
      </c>
      <c r="H345" s="63" t="s">
        <v>1294</v>
      </c>
      <c r="I345" s="66" t="s">
        <v>1148</v>
      </c>
      <c r="J345" s="63" t="s">
        <v>1295</v>
      </c>
      <c r="K345" s="63" t="s">
        <v>731</v>
      </c>
      <c r="L345" s="63" t="s">
        <v>1296</v>
      </c>
      <c r="M345" s="63" t="s">
        <v>1297</v>
      </c>
      <c r="N345" s="63" t="s">
        <v>1298</v>
      </c>
      <c r="O345" s="63" t="s">
        <v>1299</v>
      </c>
      <c r="P345" s="63" t="s">
        <v>1300</v>
      </c>
      <c r="Q345" s="50" t="s">
        <v>1301</v>
      </c>
      <c r="R345" s="50" t="s">
        <v>1302</v>
      </c>
      <c r="S345" s="48"/>
      <c r="T345" s="67" t="s">
        <v>1303</v>
      </c>
      <c r="U345" s="67" t="s">
        <v>1303</v>
      </c>
      <c r="V345" s="48">
        <v>0.0</v>
      </c>
      <c r="W345" s="68">
        <v>0.0</v>
      </c>
      <c r="X345" s="50" t="s">
        <v>1304</v>
      </c>
      <c r="Y345" s="50" t="s">
        <v>1305</v>
      </c>
    </row>
    <row r="346">
      <c r="A346" s="65">
        <f>ROW()-ROW(Table_Actions[N])</f>
        <v>110</v>
      </c>
      <c r="B346" s="54" t="s">
        <v>1444</v>
      </c>
      <c r="C346" s="62" t="b">
        <v>0</v>
      </c>
      <c r="D346" s="63" t="s">
        <v>1310</v>
      </c>
      <c r="E346" s="63" t="s">
        <v>361</v>
      </c>
      <c r="F346" s="63" t="s">
        <v>364</v>
      </c>
      <c r="G346" s="63" t="s">
        <v>732</v>
      </c>
      <c r="H346" s="63" t="s">
        <v>1294</v>
      </c>
      <c r="I346" s="66" t="s">
        <v>1151</v>
      </c>
      <c r="J346" s="63" t="s">
        <v>1295</v>
      </c>
      <c r="K346" s="63" t="s">
        <v>731</v>
      </c>
      <c r="L346" s="63" t="s">
        <v>1296</v>
      </c>
      <c r="M346" s="63" t="s">
        <v>1297</v>
      </c>
      <c r="N346" s="63" t="s">
        <v>1298</v>
      </c>
      <c r="O346" s="63" t="s">
        <v>1299</v>
      </c>
      <c r="P346" s="63" t="s">
        <v>1300</v>
      </c>
      <c r="Q346" s="50" t="s">
        <v>1301</v>
      </c>
      <c r="R346" s="50" t="s">
        <v>1302</v>
      </c>
      <c r="S346" s="48"/>
      <c r="T346" s="67" t="s">
        <v>1303</v>
      </c>
      <c r="U346" s="67" t="s">
        <v>1303</v>
      </c>
      <c r="V346" s="48">
        <v>0.0</v>
      </c>
      <c r="W346" s="68">
        <v>0.0</v>
      </c>
      <c r="X346" s="50" t="s">
        <v>1304</v>
      </c>
      <c r="Y346" s="50" t="s">
        <v>1305</v>
      </c>
    </row>
    <row r="347">
      <c r="A347" s="65">
        <f>ROW()-ROW(Table_Actions[N])</f>
        <v>111</v>
      </c>
      <c r="B347" s="54" t="s">
        <v>1445</v>
      </c>
      <c r="C347" s="62" t="b">
        <v>0</v>
      </c>
      <c r="D347" s="63" t="s">
        <v>1310</v>
      </c>
      <c r="E347" s="63" t="s">
        <v>361</v>
      </c>
      <c r="F347" s="63" t="s">
        <v>364</v>
      </c>
      <c r="G347" s="63" t="s">
        <v>732</v>
      </c>
      <c r="H347" s="63" t="s">
        <v>1294</v>
      </c>
      <c r="I347" s="66" t="s">
        <v>834</v>
      </c>
      <c r="J347" s="63" t="s">
        <v>1295</v>
      </c>
      <c r="K347" s="63" t="s">
        <v>731</v>
      </c>
      <c r="L347" s="63" t="s">
        <v>1296</v>
      </c>
      <c r="M347" s="63" t="s">
        <v>1297</v>
      </c>
      <c r="N347" s="63" t="s">
        <v>1298</v>
      </c>
      <c r="O347" s="63" t="s">
        <v>1299</v>
      </c>
      <c r="P347" s="63" t="s">
        <v>1300</v>
      </c>
      <c r="Q347" s="50" t="s">
        <v>1301</v>
      </c>
      <c r="R347" s="50" t="s">
        <v>1302</v>
      </c>
      <c r="S347" s="48"/>
      <c r="T347" s="67" t="s">
        <v>1303</v>
      </c>
      <c r="U347" s="67" t="s">
        <v>1303</v>
      </c>
      <c r="V347" s="48">
        <v>0.0</v>
      </c>
      <c r="W347" s="68">
        <v>0.0</v>
      </c>
      <c r="X347" s="50" t="s">
        <v>1304</v>
      </c>
      <c r="Y347" s="50" t="s">
        <v>1305</v>
      </c>
    </row>
    <row r="348">
      <c r="A348" s="65">
        <f>ROW()-ROW(Table_Actions[N])</f>
        <v>112</v>
      </c>
      <c r="B348" s="54" t="s">
        <v>1446</v>
      </c>
      <c r="C348" s="62" t="b">
        <v>0</v>
      </c>
      <c r="D348" s="63" t="s">
        <v>1310</v>
      </c>
      <c r="E348" s="63" t="s">
        <v>361</v>
      </c>
      <c r="F348" s="63" t="s">
        <v>364</v>
      </c>
      <c r="G348" s="63" t="s">
        <v>732</v>
      </c>
      <c r="H348" s="63" t="s">
        <v>1294</v>
      </c>
      <c r="I348" s="66" t="s">
        <v>854</v>
      </c>
      <c r="J348" s="63" t="s">
        <v>1295</v>
      </c>
      <c r="K348" s="63" t="s">
        <v>731</v>
      </c>
      <c r="L348" s="63" t="s">
        <v>1296</v>
      </c>
      <c r="M348" s="63" t="s">
        <v>1297</v>
      </c>
      <c r="N348" s="63" t="s">
        <v>1298</v>
      </c>
      <c r="O348" s="63" t="s">
        <v>1299</v>
      </c>
      <c r="P348" s="63" t="s">
        <v>1300</v>
      </c>
      <c r="Q348" s="50" t="s">
        <v>1301</v>
      </c>
      <c r="R348" s="50" t="s">
        <v>1302</v>
      </c>
      <c r="S348" s="48"/>
      <c r="T348" s="67" t="s">
        <v>1303</v>
      </c>
      <c r="U348" s="67" t="s">
        <v>1303</v>
      </c>
      <c r="V348" s="48">
        <v>0.0</v>
      </c>
      <c r="W348" s="68">
        <v>0.0</v>
      </c>
      <c r="X348" s="50" t="s">
        <v>1304</v>
      </c>
      <c r="Y348" s="50" t="s">
        <v>1305</v>
      </c>
    </row>
    <row r="349">
      <c r="A349" s="65">
        <f>ROW()-ROW(Table_Actions[N])</f>
        <v>113</v>
      </c>
      <c r="B349" s="54" t="s">
        <v>1447</v>
      </c>
      <c r="C349" s="62" t="b">
        <v>0</v>
      </c>
      <c r="D349" s="63" t="s">
        <v>1310</v>
      </c>
      <c r="E349" s="63" t="s">
        <v>361</v>
      </c>
      <c r="F349" s="63" t="s">
        <v>364</v>
      </c>
      <c r="G349" s="63" t="s">
        <v>732</v>
      </c>
      <c r="H349" s="63" t="s">
        <v>1294</v>
      </c>
      <c r="I349" s="66" t="s">
        <v>1448</v>
      </c>
      <c r="J349" s="63" t="s">
        <v>1295</v>
      </c>
      <c r="K349" s="63" t="s">
        <v>731</v>
      </c>
      <c r="L349" s="63" t="s">
        <v>1296</v>
      </c>
      <c r="M349" s="63" t="s">
        <v>1297</v>
      </c>
      <c r="N349" s="63" t="s">
        <v>1298</v>
      </c>
      <c r="O349" s="63" t="s">
        <v>1299</v>
      </c>
      <c r="P349" s="63" t="s">
        <v>1300</v>
      </c>
      <c r="Q349" s="50" t="s">
        <v>1301</v>
      </c>
      <c r="R349" s="50" t="s">
        <v>1302</v>
      </c>
      <c r="S349" s="48"/>
      <c r="T349" s="67" t="s">
        <v>1303</v>
      </c>
      <c r="U349" s="67" t="s">
        <v>1303</v>
      </c>
      <c r="V349" s="48">
        <v>0.0</v>
      </c>
      <c r="W349" s="68">
        <v>0.0</v>
      </c>
      <c r="X349" s="50" t="s">
        <v>1304</v>
      </c>
      <c r="Y349" s="50" t="s">
        <v>1305</v>
      </c>
    </row>
    <row r="350">
      <c r="A350" s="65">
        <f>ROW()-ROW(Table_Actions[N])</f>
        <v>114</v>
      </c>
      <c r="B350" s="54" t="s">
        <v>1449</v>
      </c>
      <c r="C350" s="62" t="b">
        <v>0</v>
      </c>
      <c r="D350" s="63" t="s">
        <v>1310</v>
      </c>
      <c r="E350" s="63" t="s">
        <v>361</v>
      </c>
      <c r="F350" s="63" t="s">
        <v>364</v>
      </c>
      <c r="G350" s="63" t="s">
        <v>732</v>
      </c>
      <c r="H350" s="63" t="s">
        <v>1294</v>
      </c>
      <c r="I350" s="66" t="s">
        <v>859</v>
      </c>
      <c r="J350" s="63" t="s">
        <v>1295</v>
      </c>
      <c r="K350" s="63" t="s">
        <v>731</v>
      </c>
      <c r="L350" s="63" t="s">
        <v>1296</v>
      </c>
      <c r="M350" s="63" t="s">
        <v>1297</v>
      </c>
      <c r="N350" s="63" t="s">
        <v>1298</v>
      </c>
      <c r="O350" s="63" t="s">
        <v>1299</v>
      </c>
      <c r="P350" s="63" t="s">
        <v>1300</v>
      </c>
      <c r="Q350" s="50" t="s">
        <v>1301</v>
      </c>
      <c r="R350" s="50" t="s">
        <v>1302</v>
      </c>
      <c r="S350" s="48"/>
      <c r="T350" s="67" t="s">
        <v>1303</v>
      </c>
      <c r="U350" s="67" t="s">
        <v>1303</v>
      </c>
      <c r="V350" s="48">
        <v>0.0</v>
      </c>
      <c r="W350" s="68">
        <v>0.0</v>
      </c>
      <c r="X350" s="50" t="s">
        <v>1304</v>
      </c>
      <c r="Y350" s="50" t="s">
        <v>1305</v>
      </c>
    </row>
    <row r="351">
      <c r="A351" s="65">
        <f>ROW()-ROW(Table_Actions[N])</f>
        <v>115</v>
      </c>
      <c r="B351" s="54" t="s">
        <v>1450</v>
      </c>
      <c r="C351" s="62" t="b">
        <v>0</v>
      </c>
      <c r="D351" s="63" t="s">
        <v>1310</v>
      </c>
      <c r="E351" s="63" t="s">
        <v>361</v>
      </c>
      <c r="F351" s="63" t="s">
        <v>364</v>
      </c>
      <c r="G351" s="63" t="s">
        <v>732</v>
      </c>
      <c r="H351" s="63" t="s">
        <v>1294</v>
      </c>
      <c r="I351" s="66" t="s">
        <v>844</v>
      </c>
      <c r="J351" s="63" t="s">
        <v>1295</v>
      </c>
      <c r="K351" s="63" t="s">
        <v>731</v>
      </c>
      <c r="L351" s="63" t="s">
        <v>1296</v>
      </c>
      <c r="M351" s="63" t="s">
        <v>1297</v>
      </c>
      <c r="N351" s="63" t="s">
        <v>1298</v>
      </c>
      <c r="O351" s="63" t="s">
        <v>1299</v>
      </c>
      <c r="P351" s="63" t="s">
        <v>1300</v>
      </c>
      <c r="Q351" s="50" t="s">
        <v>1301</v>
      </c>
      <c r="R351" s="50" t="s">
        <v>1302</v>
      </c>
      <c r="S351" s="48"/>
      <c r="T351" s="67" t="s">
        <v>1303</v>
      </c>
      <c r="U351" s="67" t="s">
        <v>1303</v>
      </c>
      <c r="V351" s="48">
        <v>0.0</v>
      </c>
      <c r="W351" s="68">
        <v>0.0</v>
      </c>
      <c r="X351" s="50" t="s">
        <v>1304</v>
      </c>
      <c r="Y351" s="50" t="s">
        <v>1305</v>
      </c>
    </row>
    <row r="352">
      <c r="A352" s="65">
        <f>ROW()-ROW(Table_Actions[N])</f>
        <v>116</v>
      </c>
      <c r="B352" s="54" t="s">
        <v>1451</v>
      </c>
      <c r="C352" s="62" t="b">
        <v>0</v>
      </c>
      <c r="D352" s="63" t="s">
        <v>1310</v>
      </c>
      <c r="E352" s="63" t="s">
        <v>361</v>
      </c>
      <c r="F352" s="63" t="s">
        <v>364</v>
      </c>
      <c r="G352" s="63" t="s">
        <v>732</v>
      </c>
      <c r="H352" s="63" t="s">
        <v>1294</v>
      </c>
      <c r="I352" s="66" t="s">
        <v>768</v>
      </c>
      <c r="J352" s="63" t="s">
        <v>1295</v>
      </c>
      <c r="K352" s="63" t="s">
        <v>731</v>
      </c>
      <c r="L352" s="63" t="s">
        <v>1296</v>
      </c>
      <c r="M352" s="63" t="s">
        <v>1297</v>
      </c>
      <c r="N352" s="63" t="s">
        <v>1298</v>
      </c>
      <c r="O352" s="63" t="s">
        <v>1299</v>
      </c>
      <c r="P352" s="63" t="s">
        <v>1300</v>
      </c>
      <c r="Q352" s="50" t="s">
        <v>1301</v>
      </c>
      <c r="R352" s="50" t="s">
        <v>1302</v>
      </c>
      <c r="S352" s="48"/>
      <c r="T352" s="67" t="s">
        <v>1303</v>
      </c>
      <c r="U352" s="67" t="s">
        <v>1303</v>
      </c>
      <c r="V352" s="48">
        <v>0.0</v>
      </c>
      <c r="W352" s="68">
        <v>0.0</v>
      </c>
      <c r="X352" s="50" t="s">
        <v>1304</v>
      </c>
      <c r="Y352" s="50" t="s">
        <v>1305</v>
      </c>
    </row>
    <row r="353">
      <c r="A353" s="65">
        <f>ROW()-ROW(Table_Actions[N])</f>
        <v>117</v>
      </c>
      <c r="B353" s="54" t="s">
        <v>1452</v>
      </c>
      <c r="C353" s="62" t="b">
        <v>0</v>
      </c>
      <c r="D353" s="63" t="s">
        <v>1310</v>
      </c>
      <c r="E353" s="63" t="s">
        <v>361</v>
      </c>
      <c r="F353" s="63" t="s">
        <v>364</v>
      </c>
      <c r="G353" s="63" t="s">
        <v>732</v>
      </c>
      <c r="H353" s="63" t="s">
        <v>1294</v>
      </c>
      <c r="I353" s="66" t="s">
        <v>795</v>
      </c>
      <c r="J353" s="63" t="s">
        <v>1295</v>
      </c>
      <c r="K353" s="63" t="s">
        <v>731</v>
      </c>
      <c r="L353" s="63" t="s">
        <v>1296</v>
      </c>
      <c r="M353" s="63" t="s">
        <v>1297</v>
      </c>
      <c r="N353" s="63" t="s">
        <v>1298</v>
      </c>
      <c r="O353" s="63" t="s">
        <v>1299</v>
      </c>
      <c r="P353" s="63" t="s">
        <v>1300</v>
      </c>
      <c r="Q353" s="50" t="s">
        <v>1301</v>
      </c>
      <c r="R353" s="50" t="s">
        <v>1302</v>
      </c>
      <c r="S353" s="48"/>
      <c r="T353" s="67" t="s">
        <v>1303</v>
      </c>
      <c r="U353" s="67" t="s">
        <v>1303</v>
      </c>
      <c r="V353" s="48">
        <v>0.0</v>
      </c>
      <c r="W353" s="68">
        <v>0.0</v>
      </c>
      <c r="X353" s="50" t="s">
        <v>1304</v>
      </c>
      <c r="Y353" s="50" t="s">
        <v>1305</v>
      </c>
    </row>
    <row r="354">
      <c r="A354" s="65">
        <f>ROW()-ROW(Table_Actions[N])</f>
        <v>118</v>
      </c>
      <c r="B354" s="54" t="s">
        <v>1453</v>
      </c>
      <c r="C354" s="62" t="b">
        <v>0</v>
      </c>
      <c r="D354" s="63" t="s">
        <v>1310</v>
      </c>
      <c r="E354" s="63" t="s">
        <v>361</v>
      </c>
      <c r="F354" s="63" t="s">
        <v>364</v>
      </c>
      <c r="G354" s="63" t="s">
        <v>732</v>
      </c>
      <c r="H354" s="63" t="s">
        <v>1294</v>
      </c>
      <c r="I354" s="66" t="s">
        <v>1454</v>
      </c>
      <c r="J354" s="63" t="s">
        <v>1295</v>
      </c>
      <c r="K354" s="63" t="s">
        <v>731</v>
      </c>
      <c r="L354" s="63" t="s">
        <v>1296</v>
      </c>
      <c r="M354" s="63" t="s">
        <v>1297</v>
      </c>
      <c r="N354" s="63" t="s">
        <v>1298</v>
      </c>
      <c r="O354" s="63" t="s">
        <v>1299</v>
      </c>
      <c r="P354" s="63" t="s">
        <v>1300</v>
      </c>
      <c r="Q354" s="50" t="s">
        <v>1301</v>
      </c>
      <c r="R354" s="50" t="s">
        <v>1302</v>
      </c>
      <c r="S354" s="48"/>
      <c r="T354" s="67" t="s">
        <v>1303</v>
      </c>
      <c r="U354" s="67" t="s">
        <v>1303</v>
      </c>
      <c r="V354" s="48">
        <v>0.0</v>
      </c>
      <c r="W354" s="68">
        <v>0.0</v>
      </c>
      <c r="X354" s="50" t="s">
        <v>1304</v>
      </c>
      <c r="Y354" s="50" t="s">
        <v>1305</v>
      </c>
    </row>
    <row r="355">
      <c r="A355" s="65">
        <f>ROW()-ROW(Table_Actions[N])</f>
        <v>119</v>
      </c>
      <c r="B355" s="54" t="s">
        <v>1455</v>
      </c>
      <c r="C355" s="62" t="b">
        <v>0</v>
      </c>
      <c r="D355" s="63" t="s">
        <v>1310</v>
      </c>
      <c r="E355" s="63" t="s">
        <v>361</v>
      </c>
      <c r="F355" s="63" t="s">
        <v>364</v>
      </c>
      <c r="G355" s="63" t="s">
        <v>732</v>
      </c>
      <c r="H355" s="63" t="s">
        <v>1294</v>
      </c>
      <c r="I355" s="66" t="s">
        <v>1456</v>
      </c>
      <c r="J355" s="63" t="s">
        <v>1295</v>
      </c>
      <c r="K355" s="63" t="s">
        <v>731</v>
      </c>
      <c r="L355" s="63" t="s">
        <v>1296</v>
      </c>
      <c r="M355" s="63" t="s">
        <v>1297</v>
      </c>
      <c r="N355" s="63" t="s">
        <v>1298</v>
      </c>
      <c r="O355" s="63" t="s">
        <v>1299</v>
      </c>
      <c r="P355" s="63" t="s">
        <v>1300</v>
      </c>
      <c r="Q355" s="50" t="s">
        <v>1301</v>
      </c>
      <c r="R355" s="50" t="s">
        <v>1302</v>
      </c>
      <c r="S355" s="48"/>
      <c r="T355" s="67" t="s">
        <v>1303</v>
      </c>
      <c r="U355" s="67" t="s">
        <v>1303</v>
      </c>
      <c r="V355" s="48">
        <v>0.0</v>
      </c>
      <c r="W355" s="68">
        <v>0.0</v>
      </c>
      <c r="X355" s="50" t="s">
        <v>1304</v>
      </c>
      <c r="Y355" s="50" t="s">
        <v>1305</v>
      </c>
    </row>
    <row r="356">
      <c r="A356" s="65">
        <f>ROW()-ROW(Table_Actions[N])</f>
        <v>120</v>
      </c>
      <c r="B356" s="54" t="s">
        <v>1457</v>
      </c>
      <c r="C356" s="62" t="b">
        <v>0</v>
      </c>
      <c r="D356" s="63" t="s">
        <v>1310</v>
      </c>
      <c r="E356" s="63" t="s">
        <v>361</v>
      </c>
      <c r="F356" s="63" t="s">
        <v>364</v>
      </c>
      <c r="G356" s="63" t="s">
        <v>732</v>
      </c>
      <c r="H356" s="63" t="s">
        <v>1294</v>
      </c>
      <c r="I356" s="66" t="s">
        <v>1458</v>
      </c>
      <c r="J356" s="63" t="s">
        <v>1295</v>
      </c>
      <c r="K356" s="63" t="s">
        <v>731</v>
      </c>
      <c r="L356" s="63" t="s">
        <v>1296</v>
      </c>
      <c r="M356" s="63" t="s">
        <v>1297</v>
      </c>
      <c r="N356" s="63" t="s">
        <v>1298</v>
      </c>
      <c r="O356" s="63" t="s">
        <v>1299</v>
      </c>
      <c r="P356" s="63" t="s">
        <v>1300</v>
      </c>
      <c r="Q356" s="50" t="s">
        <v>1301</v>
      </c>
      <c r="R356" s="50" t="s">
        <v>1302</v>
      </c>
      <c r="S356" s="48"/>
      <c r="T356" s="67" t="s">
        <v>1303</v>
      </c>
      <c r="U356" s="67" t="s">
        <v>1303</v>
      </c>
      <c r="V356" s="48">
        <v>0.0</v>
      </c>
      <c r="W356" s="68">
        <v>0.0</v>
      </c>
      <c r="X356" s="50" t="s">
        <v>1304</v>
      </c>
      <c r="Y356" s="50" t="s">
        <v>1305</v>
      </c>
    </row>
    <row r="357">
      <c r="A357" s="65">
        <f>ROW()-ROW(Table_Actions[N])</f>
        <v>121</v>
      </c>
      <c r="B357" s="54" t="s">
        <v>1459</v>
      </c>
      <c r="C357" s="62" t="b">
        <v>0</v>
      </c>
      <c r="D357" s="63" t="s">
        <v>1310</v>
      </c>
      <c r="E357" s="63" t="s">
        <v>361</v>
      </c>
      <c r="F357" s="63" t="s">
        <v>364</v>
      </c>
      <c r="G357" s="63" t="s">
        <v>732</v>
      </c>
      <c r="H357" s="63" t="s">
        <v>1294</v>
      </c>
      <c r="I357" s="66" t="s">
        <v>1157</v>
      </c>
      <c r="J357" s="63" t="s">
        <v>1295</v>
      </c>
      <c r="K357" s="63" t="s">
        <v>731</v>
      </c>
      <c r="L357" s="63" t="s">
        <v>1296</v>
      </c>
      <c r="M357" s="63" t="s">
        <v>1297</v>
      </c>
      <c r="N357" s="63" t="s">
        <v>1298</v>
      </c>
      <c r="O357" s="63" t="s">
        <v>1299</v>
      </c>
      <c r="P357" s="63" t="s">
        <v>1300</v>
      </c>
      <c r="Q357" s="50" t="s">
        <v>1301</v>
      </c>
      <c r="R357" s="50" t="s">
        <v>1302</v>
      </c>
      <c r="S357" s="48"/>
      <c r="T357" s="67" t="s">
        <v>1303</v>
      </c>
      <c r="U357" s="67" t="s">
        <v>1303</v>
      </c>
      <c r="V357" s="48">
        <v>0.0</v>
      </c>
      <c r="W357" s="68">
        <v>0.0</v>
      </c>
      <c r="X357" s="50" t="s">
        <v>1304</v>
      </c>
      <c r="Y357" s="50" t="s">
        <v>1305</v>
      </c>
    </row>
    <row r="358">
      <c r="A358" s="65">
        <f>ROW()-ROW(Table_Actions[N])</f>
        <v>122</v>
      </c>
      <c r="B358" s="54" t="s">
        <v>1460</v>
      </c>
      <c r="C358" s="62" t="b">
        <v>0</v>
      </c>
      <c r="D358" s="71" t="s">
        <v>1350</v>
      </c>
      <c r="E358" s="63" t="s">
        <v>361</v>
      </c>
      <c r="F358" s="63" t="s">
        <v>364</v>
      </c>
      <c r="G358" s="63" t="s">
        <v>732</v>
      </c>
      <c r="H358" s="63" t="s">
        <v>1294</v>
      </c>
      <c r="I358" s="66" t="s">
        <v>730</v>
      </c>
      <c r="J358" s="63" t="s">
        <v>1295</v>
      </c>
      <c r="K358" s="63" t="s">
        <v>731</v>
      </c>
      <c r="L358" s="63" t="s">
        <v>1353</v>
      </c>
      <c r="M358" s="63" t="s">
        <v>1297</v>
      </c>
      <c r="N358" s="63" t="s">
        <v>1461</v>
      </c>
      <c r="O358" s="63" t="s">
        <v>1299</v>
      </c>
      <c r="P358" s="63" t="s">
        <v>1300</v>
      </c>
      <c r="Q358" s="50" t="s">
        <v>1301</v>
      </c>
      <c r="R358" s="50" t="s">
        <v>1302</v>
      </c>
      <c r="S358" s="48"/>
      <c r="T358" s="67" t="s">
        <v>1303</v>
      </c>
      <c r="U358" s="67" t="s">
        <v>1303</v>
      </c>
      <c r="V358" s="48">
        <v>0.0</v>
      </c>
      <c r="W358" s="68">
        <v>0.0</v>
      </c>
      <c r="X358" s="50" t="s">
        <v>1304</v>
      </c>
      <c r="Y358" s="50" t="s">
        <v>1305</v>
      </c>
    </row>
    <row r="359">
      <c r="A359" s="65">
        <f>ROW()-ROW(Table_Actions[N])</f>
        <v>123</v>
      </c>
      <c r="B359" s="54" t="s">
        <v>1462</v>
      </c>
      <c r="C359" s="62" t="b">
        <v>0</v>
      </c>
      <c r="D359" s="71" t="s">
        <v>1350</v>
      </c>
      <c r="E359" s="63" t="s">
        <v>361</v>
      </c>
      <c r="F359" s="63" t="s">
        <v>364</v>
      </c>
      <c r="G359" s="63" t="s">
        <v>732</v>
      </c>
      <c r="H359" s="63" t="s">
        <v>1294</v>
      </c>
      <c r="I359" s="66" t="s">
        <v>730</v>
      </c>
      <c r="J359" s="63" t="s">
        <v>1295</v>
      </c>
      <c r="K359" s="63" t="s">
        <v>731</v>
      </c>
      <c r="L359" s="63" t="s">
        <v>1353</v>
      </c>
      <c r="M359" s="63" t="s">
        <v>1297</v>
      </c>
      <c r="N359" s="63" t="s">
        <v>1463</v>
      </c>
      <c r="O359" s="63" t="s">
        <v>1299</v>
      </c>
      <c r="P359" s="63" t="s">
        <v>1300</v>
      </c>
      <c r="Q359" s="50" t="s">
        <v>1301</v>
      </c>
      <c r="R359" s="50" t="s">
        <v>1302</v>
      </c>
      <c r="S359" s="48"/>
      <c r="T359" s="67" t="s">
        <v>1303</v>
      </c>
      <c r="U359" s="67" t="s">
        <v>1303</v>
      </c>
      <c r="V359" s="48">
        <v>0.0</v>
      </c>
      <c r="W359" s="68">
        <v>0.0</v>
      </c>
      <c r="X359" s="50" t="s">
        <v>1304</v>
      </c>
      <c r="Y359" s="50" t="s">
        <v>1305</v>
      </c>
    </row>
    <row r="360">
      <c r="A360" s="65">
        <f>ROW()-ROW(Table_Actions[N])</f>
        <v>124</v>
      </c>
      <c r="B360" s="54" t="s">
        <v>1464</v>
      </c>
      <c r="C360" s="62" t="b">
        <v>0</v>
      </c>
      <c r="D360" s="71" t="s">
        <v>1350</v>
      </c>
      <c r="E360" s="63" t="s">
        <v>361</v>
      </c>
      <c r="F360" s="63" t="s">
        <v>364</v>
      </c>
      <c r="G360" s="63" t="s">
        <v>732</v>
      </c>
      <c r="H360" s="63" t="s">
        <v>1294</v>
      </c>
      <c r="I360" s="66" t="s">
        <v>730</v>
      </c>
      <c r="J360" s="63" t="s">
        <v>1295</v>
      </c>
      <c r="K360" s="63" t="s">
        <v>731</v>
      </c>
      <c r="L360" s="63" t="s">
        <v>1353</v>
      </c>
      <c r="M360" s="63" t="s">
        <v>1297</v>
      </c>
      <c r="N360" s="63" t="s">
        <v>1465</v>
      </c>
      <c r="O360" s="63" t="s">
        <v>1299</v>
      </c>
      <c r="P360" s="63" t="s">
        <v>1300</v>
      </c>
      <c r="Q360" s="50" t="s">
        <v>1301</v>
      </c>
      <c r="R360" s="50" t="s">
        <v>1302</v>
      </c>
      <c r="S360" s="48"/>
      <c r="T360" s="67" t="s">
        <v>1303</v>
      </c>
      <c r="U360" s="67" t="s">
        <v>1303</v>
      </c>
      <c r="V360" s="48">
        <v>0.0</v>
      </c>
      <c r="W360" s="68">
        <v>0.0</v>
      </c>
      <c r="X360" s="50" t="s">
        <v>1304</v>
      </c>
      <c r="Y360" s="50" t="s">
        <v>1305</v>
      </c>
    </row>
    <row r="361">
      <c r="A361" s="65">
        <f>ROW()-ROW(Table_Actions[N])</f>
        <v>125</v>
      </c>
      <c r="B361" s="54" t="s">
        <v>1466</v>
      </c>
      <c r="C361" s="62" t="b">
        <v>1</v>
      </c>
      <c r="D361" s="63" t="s">
        <v>1293</v>
      </c>
      <c r="E361" s="63" t="s">
        <v>361</v>
      </c>
      <c r="F361" s="63" t="s">
        <v>364</v>
      </c>
      <c r="G361" s="63" t="s">
        <v>732</v>
      </c>
      <c r="H361" s="63" t="s">
        <v>1294</v>
      </c>
      <c r="I361" s="66" t="s">
        <v>730</v>
      </c>
      <c r="J361" s="63" t="s">
        <v>1295</v>
      </c>
      <c r="K361" s="63" t="s">
        <v>731</v>
      </c>
      <c r="L361" s="63" t="s">
        <v>1296</v>
      </c>
      <c r="M361" s="63" t="s">
        <v>1297</v>
      </c>
      <c r="N361" s="63" t="s">
        <v>1298</v>
      </c>
      <c r="O361" s="63" t="s">
        <v>1299</v>
      </c>
      <c r="P361" s="63" t="s">
        <v>1300</v>
      </c>
      <c r="Q361" s="50" t="s">
        <v>1301</v>
      </c>
      <c r="R361" s="50" t="s">
        <v>1302</v>
      </c>
      <c r="S361" s="48"/>
      <c r="T361" s="67" t="s">
        <v>1303</v>
      </c>
      <c r="U361" s="67" t="s">
        <v>1303</v>
      </c>
      <c r="V361" s="48">
        <v>0.0</v>
      </c>
      <c r="W361" s="68">
        <v>0.0</v>
      </c>
      <c r="X361" s="50" t="s">
        <v>1304</v>
      </c>
      <c r="Y361" s="50" t="s">
        <v>1305</v>
      </c>
    </row>
    <row r="362">
      <c r="A362" s="65">
        <f>ROW()-ROW(Table_Actions[N])</f>
        <v>126</v>
      </c>
      <c r="B362" s="54" t="s">
        <v>1467</v>
      </c>
      <c r="C362" s="62" t="b">
        <v>0</v>
      </c>
      <c r="D362" s="63" t="s">
        <v>1318</v>
      </c>
      <c r="E362" s="63" t="s">
        <v>494</v>
      </c>
      <c r="F362" s="63" t="s">
        <v>364</v>
      </c>
      <c r="G362" s="63" t="s">
        <v>732</v>
      </c>
      <c r="H362" s="63" t="s">
        <v>1294</v>
      </c>
      <c r="I362" s="66" t="s">
        <v>730</v>
      </c>
      <c r="J362" s="63" t="s">
        <v>1295</v>
      </c>
      <c r="K362" s="63" t="s">
        <v>731</v>
      </c>
      <c r="L362" s="63" t="s">
        <v>1296</v>
      </c>
      <c r="M362" s="63" t="s">
        <v>1297</v>
      </c>
      <c r="N362" s="63" t="s">
        <v>1298</v>
      </c>
      <c r="O362" s="63" t="s">
        <v>1299</v>
      </c>
      <c r="P362" s="63" t="s">
        <v>1300</v>
      </c>
      <c r="Q362" s="50" t="s">
        <v>1301</v>
      </c>
      <c r="R362" s="50" t="s">
        <v>1302</v>
      </c>
      <c r="S362" s="48"/>
      <c r="T362" s="67" t="s">
        <v>1303</v>
      </c>
      <c r="U362" s="67" t="s">
        <v>1303</v>
      </c>
      <c r="V362" s="48">
        <v>0.0</v>
      </c>
      <c r="W362" s="68">
        <v>0.0</v>
      </c>
      <c r="X362" s="50" t="s">
        <v>1304</v>
      </c>
      <c r="Y362" s="50" t="s">
        <v>1305</v>
      </c>
    </row>
    <row r="363">
      <c r="A363" s="65">
        <f>ROW()-ROW(Table_Actions[N])</f>
        <v>127</v>
      </c>
      <c r="B363" s="54" t="s">
        <v>866</v>
      </c>
      <c r="C363" s="62" t="b">
        <v>0</v>
      </c>
      <c r="D363" s="63" t="s">
        <v>1350</v>
      </c>
      <c r="E363" s="63" t="s">
        <v>361</v>
      </c>
      <c r="F363" s="63" t="s">
        <v>364</v>
      </c>
      <c r="G363" s="63" t="s">
        <v>732</v>
      </c>
      <c r="H363" s="63" t="s">
        <v>1294</v>
      </c>
      <c r="I363" s="66" t="s">
        <v>730</v>
      </c>
      <c r="J363" s="63" t="s">
        <v>1295</v>
      </c>
      <c r="K363" s="63" t="s">
        <v>731</v>
      </c>
      <c r="L363" s="63" t="s">
        <v>1468</v>
      </c>
      <c r="M363" s="63" t="s">
        <v>1297</v>
      </c>
      <c r="N363" s="63" t="s">
        <v>1298</v>
      </c>
      <c r="O363" s="63" t="s">
        <v>1299</v>
      </c>
      <c r="P363" s="63" t="s">
        <v>1300</v>
      </c>
      <c r="Q363" s="50" t="s">
        <v>1301</v>
      </c>
      <c r="R363" s="50" t="s">
        <v>1302</v>
      </c>
      <c r="S363" s="48"/>
      <c r="T363" s="67" t="s">
        <v>1303</v>
      </c>
      <c r="U363" s="67" t="s">
        <v>1303</v>
      </c>
      <c r="V363" s="48">
        <v>0.0</v>
      </c>
      <c r="W363" s="68">
        <v>0.0</v>
      </c>
      <c r="X363" s="50" t="s">
        <v>1304</v>
      </c>
      <c r="Y363" s="50" t="s">
        <v>1305</v>
      </c>
    </row>
    <row r="364">
      <c r="A364" s="65">
        <f>ROW()-ROW(Table_Actions[N])</f>
        <v>128</v>
      </c>
      <c r="B364" s="54" t="s">
        <v>1469</v>
      </c>
      <c r="C364" s="62" t="b">
        <v>1</v>
      </c>
      <c r="D364" s="63" t="s">
        <v>1310</v>
      </c>
      <c r="E364" s="63" t="s">
        <v>361</v>
      </c>
      <c r="F364" s="63" t="s">
        <v>364</v>
      </c>
      <c r="G364" s="63" t="s">
        <v>732</v>
      </c>
      <c r="H364" s="63" t="s">
        <v>1294</v>
      </c>
      <c r="I364" s="66" t="s">
        <v>1168</v>
      </c>
      <c r="J364" s="63" t="s">
        <v>1295</v>
      </c>
      <c r="K364" s="63" t="s">
        <v>731</v>
      </c>
      <c r="L364" s="63" t="s">
        <v>1296</v>
      </c>
      <c r="M364" s="63" t="s">
        <v>1297</v>
      </c>
      <c r="N364" s="63" t="s">
        <v>1298</v>
      </c>
      <c r="O364" s="63" t="s">
        <v>1299</v>
      </c>
      <c r="P364" s="63" t="s">
        <v>1300</v>
      </c>
      <c r="Q364" s="50" t="s">
        <v>1301</v>
      </c>
      <c r="R364" s="50" t="s">
        <v>1302</v>
      </c>
      <c r="S364" s="48"/>
      <c r="T364" s="67" t="s">
        <v>1303</v>
      </c>
      <c r="U364" s="67" t="s">
        <v>1303</v>
      </c>
      <c r="V364" s="48">
        <v>0.0</v>
      </c>
      <c r="W364" s="68">
        <v>0.0</v>
      </c>
      <c r="X364" s="50" t="s">
        <v>1304</v>
      </c>
      <c r="Y364" s="50" t="s">
        <v>1305</v>
      </c>
    </row>
    <row r="365">
      <c r="A365" s="65">
        <f>ROW()-ROW(Table_Actions[N])</f>
        <v>129</v>
      </c>
      <c r="B365" s="54" t="s">
        <v>867</v>
      </c>
      <c r="C365" s="62" t="b">
        <v>0</v>
      </c>
      <c r="D365" s="63" t="s">
        <v>1350</v>
      </c>
      <c r="E365" s="63" t="s">
        <v>361</v>
      </c>
      <c r="F365" s="63" t="s">
        <v>364</v>
      </c>
      <c r="G365" s="63" t="s">
        <v>732</v>
      </c>
      <c r="H365" s="63" t="s">
        <v>1294</v>
      </c>
      <c r="I365" s="66" t="s">
        <v>730</v>
      </c>
      <c r="J365" s="63" t="s">
        <v>1295</v>
      </c>
      <c r="K365" s="63" t="s">
        <v>731</v>
      </c>
      <c r="L365" s="63" t="s">
        <v>1470</v>
      </c>
      <c r="M365" s="63" t="s">
        <v>1297</v>
      </c>
      <c r="N365" s="63" t="s">
        <v>1298</v>
      </c>
      <c r="O365" s="63" t="s">
        <v>1299</v>
      </c>
      <c r="P365" s="63" t="s">
        <v>1300</v>
      </c>
      <c r="Q365" s="50" t="s">
        <v>1301</v>
      </c>
      <c r="R365" s="50" t="s">
        <v>1302</v>
      </c>
      <c r="S365" s="48"/>
      <c r="T365" s="67" t="s">
        <v>1303</v>
      </c>
      <c r="U365" s="67" t="s">
        <v>1303</v>
      </c>
      <c r="V365" s="48">
        <v>0.0</v>
      </c>
      <c r="W365" s="68">
        <v>0.0</v>
      </c>
      <c r="X365" s="50" t="s">
        <v>1304</v>
      </c>
      <c r="Y365" s="50" t="s">
        <v>1305</v>
      </c>
    </row>
    <row r="366">
      <c r="A366" s="65">
        <f>ROW()-ROW(Table_Actions[N])</f>
        <v>130</v>
      </c>
      <c r="B366" s="54" t="s">
        <v>1166</v>
      </c>
      <c r="C366" s="62" t="b">
        <v>0</v>
      </c>
      <c r="D366" s="63" t="s">
        <v>1318</v>
      </c>
      <c r="E366" s="63" t="s">
        <v>498</v>
      </c>
      <c r="F366" s="69" t="s">
        <v>364</v>
      </c>
      <c r="G366" s="69" t="s">
        <v>732</v>
      </c>
      <c r="H366" s="69" t="s">
        <v>1294</v>
      </c>
      <c r="I366" s="70" t="s">
        <v>730</v>
      </c>
      <c r="J366" s="69" t="s">
        <v>1295</v>
      </c>
      <c r="K366" s="69" t="s">
        <v>731</v>
      </c>
      <c r="L366" s="63" t="s">
        <v>1296</v>
      </c>
      <c r="M366" s="63" t="s">
        <v>1297</v>
      </c>
      <c r="N366" s="63" t="s">
        <v>1298</v>
      </c>
      <c r="O366" s="63" t="s">
        <v>1299</v>
      </c>
      <c r="P366" s="63" t="s">
        <v>1300</v>
      </c>
      <c r="Q366" s="50" t="s">
        <v>1301</v>
      </c>
      <c r="R366" s="50" t="s">
        <v>1302</v>
      </c>
      <c r="S366" s="48"/>
      <c r="T366" s="67" t="s">
        <v>1303</v>
      </c>
      <c r="U366" s="67" t="s">
        <v>1303</v>
      </c>
      <c r="V366" s="48">
        <v>0.0</v>
      </c>
      <c r="W366" s="68">
        <v>0.0</v>
      </c>
      <c r="X366" s="50" t="s">
        <v>1304</v>
      </c>
      <c r="Y366" s="50" t="s">
        <v>1305</v>
      </c>
    </row>
    <row r="367">
      <c r="A367" s="65">
        <f>ROW()-ROW(Table_Actions[N])</f>
        <v>131</v>
      </c>
      <c r="B367" s="54" t="s">
        <v>1471</v>
      </c>
      <c r="C367" s="62" t="b">
        <v>0</v>
      </c>
      <c r="D367" s="63" t="s">
        <v>1318</v>
      </c>
      <c r="E367" s="63" t="s">
        <v>500</v>
      </c>
      <c r="F367" s="69" t="s">
        <v>364</v>
      </c>
      <c r="G367" s="69" t="s">
        <v>732</v>
      </c>
      <c r="H367" s="69" t="s">
        <v>1294</v>
      </c>
      <c r="I367" s="70" t="s">
        <v>730</v>
      </c>
      <c r="J367" s="69" t="s">
        <v>1295</v>
      </c>
      <c r="K367" s="69" t="s">
        <v>731</v>
      </c>
      <c r="L367" s="63" t="s">
        <v>1296</v>
      </c>
      <c r="M367" s="63" t="s">
        <v>1297</v>
      </c>
      <c r="N367" s="63" t="s">
        <v>1298</v>
      </c>
      <c r="O367" s="63" t="s">
        <v>1299</v>
      </c>
      <c r="P367" s="63" t="s">
        <v>1300</v>
      </c>
      <c r="Q367" s="50" t="s">
        <v>1301</v>
      </c>
      <c r="R367" s="50" t="s">
        <v>1302</v>
      </c>
      <c r="S367" s="48"/>
      <c r="T367" s="67" t="s">
        <v>1303</v>
      </c>
      <c r="U367" s="67" t="s">
        <v>1303</v>
      </c>
      <c r="V367" s="48">
        <v>0.0</v>
      </c>
      <c r="W367" s="68">
        <v>0.0</v>
      </c>
      <c r="X367" s="50" t="s">
        <v>1304</v>
      </c>
      <c r="Y367" s="50" t="s">
        <v>1305</v>
      </c>
    </row>
    <row r="368">
      <c r="A368" s="65">
        <f>ROW()-ROW(Table_Actions[N])</f>
        <v>132</v>
      </c>
      <c r="B368" s="54" t="s">
        <v>1472</v>
      </c>
      <c r="C368" s="62" t="b">
        <v>0</v>
      </c>
      <c r="D368" s="63" t="s">
        <v>1322</v>
      </c>
      <c r="E368" s="63" t="s">
        <v>498</v>
      </c>
      <c r="F368" s="63" t="s">
        <v>364</v>
      </c>
      <c r="G368" s="63" t="s">
        <v>732</v>
      </c>
      <c r="H368" s="63" t="s">
        <v>1294</v>
      </c>
      <c r="I368" s="66" t="s">
        <v>730</v>
      </c>
      <c r="J368" s="63" t="s">
        <v>1295</v>
      </c>
      <c r="K368" s="63" t="s">
        <v>731</v>
      </c>
      <c r="L368" s="63" t="s">
        <v>1296</v>
      </c>
      <c r="M368" s="63" t="s">
        <v>1297</v>
      </c>
      <c r="N368" s="63" t="s">
        <v>1298</v>
      </c>
      <c r="O368" s="63" t="s">
        <v>1299</v>
      </c>
      <c r="P368" s="63" t="s">
        <v>1300</v>
      </c>
      <c r="Q368" s="50" t="s">
        <v>1301</v>
      </c>
      <c r="R368" s="50" t="s">
        <v>1302</v>
      </c>
      <c r="S368" s="48"/>
      <c r="T368" s="67" t="s">
        <v>1303</v>
      </c>
      <c r="U368" s="67" t="s">
        <v>1303</v>
      </c>
      <c r="V368" s="48">
        <v>0.0</v>
      </c>
      <c r="W368" s="68">
        <v>0.0</v>
      </c>
      <c r="X368" s="50" t="s">
        <v>1304</v>
      </c>
      <c r="Y368" s="50" t="s">
        <v>1305</v>
      </c>
    </row>
    <row r="369">
      <c r="A369" s="65">
        <f>ROW()-ROW(Table_Actions[N])</f>
        <v>133</v>
      </c>
      <c r="B369" s="54" t="s">
        <v>1473</v>
      </c>
      <c r="C369" s="62" t="b">
        <v>0</v>
      </c>
      <c r="D369" s="63" t="s">
        <v>1318</v>
      </c>
      <c r="E369" s="63" t="s">
        <v>506</v>
      </c>
      <c r="F369" s="69" t="s">
        <v>364</v>
      </c>
      <c r="G369" s="69" t="s">
        <v>732</v>
      </c>
      <c r="H369" s="69" t="s">
        <v>1294</v>
      </c>
      <c r="I369" s="70" t="s">
        <v>730</v>
      </c>
      <c r="J369" s="69" t="s">
        <v>1295</v>
      </c>
      <c r="K369" s="69" t="s">
        <v>731</v>
      </c>
      <c r="L369" s="63" t="s">
        <v>1296</v>
      </c>
      <c r="M369" s="63" t="s">
        <v>1297</v>
      </c>
      <c r="N369" s="63" t="s">
        <v>1298</v>
      </c>
      <c r="O369" s="63" t="s">
        <v>1299</v>
      </c>
      <c r="P369" s="63" t="s">
        <v>1300</v>
      </c>
      <c r="Q369" s="50" t="s">
        <v>1301</v>
      </c>
      <c r="R369" s="50" t="s">
        <v>1302</v>
      </c>
      <c r="S369" s="48"/>
      <c r="T369" s="67" t="s">
        <v>1303</v>
      </c>
      <c r="U369" s="67" t="s">
        <v>1303</v>
      </c>
      <c r="V369" s="48">
        <v>0.0</v>
      </c>
      <c r="W369" s="68">
        <v>0.0</v>
      </c>
      <c r="X369" s="50" t="s">
        <v>1304</v>
      </c>
      <c r="Y369" s="50" t="s">
        <v>1305</v>
      </c>
    </row>
    <row r="370">
      <c r="A370" s="65">
        <f>ROW()-ROW(Table_Actions[N])</f>
        <v>134</v>
      </c>
      <c r="B370" s="54" t="s">
        <v>1171</v>
      </c>
      <c r="C370" s="62" t="b">
        <v>0</v>
      </c>
      <c r="D370" s="63" t="s">
        <v>1372</v>
      </c>
      <c r="E370" s="63" t="s">
        <v>502</v>
      </c>
      <c r="F370" s="63" t="s">
        <v>364</v>
      </c>
      <c r="G370" s="63" t="s">
        <v>732</v>
      </c>
      <c r="H370" s="63" t="s">
        <v>1294</v>
      </c>
      <c r="I370" s="66" t="s">
        <v>730</v>
      </c>
      <c r="J370" s="63" t="s">
        <v>1295</v>
      </c>
      <c r="K370" s="63" t="s">
        <v>731</v>
      </c>
      <c r="L370" s="63" t="s">
        <v>1296</v>
      </c>
      <c r="M370" s="63" t="s">
        <v>1297</v>
      </c>
      <c r="N370" s="63" t="s">
        <v>1298</v>
      </c>
      <c r="O370" s="63" t="s">
        <v>1380</v>
      </c>
      <c r="P370" s="63" t="s">
        <v>1300</v>
      </c>
      <c r="Q370" s="50" t="s">
        <v>1301</v>
      </c>
      <c r="R370" s="50" t="s">
        <v>1302</v>
      </c>
      <c r="S370" s="48"/>
      <c r="T370" s="67" t="s">
        <v>1303</v>
      </c>
      <c r="U370" s="67" t="s">
        <v>1303</v>
      </c>
      <c r="V370" s="48">
        <v>0.0</v>
      </c>
      <c r="W370" s="68">
        <v>0.0</v>
      </c>
      <c r="X370" s="50" t="s">
        <v>1304</v>
      </c>
      <c r="Y370" s="50" t="s">
        <v>1305</v>
      </c>
    </row>
    <row r="371">
      <c r="A371" s="65">
        <f>ROW()-ROW(Table_Actions[N])</f>
        <v>135</v>
      </c>
      <c r="B371" s="54" t="s">
        <v>1173</v>
      </c>
      <c r="C371" s="62" t="b">
        <v>0</v>
      </c>
      <c r="D371" s="63" t="s">
        <v>1372</v>
      </c>
      <c r="E371" s="63" t="s">
        <v>502</v>
      </c>
      <c r="F371" s="63" t="s">
        <v>364</v>
      </c>
      <c r="G371" s="63" t="s">
        <v>732</v>
      </c>
      <c r="H371" s="63" t="s">
        <v>1294</v>
      </c>
      <c r="I371" s="66" t="s">
        <v>730</v>
      </c>
      <c r="J371" s="63" t="s">
        <v>1295</v>
      </c>
      <c r="K371" s="63" t="s">
        <v>731</v>
      </c>
      <c r="L371" s="63" t="s">
        <v>1296</v>
      </c>
      <c r="M371" s="63" t="s">
        <v>1297</v>
      </c>
      <c r="N371" s="63" t="s">
        <v>1298</v>
      </c>
      <c r="O371" s="63" t="s">
        <v>1375</v>
      </c>
      <c r="P371" s="63" t="s">
        <v>1300</v>
      </c>
      <c r="Q371" s="50" t="s">
        <v>1301</v>
      </c>
      <c r="R371" s="50" t="s">
        <v>1302</v>
      </c>
      <c r="S371" s="48"/>
      <c r="T371" s="67" t="s">
        <v>1303</v>
      </c>
      <c r="U371" s="67" t="s">
        <v>1303</v>
      </c>
      <c r="V371" s="48">
        <v>0.0</v>
      </c>
      <c r="W371" s="68">
        <v>0.0</v>
      </c>
      <c r="X371" s="50" t="s">
        <v>1304</v>
      </c>
      <c r="Y371" s="50" t="s">
        <v>1305</v>
      </c>
    </row>
    <row r="372">
      <c r="A372" s="65">
        <f>ROW()-ROW(Table_Actions[N])</f>
        <v>136</v>
      </c>
      <c r="B372" s="54" t="s">
        <v>1474</v>
      </c>
      <c r="C372" s="62" t="b">
        <v>0</v>
      </c>
      <c r="D372" s="63" t="s">
        <v>1293</v>
      </c>
      <c r="E372" s="63" t="s">
        <v>361</v>
      </c>
      <c r="F372" s="63" t="s">
        <v>364</v>
      </c>
      <c r="G372" s="63" t="s">
        <v>732</v>
      </c>
      <c r="H372" s="63" t="s">
        <v>1294</v>
      </c>
      <c r="I372" s="66" t="s">
        <v>730</v>
      </c>
      <c r="J372" s="63" t="s">
        <v>1295</v>
      </c>
      <c r="K372" s="63" t="s">
        <v>731</v>
      </c>
      <c r="L372" s="63" t="s">
        <v>1296</v>
      </c>
      <c r="M372" s="63" t="s">
        <v>1297</v>
      </c>
      <c r="N372" s="63" t="s">
        <v>1298</v>
      </c>
      <c r="O372" s="63" t="s">
        <v>1299</v>
      </c>
      <c r="P372" s="63" t="s">
        <v>1300</v>
      </c>
      <c r="Q372" s="50" t="s">
        <v>1301</v>
      </c>
      <c r="R372" s="50" t="s">
        <v>1302</v>
      </c>
      <c r="S372" s="48"/>
      <c r="T372" s="67" t="s">
        <v>1303</v>
      </c>
      <c r="U372" s="67" t="s">
        <v>1303</v>
      </c>
      <c r="V372" s="48">
        <v>0.0</v>
      </c>
      <c r="W372" s="68">
        <v>0.0</v>
      </c>
      <c r="X372" s="50" t="s">
        <v>1304</v>
      </c>
      <c r="Y372" s="50" t="s">
        <v>1305</v>
      </c>
    </row>
    <row r="373">
      <c r="A373" s="65">
        <f>ROW()-ROW(Table_Actions[N])</f>
        <v>137</v>
      </c>
      <c r="B373" s="54" t="s">
        <v>1475</v>
      </c>
      <c r="C373" s="62" t="b">
        <v>0</v>
      </c>
      <c r="D373" s="63" t="s">
        <v>1318</v>
      </c>
      <c r="E373" s="63" t="s">
        <v>508</v>
      </c>
      <c r="F373" s="63" t="s">
        <v>364</v>
      </c>
      <c r="G373" s="63" t="s">
        <v>732</v>
      </c>
      <c r="H373" s="63" t="s">
        <v>1294</v>
      </c>
      <c r="I373" s="66" t="s">
        <v>730</v>
      </c>
      <c r="J373" s="63" t="s">
        <v>1295</v>
      </c>
      <c r="K373" s="63" t="s">
        <v>731</v>
      </c>
      <c r="L373" s="63" t="s">
        <v>1296</v>
      </c>
      <c r="M373" s="63" t="s">
        <v>1297</v>
      </c>
      <c r="N373" s="63" t="s">
        <v>1298</v>
      </c>
      <c r="O373" s="63" t="s">
        <v>1299</v>
      </c>
      <c r="P373" s="63" t="s">
        <v>1300</v>
      </c>
      <c r="Q373" s="50" t="s">
        <v>1301</v>
      </c>
      <c r="R373" s="50" t="s">
        <v>1302</v>
      </c>
      <c r="S373" s="48"/>
      <c r="T373" s="67" t="s">
        <v>1303</v>
      </c>
      <c r="U373" s="67" t="s">
        <v>1303</v>
      </c>
      <c r="V373" s="48">
        <v>0.0</v>
      </c>
      <c r="W373" s="68">
        <v>0.0</v>
      </c>
      <c r="X373" s="50" t="s">
        <v>1304</v>
      </c>
      <c r="Y373" s="50" t="s">
        <v>1305</v>
      </c>
    </row>
    <row r="374">
      <c r="A374" s="65">
        <f>ROW()-ROW(Table_Actions[N])</f>
        <v>138</v>
      </c>
      <c r="B374" s="54" t="s">
        <v>1476</v>
      </c>
      <c r="C374" s="62" t="b">
        <v>0</v>
      </c>
      <c r="D374" s="63" t="s">
        <v>1310</v>
      </c>
      <c r="E374" s="63" t="s">
        <v>361</v>
      </c>
      <c r="F374" s="63" t="s">
        <v>364</v>
      </c>
      <c r="G374" s="63" t="s">
        <v>732</v>
      </c>
      <c r="H374" s="63" t="s">
        <v>1294</v>
      </c>
      <c r="I374" s="66" t="s">
        <v>1477</v>
      </c>
      <c r="J374" s="63" t="s">
        <v>1295</v>
      </c>
      <c r="K374" s="63" t="s">
        <v>731</v>
      </c>
      <c r="L374" s="63" t="s">
        <v>1296</v>
      </c>
      <c r="M374" s="63" t="s">
        <v>1297</v>
      </c>
      <c r="N374" s="63" t="s">
        <v>1298</v>
      </c>
      <c r="O374" s="63" t="s">
        <v>1299</v>
      </c>
      <c r="P374" s="63" t="s">
        <v>1300</v>
      </c>
      <c r="Q374" s="50" t="s">
        <v>1301</v>
      </c>
      <c r="R374" s="50" t="s">
        <v>1302</v>
      </c>
      <c r="S374" s="48"/>
      <c r="T374" s="67" t="s">
        <v>1303</v>
      </c>
      <c r="U374" s="67" t="s">
        <v>1303</v>
      </c>
      <c r="V374" s="48">
        <v>0.0</v>
      </c>
      <c r="W374" s="68">
        <v>0.0</v>
      </c>
      <c r="X374" s="50" t="s">
        <v>1304</v>
      </c>
      <c r="Y374" s="50" t="s">
        <v>1305</v>
      </c>
    </row>
    <row r="375">
      <c r="A375" s="65">
        <f>ROW()-ROW(Table_Actions[N])</f>
        <v>139</v>
      </c>
      <c r="B375" s="54" t="s">
        <v>1478</v>
      </c>
      <c r="C375" s="62" t="b">
        <v>0</v>
      </c>
      <c r="D375" s="63" t="s">
        <v>1310</v>
      </c>
      <c r="E375" s="63" t="s">
        <v>361</v>
      </c>
      <c r="F375" s="63" t="s">
        <v>364</v>
      </c>
      <c r="G375" s="63" t="s">
        <v>732</v>
      </c>
      <c r="H375" s="63" t="s">
        <v>1294</v>
      </c>
      <c r="I375" s="66" t="s">
        <v>1479</v>
      </c>
      <c r="J375" s="63" t="s">
        <v>1295</v>
      </c>
      <c r="K375" s="63" t="s">
        <v>731</v>
      </c>
      <c r="L375" s="63" t="s">
        <v>1296</v>
      </c>
      <c r="M375" s="63" t="s">
        <v>1297</v>
      </c>
      <c r="N375" s="63" t="s">
        <v>1298</v>
      </c>
      <c r="O375" s="63" t="s">
        <v>1299</v>
      </c>
      <c r="P375" s="63" t="s">
        <v>1300</v>
      </c>
      <c r="Q375" s="50" t="s">
        <v>1301</v>
      </c>
      <c r="R375" s="50" t="s">
        <v>1302</v>
      </c>
      <c r="S375" s="48"/>
      <c r="T375" s="67" t="s">
        <v>1303</v>
      </c>
      <c r="U375" s="67" t="s">
        <v>1303</v>
      </c>
      <c r="V375" s="48">
        <v>0.0</v>
      </c>
      <c r="W375" s="68">
        <v>0.0</v>
      </c>
      <c r="X375" s="50" t="s">
        <v>1304</v>
      </c>
      <c r="Y375" s="50" t="s">
        <v>1305</v>
      </c>
    </row>
    <row r="376">
      <c r="A376" s="65">
        <f>ROW()-ROW(Table_Actions[N])</f>
        <v>140</v>
      </c>
      <c r="B376" s="54" t="s">
        <v>1480</v>
      </c>
      <c r="C376" s="62" t="b">
        <v>0</v>
      </c>
      <c r="D376" s="55" t="s">
        <v>1310</v>
      </c>
      <c r="E376" s="55" t="s">
        <v>361</v>
      </c>
      <c r="F376" s="55" t="s">
        <v>364</v>
      </c>
      <c r="G376" s="55" t="s">
        <v>732</v>
      </c>
      <c r="H376" s="55" t="s">
        <v>1294</v>
      </c>
      <c r="I376" s="66" t="s">
        <v>894</v>
      </c>
      <c r="J376" s="55" t="s">
        <v>1295</v>
      </c>
      <c r="K376" s="55" t="s">
        <v>731</v>
      </c>
      <c r="L376" s="55" t="s">
        <v>1296</v>
      </c>
      <c r="M376" s="63" t="s">
        <v>1297</v>
      </c>
      <c r="N376" s="55" t="s">
        <v>1298</v>
      </c>
      <c r="O376" s="63" t="s">
        <v>1299</v>
      </c>
      <c r="P376" s="55" t="s">
        <v>1300</v>
      </c>
      <c r="Q376" s="50" t="s">
        <v>1301</v>
      </c>
      <c r="R376" s="50" t="s">
        <v>1302</v>
      </c>
      <c r="S376" s="48"/>
      <c r="T376" s="67" t="s">
        <v>1303</v>
      </c>
      <c r="U376" s="67" t="s">
        <v>1303</v>
      </c>
      <c r="V376" s="48">
        <v>0.0</v>
      </c>
      <c r="W376" s="68">
        <v>0.0</v>
      </c>
      <c r="X376" s="50" t="s">
        <v>1304</v>
      </c>
      <c r="Y376" s="50" t="s">
        <v>1305</v>
      </c>
    </row>
    <row r="377">
      <c r="A377" s="65">
        <f>ROW()-ROW(Table_Actions[N])</f>
        <v>141</v>
      </c>
      <c r="B377" s="54" t="s">
        <v>870</v>
      </c>
      <c r="C377" s="62" t="b">
        <v>0</v>
      </c>
      <c r="D377" s="63" t="s">
        <v>1350</v>
      </c>
      <c r="E377" s="63" t="s">
        <v>361</v>
      </c>
      <c r="F377" s="63" t="s">
        <v>364</v>
      </c>
      <c r="G377" s="63" t="s">
        <v>732</v>
      </c>
      <c r="H377" s="63" t="s">
        <v>1294</v>
      </c>
      <c r="I377" s="66" t="s">
        <v>730</v>
      </c>
      <c r="J377" s="63" t="s">
        <v>1295</v>
      </c>
      <c r="K377" s="63" t="s">
        <v>731</v>
      </c>
      <c r="L377" s="63" t="s">
        <v>1481</v>
      </c>
      <c r="M377" s="63" t="s">
        <v>1297</v>
      </c>
      <c r="N377" s="63" t="s">
        <v>1298</v>
      </c>
      <c r="O377" s="63" t="s">
        <v>1299</v>
      </c>
      <c r="P377" s="63" t="s">
        <v>1300</v>
      </c>
      <c r="Q377" s="50" t="s">
        <v>1301</v>
      </c>
      <c r="R377" s="50" t="s">
        <v>1302</v>
      </c>
      <c r="S377" s="48"/>
      <c r="T377" s="67" t="s">
        <v>1303</v>
      </c>
      <c r="U377" s="67" t="s">
        <v>1303</v>
      </c>
      <c r="V377" s="48">
        <v>0.0</v>
      </c>
      <c r="W377" s="68">
        <v>0.0</v>
      </c>
      <c r="X377" s="50" t="s">
        <v>1304</v>
      </c>
      <c r="Y377" s="50" t="s">
        <v>1305</v>
      </c>
    </row>
    <row r="378">
      <c r="A378" s="65">
        <f>ROW()-ROW(Table_Actions[N])</f>
        <v>142</v>
      </c>
      <c r="B378" s="54" t="s">
        <v>872</v>
      </c>
      <c r="C378" s="62" t="b">
        <v>0</v>
      </c>
      <c r="D378" s="63" t="s">
        <v>1350</v>
      </c>
      <c r="E378" s="63" t="s">
        <v>361</v>
      </c>
      <c r="F378" s="63" t="s">
        <v>364</v>
      </c>
      <c r="G378" s="63" t="s">
        <v>732</v>
      </c>
      <c r="H378" s="63" t="s">
        <v>1294</v>
      </c>
      <c r="I378" s="66" t="s">
        <v>730</v>
      </c>
      <c r="J378" s="63" t="s">
        <v>1295</v>
      </c>
      <c r="K378" s="63" t="s">
        <v>731</v>
      </c>
      <c r="L378" s="63" t="s">
        <v>1482</v>
      </c>
      <c r="M378" s="63" t="s">
        <v>1297</v>
      </c>
      <c r="N378" s="63" t="s">
        <v>1298</v>
      </c>
      <c r="O378" s="63" t="s">
        <v>1299</v>
      </c>
      <c r="P378" s="63" t="s">
        <v>1300</v>
      </c>
      <c r="Q378" s="50" t="s">
        <v>1301</v>
      </c>
      <c r="R378" s="50" t="s">
        <v>1302</v>
      </c>
      <c r="S378" s="48"/>
      <c r="T378" s="67" t="s">
        <v>1303</v>
      </c>
      <c r="U378" s="67" t="s">
        <v>1303</v>
      </c>
      <c r="V378" s="48">
        <v>0.0</v>
      </c>
      <c r="W378" s="68">
        <v>0.0</v>
      </c>
      <c r="X378" s="50" t="s">
        <v>1304</v>
      </c>
      <c r="Y378" s="50" t="s">
        <v>1305</v>
      </c>
    </row>
    <row r="379">
      <c r="A379" s="65">
        <f>ROW()-ROW(Table_Actions[N])</f>
        <v>143</v>
      </c>
      <c r="B379" s="54" t="s">
        <v>874</v>
      </c>
      <c r="C379" s="62" t="b">
        <v>0</v>
      </c>
      <c r="D379" s="63" t="s">
        <v>1350</v>
      </c>
      <c r="E379" s="63" t="s">
        <v>361</v>
      </c>
      <c r="F379" s="63" t="s">
        <v>364</v>
      </c>
      <c r="G379" s="63" t="s">
        <v>732</v>
      </c>
      <c r="H379" s="63" t="s">
        <v>1294</v>
      </c>
      <c r="I379" s="66" t="s">
        <v>730</v>
      </c>
      <c r="J379" s="63" t="s">
        <v>1295</v>
      </c>
      <c r="K379" s="63" t="s">
        <v>731</v>
      </c>
      <c r="L379" s="63" t="s">
        <v>1483</v>
      </c>
      <c r="M379" s="63" t="s">
        <v>1297</v>
      </c>
      <c r="N379" s="63" t="s">
        <v>1298</v>
      </c>
      <c r="O379" s="63" t="s">
        <v>1299</v>
      </c>
      <c r="P379" s="63" t="s">
        <v>1300</v>
      </c>
      <c r="Q379" s="50" t="s">
        <v>1301</v>
      </c>
      <c r="R379" s="50" t="s">
        <v>1302</v>
      </c>
      <c r="S379" s="48"/>
      <c r="T379" s="67" t="s">
        <v>1303</v>
      </c>
      <c r="U379" s="67" t="s">
        <v>1303</v>
      </c>
      <c r="V379" s="48">
        <v>0.0</v>
      </c>
      <c r="W379" s="68">
        <v>0.0</v>
      </c>
      <c r="X379" s="50" t="s">
        <v>1304</v>
      </c>
      <c r="Y379" s="50" t="s">
        <v>1305</v>
      </c>
    </row>
    <row r="380">
      <c r="A380" s="65">
        <f>ROW()-ROW(Table_Actions[N])</f>
        <v>144</v>
      </c>
      <c r="B380" s="54" t="s">
        <v>876</v>
      </c>
      <c r="C380" s="62" t="b">
        <v>0</v>
      </c>
      <c r="D380" s="63" t="s">
        <v>1350</v>
      </c>
      <c r="E380" s="63" t="s">
        <v>361</v>
      </c>
      <c r="F380" s="63" t="s">
        <v>364</v>
      </c>
      <c r="G380" s="63" t="s">
        <v>732</v>
      </c>
      <c r="H380" s="63" t="s">
        <v>1294</v>
      </c>
      <c r="I380" s="66" t="s">
        <v>730</v>
      </c>
      <c r="J380" s="63" t="s">
        <v>1295</v>
      </c>
      <c r="K380" s="63" t="s">
        <v>731</v>
      </c>
      <c r="L380" s="63" t="s">
        <v>1353</v>
      </c>
      <c r="M380" s="63" t="s">
        <v>1297</v>
      </c>
      <c r="N380" s="63" t="s">
        <v>1484</v>
      </c>
      <c r="O380" s="63" t="s">
        <v>1299</v>
      </c>
      <c r="P380" s="63" t="s">
        <v>1300</v>
      </c>
      <c r="Q380" s="50" t="s">
        <v>1301</v>
      </c>
      <c r="R380" s="50" t="s">
        <v>1302</v>
      </c>
      <c r="S380" s="48"/>
      <c r="T380" s="67" t="s">
        <v>1303</v>
      </c>
      <c r="U380" s="67" t="s">
        <v>1303</v>
      </c>
      <c r="V380" s="48">
        <v>0.0</v>
      </c>
      <c r="W380" s="68">
        <v>0.0</v>
      </c>
      <c r="X380" s="50" t="s">
        <v>1304</v>
      </c>
      <c r="Y380" s="50" t="s">
        <v>1305</v>
      </c>
    </row>
    <row r="381">
      <c r="A381" s="65">
        <f>ROW()-ROW(Table_Actions[N])</f>
        <v>145</v>
      </c>
      <c r="B381" s="54" t="s">
        <v>878</v>
      </c>
      <c r="C381" s="62" t="b">
        <v>0</v>
      </c>
      <c r="D381" s="63" t="s">
        <v>1350</v>
      </c>
      <c r="E381" s="63" t="s">
        <v>361</v>
      </c>
      <c r="F381" s="63" t="s">
        <v>364</v>
      </c>
      <c r="G381" s="63" t="s">
        <v>732</v>
      </c>
      <c r="H381" s="63" t="s">
        <v>1294</v>
      </c>
      <c r="I381" s="66" t="s">
        <v>730</v>
      </c>
      <c r="J381" s="63" t="s">
        <v>1295</v>
      </c>
      <c r="K381" s="63" t="s">
        <v>731</v>
      </c>
      <c r="L381" s="63" t="s">
        <v>1353</v>
      </c>
      <c r="M381" s="63" t="s">
        <v>1297</v>
      </c>
      <c r="N381" s="63" t="s">
        <v>1485</v>
      </c>
      <c r="O381" s="63" t="s">
        <v>1299</v>
      </c>
      <c r="P381" s="63" t="s">
        <v>1300</v>
      </c>
      <c r="Q381" s="50" t="s">
        <v>1301</v>
      </c>
      <c r="R381" s="50" t="s">
        <v>1302</v>
      </c>
      <c r="S381" s="48"/>
      <c r="T381" s="67" t="s">
        <v>1303</v>
      </c>
      <c r="U381" s="67" t="s">
        <v>1303</v>
      </c>
      <c r="V381" s="48">
        <v>0.0</v>
      </c>
      <c r="W381" s="68">
        <v>0.0</v>
      </c>
      <c r="X381" s="50" t="s">
        <v>1304</v>
      </c>
      <c r="Y381" s="50" t="s">
        <v>1305</v>
      </c>
    </row>
    <row r="382">
      <c r="A382" s="65">
        <f>ROW()-ROW(Table_Actions[N])</f>
        <v>146</v>
      </c>
      <c r="B382" s="54" t="s">
        <v>880</v>
      </c>
      <c r="C382" s="62" t="b">
        <v>0</v>
      </c>
      <c r="D382" s="63" t="s">
        <v>1350</v>
      </c>
      <c r="E382" s="63" t="s">
        <v>361</v>
      </c>
      <c r="F382" s="63" t="s">
        <v>364</v>
      </c>
      <c r="G382" s="63" t="s">
        <v>732</v>
      </c>
      <c r="H382" s="63" t="s">
        <v>1294</v>
      </c>
      <c r="I382" s="66" t="s">
        <v>730</v>
      </c>
      <c r="J382" s="63" t="s">
        <v>1295</v>
      </c>
      <c r="K382" s="63" t="s">
        <v>731</v>
      </c>
      <c r="L382" s="63" t="s">
        <v>1486</v>
      </c>
      <c r="M382" s="63" t="s">
        <v>1297</v>
      </c>
      <c r="N382" s="63" t="s">
        <v>1298</v>
      </c>
      <c r="O382" s="63" t="s">
        <v>1299</v>
      </c>
      <c r="P382" s="63" t="s">
        <v>1300</v>
      </c>
      <c r="Q382" s="50" t="s">
        <v>1301</v>
      </c>
      <c r="R382" s="50" t="s">
        <v>1302</v>
      </c>
      <c r="S382" s="48"/>
      <c r="T382" s="67" t="s">
        <v>1303</v>
      </c>
      <c r="U382" s="67" t="s">
        <v>1303</v>
      </c>
      <c r="V382" s="48">
        <v>0.0</v>
      </c>
      <c r="W382" s="68">
        <v>0.0</v>
      </c>
      <c r="X382" s="50" t="s">
        <v>1304</v>
      </c>
      <c r="Y382" s="50" t="s">
        <v>1305</v>
      </c>
    </row>
    <row r="383">
      <c r="A383" s="65">
        <f>ROW()-ROW(Table_Actions[N])</f>
        <v>147</v>
      </c>
      <c r="B383" s="54" t="s">
        <v>1487</v>
      </c>
      <c r="C383" s="62" t="b">
        <v>0</v>
      </c>
      <c r="D383" s="63" t="s">
        <v>1488</v>
      </c>
      <c r="E383" s="63" t="s">
        <v>361</v>
      </c>
      <c r="F383" s="63" t="s">
        <v>364</v>
      </c>
      <c r="G383" s="63" t="s">
        <v>732</v>
      </c>
      <c r="H383" s="63" t="s">
        <v>1294</v>
      </c>
      <c r="I383" s="66" t="s">
        <v>730</v>
      </c>
      <c r="J383" s="63" t="s">
        <v>1295</v>
      </c>
      <c r="K383" s="63" t="s">
        <v>731</v>
      </c>
      <c r="L383" s="63" t="s">
        <v>1296</v>
      </c>
      <c r="M383" s="63" t="s">
        <v>1297</v>
      </c>
      <c r="N383" s="63" t="s">
        <v>1298</v>
      </c>
      <c r="O383" s="63" t="s">
        <v>1299</v>
      </c>
      <c r="P383" s="63" t="s">
        <v>1300</v>
      </c>
      <c r="Q383" s="50" t="s">
        <v>1301</v>
      </c>
      <c r="R383" s="50" t="s">
        <v>1302</v>
      </c>
      <c r="S383" s="48"/>
      <c r="T383" s="67" t="s">
        <v>1303</v>
      </c>
      <c r="U383" s="67" t="s">
        <v>1303</v>
      </c>
      <c r="V383" s="48">
        <v>0.0</v>
      </c>
      <c r="W383" s="68">
        <v>0.0</v>
      </c>
      <c r="X383" s="50" t="s">
        <v>1304</v>
      </c>
      <c r="Y383" s="50" t="s">
        <v>1489</v>
      </c>
    </row>
    <row r="384">
      <c r="A384" s="65">
        <f>ROW()-ROW(Table_Actions[N])</f>
        <v>148</v>
      </c>
      <c r="B384" s="54" t="s">
        <v>1490</v>
      </c>
      <c r="C384" s="62" t="b">
        <v>0</v>
      </c>
      <c r="D384" s="55" t="s">
        <v>1310</v>
      </c>
      <c r="E384" s="55" t="s">
        <v>361</v>
      </c>
      <c r="F384" s="55" t="s">
        <v>364</v>
      </c>
      <c r="G384" s="55" t="s">
        <v>732</v>
      </c>
      <c r="H384" s="55" t="s">
        <v>1294</v>
      </c>
      <c r="I384" s="66" t="s">
        <v>1491</v>
      </c>
      <c r="J384" s="55" t="s">
        <v>1295</v>
      </c>
      <c r="K384" s="55" t="s">
        <v>731</v>
      </c>
      <c r="L384" s="55" t="s">
        <v>1296</v>
      </c>
      <c r="M384" s="63" t="s">
        <v>1297</v>
      </c>
      <c r="N384" s="55" t="s">
        <v>1298</v>
      </c>
      <c r="O384" s="63" t="s">
        <v>1299</v>
      </c>
      <c r="P384" s="55" t="s">
        <v>1300</v>
      </c>
      <c r="Q384" s="50" t="s">
        <v>1301</v>
      </c>
      <c r="R384" s="50" t="s">
        <v>1302</v>
      </c>
      <c r="S384" s="48"/>
      <c r="T384" s="67" t="s">
        <v>1303</v>
      </c>
      <c r="U384" s="67" t="s">
        <v>1303</v>
      </c>
      <c r="V384" s="48">
        <v>0.0</v>
      </c>
      <c r="W384" s="68">
        <v>0.0</v>
      </c>
      <c r="X384" s="50" t="s">
        <v>1304</v>
      </c>
      <c r="Y384" s="50" t="s">
        <v>1305</v>
      </c>
    </row>
    <row r="385">
      <c r="A385" s="65">
        <f>ROW()-ROW(Table_Actions[N])</f>
        <v>149</v>
      </c>
      <c r="B385" s="54" t="s">
        <v>882</v>
      </c>
      <c r="C385" s="62" t="b">
        <v>0</v>
      </c>
      <c r="D385" s="63" t="s">
        <v>1350</v>
      </c>
      <c r="E385" s="63" t="s">
        <v>361</v>
      </c>
      <c r="F385" s="63" t="s">
        <v>364</v>
      </c>
      <c r="G385" s="63" t="s">
        <v>732</v>
      </c>
      <c r="H385" s="63" t="s">
        <v>1294</v>
      </c>
      <c r="I385" s="66" t="s">
        <v>730</v>
      </c>
      <c r="J385" s="63" t="s">
        <v>1295</v>
      </c>
      <c r="K385" s="63" t="s">
        <v>731</v>
      </c>
      <c r="L385" s="63" t="s">
        <v>1492</v>
      </c>
      <c r="M385" s="63" t="s">
        <v>1297</v>
      </c>
      <c r="N385" s="63" t="s">
        <v>1298</v>
      </c>
      <c r="O385" s="63" t="s">
        <v>1299</v>
      </c>
      <c r="P385" s="63" t="s">
        <v>1300</v>
      </c>
      <c r="Q385" s="50" t="s">
        <v>1301</v>
      </c>
      <c r="R385" s="50" t="s">
        <v>1302</v>
      </c>
      <c r="S385" s="48"/>
      <c r="T385" s="67" t="s">
        <v>1303</v>
      </c>
      <c r="U385" s="67" t="s">
        <v>1303</v>
      </c>
      <c r="V385" s="48">
        <v>0.0</v>
      </c>
      <c r="W385" s="68">
        <v>0.0</v>
      </c>
      <c r="X385" s="50" t="s">
        <v>1304</v>
      </c>
      <c r="Y385" s="50" t="s">
        <v>1305</v>
      </c>
    </row>
    <row r="386">
      <c r="A386" s="65">
        <f>ROW()-ROW(Table_Actions[N])</f>
        <v>150</v>
      </c>
      <c r="B386" s="54" t="s">
        <v>1493</v>
      </c>
      <c r="C386" s="62" t="b">
        <v>0</v>
      </c>
      <c r="D386" s="63" t="s">
        <v>1372</v>
      </c>
      <c r="E386" s="63" t="s">
        <v>525</v>
      </c>
      <c r="F386" s="63" t="s">
        <v>364</v>
      </c>
      <c r="G386" s="63" t="s">
        <v>732</v>
      </c>
      <c r="H386" s="63" t="s">
        <v>1294</v>
      </c>
      <c r="I386" s="66" t="s">
        <v>730</v>
      </c>
      <c r="J386" s="63" t="s">
        <v>1295</v>
      </c>
      <c r="K386" s="63" t="s">
        <v>731</v>
      </c>
      <c r="L386" s="63" t="s">
        <v>1296</v>
      </c>
      <c r="M386" s="63" t="s">
        <v>1297</v>
      </c>
      <c r="N386" s="63" t="s">
        <v>1298</v>
      </c>
      <c r="O386" s="63" t="s">
        <v>1375</v>
      </c>
      <c r="P386" s="63" t="s">
        <v>1300</v>
      </c>
      <c r="Q386" s="50" t="s">
        <v>1301</v>
      </c>
      <c r="R386" s="50" t="s">
        <v>1302</v>
      </c>
      <c r="S386" s="48"/>
      <c r="T386" s="67" t="s">
        <v>1303</v>
      </c>
      <c r="U386" s="67" t="s">
        <v>1303</v>
      </c>
      <c r="V386" s="48">
        <v>0.0</v>
      </c>
      <c r="W386" s="68">
        <v>0.0</v>
      </c>
      <c r="X386" s="50" t="s">
        <v>1304</v>
      </c>
      <c r="Y386" s="50" t="s">
        <v>1305</v>
      </c>
    </row>
    <row r="387">
      <c r="A387" s="65">
        <f>ROW()-ROW(Table_Actions[N])</f>
        <v>151</v>
      </c>
      <c r="B387" s="54" t="s">
        <v>1494</v>
      </c>
      <c r="C387" s="62" t="b">
        <v>1</v>
      </c>
      <c r="D387" s="63" t="s">
        <v>1372</v>
      </c>
      <c r="E387" s="63" t="s">
        <v>525</v>
      </c>
      <c r="F387" s="63" t="s">
        <v>364</v>
      </c>
      <c r="G387" s="63" t="s">
        <v>732</v>
      </c>
      <c r="H387" s="63" t="s">
        <v>1294</v>
      </c>
      <c r="I387" s="66" t="s">
        <v>730</v>
      </c>
      <c r="J387" s="63" t="s">
        <v>1295</v>
      </c>
      <c r="K387" s="63" t="s">
        <v>731</v>
      </c>
      <c r="L387" s="63" t="s">
        <v>1296</v>
      </c>
      <c r="M387" s="63" t="s">
        <v>1297</v>
      </c>
      <c r="N387" s="63" t="s">
        <v>1298</v>
      </c>
      <c r="O387" s="63" t="s">
        <v>1495</v>
      </c>
      <c r="P387" s="63" t="s">
        <v>1300</v>
      </c>
      <c r="Q387" s="50" t="s">
        <v>1301</v>
      </c>
      <c r="R387" s="50" t="s">
        <v>1302</v>
      </c>
      <c r="S387" s="48"/>
      <c r="T387" s="67" t="s">
        <v>1303</v>
      </c>
      <c r="U387" s="67" t="s">
        <v>1303</v>
      </c>
      <c r="V387" s="48">
        <v>0.0</v>
      </c>
      <c r="W387" s="68">
        <v>0.0</v>
      </c>
      <c r="X387" s="50" t="s">
        <v>1304</v>
      </c>
      <c r="Y387" s="50" t="s">
        <v>1305</v>
      </c>
    </row>
    <row r="388">
      <c r="A388" s="65">
        <f>ROW()-ROW(Table_Actions[N])</f>
        <v>152</v>
      </c>
      <c r="B388" s="54" t="s">
        <v>1496</v>
      </c>
      <c r="C388" s="62" t="b">
        <v>0</v>
      </c>
      <c r="D388" s="63" t="s">
        <v>1350</v>
      </c>
      <c r="E388" s="63" t="s">
        <v>361</v>
      </c>
      <c r="F388" s="63" t="s">
        <v>364</v>
      </c>
      <c r="G388" s="63" t="s">
        <v>732</v>
      </c>
      <c r="H388" s="63" t="s">
        <v>1294</v>
      </c>
      <c r="I388" s="66" t="s">
        <v>730</v>
      </c>
      <c r="J388" s="63" t="s">
        <v>1295</v>
      </c>
      <c r="K388" s="63" t="s">
        <v>731</v>
      </c>
      <c r="L388" s="63" t="s">
        <v>1497</v>
      </c>
      <c r="M388" s="63" t="s">
        <v>1297</v>
      </c>
      <c r="N388" s="63" t="s">
        <v>1298</v>
      </c>
      <c r="O388" s="63" t="s">
        <v>1299</v>
      </c>
      <c r="P388" s="63" t="s">
        <v>1300</v>
      </c>
      <c r="Q388" s="50" t="s">
        <v>1301</v>
      </c>
      <c r="R388" s="50" t="s">
        <v>1302</v>
      </c>
      <c r="S388" s="48"/>
      <c r="T388" s="67" t="s">
        <v>1303</v>
      </c>
      <c r="U388" s="67" t="s">
        <v>1303</v>
      </c>
      <c r="V388" s="48">
        <v>0.0</v>
      </c>
      <c r="W388" s="68">
        <v>0.0</v>
      </c>
      <c r="X388" s="50" t="s">
        <v>1304</v>
      </c>
      <c r="Y388" s="50" t="s">
        <v>1305</v>
      </c>
    </row>
    <row r="389">
      <c r="A389" s="65">
        <f>ROW()-ROW(Table_Actions[N])</f>
        <v>153</v>
      </c>
      <c r="B389" s="54" t="s">
        <v>1498</v>
      </c>
      <c r="C389" s="62" t="b">
        <v>0</v>
      </c>
      <c r="D389" s="63" t="s">
        <v>1372</v>
      </c>
      <c r="E389" s="63" t="s">
        <v>525</v>
      </c>
      <c r="F389" s="63" t="s">
        <v>364</v>
      </c>
      <c r="G389" s="63" t="s">
        <v>732</v>
      </c>
      <c r="H389" s="63" t="s">
        <v>1294</v>
      </c>
      <c r="I389" s="66" t="s">
        <v>730</v>
      </c>
      <c r="J389" s="63" t="s">
        <v>1295</v>
      </c>
      <c r="K389" s="63" t="s">
        <v>731</v>
      </c>
      <c r="L389" s="63" t="s">
        <v>1296</v>
      </c>
      <c r="M389" s="63" t="s">
        <v>1297</v>
      </c>
      <c r="N389" s="63" t="s">
        <v>1298</v>
      </c>
      <c r="O389" s="63" t="s">
        <v>1380</v>
      </c>
      <c r="P389" s="63" t="s">
        <v>1300</v>
      </c>
      <c r="Q389" s="50" t="s">
        <v>1301</v>
      </c>
      <c r="R389" s="50" t="s">
        <v>1302</v>
      </c>
      <c r="S389" s="48"/>
      <c r="T389" s="67" t="s">
        <v>1303</v>
      </c>
      <c r="U389" s="67" t="s">
        <v>1303</v>
      </c>
      <c r="V389" s="48">
        <v>0.0</v>
      </c>
      <c r="W389" s="68">
        <v>0.0</v>
      </c>
      <c r="X389" s="50" t="s">
        <v>1304</v>
      </c>
      <c r="Y389" s="50" t="s">
        <v>1305</v>
      </c>
    </row>
    <row r="390">
      <c r="A390" s="65">
        <f>ROW()-ROW(Table_Actions[N])</f>
        <v>154</v>
      </c>
      <c r="B390" s="54" t="s">
        <v>1499</v>
      </c>
      <c r="C390" s="62" t="b">
        <v>0</v>
      </c>
      <c r="D390" s="63" t="s">
        <v>1372</v>
      </c>
      <c r="E390" s="63" t="s">
        <v>525</v>
      </c>
      <c r="F390" s="63" t="s">
        <v>364</v>
      </c>
      <c r="G390" s="63" t="s">
        <v>732</v>
      </c>
      <c r="H390" s="63" t="s">
        <v>1294</v>
      </c>
      <c r="I390" s="66" t="s">
        <v>730</v>
      </c>
      <c r="J390" s="63" t="s">
        <v>1295</v>
      </c>
      <c r="K390" s="63" t="s">
        <v>731</v>
      </c>
      <c r="L390" s="63" t="s">
        <v>1296</v>
      </c>
      <c r="M390" s="63" t="s">
        <v>1297</v>
      </c>
      <c r="N390" s="63" t="s">
        <v>1298</v>
      </c>
      <c r="O390" s="63" t="s">
        <v>1500</v>
      </c>
      <c r="P390" s="63" t="s">
        <v>1300</v>
      </c>
      <c r="Q390" s="50" t="s">
        <v>1301</v>
      </c>
      <c r="R390" s="50" t="s">
        <v>1302</v>
      </c>
      <c r="S390" s="48"/>
      <c r="T390" s="67" t="s">
        <v>1303</v>
      </c>
      <c r="U390" s="67" t="s">
        <v>1303</v>
      </c>
      <c r="V390" s="48">
        <v>0.0</v>
      </c>
      <c r="W390" s="68">
        <v>0.0</v>
      </c>
      <c r="X390" s="50" t="s">
        <v>1304</v>
      </c>
      <c r="Y390" s="50" t="s">
        <v>1305</v>
      </c>
    </row>
    <row r="391">
      <c r="A391" s="65">
        <f>ROW()-ROW(Table_Actions[N])</f>
        <v>155</v>
      </c>
      <c r="B391" s="54" t="s">
        <v>1501</v>
      </c>
      <c r="C391" s="62" t="b">
        <v>0</v>
      </c>
      <c r="D391" s="55" t="s">
        <v>1310</v>
      </c>
      <c r="E391" s="55" t="s">
        <v>361</v>
      </c>
      <c r="F391" s="55" t="s">
        <v>364</v>
      </c>
      <c r="G391" s="55" t="s">
        <v>732</v>
      </c>
      <c r="H391" s="55" t="s">
        <v>1294</v>
      </c>
      <c r="I391" s="66" t="s">
        <v>1502</v>
      </c>
      <c r="J391" s="55" t="s">
        <v>1295</v>
      </c>
      <c r="K391" s="55" t="s">
        <v>731</v>
      </c>
      <c r="L391" s="55" t="s">
        <v>1296</v>
      </c>
      <c r="M391" s="63" t="s">
        <v>1297</v>
      </c>
      <c r="N391" s="55" t="s">
        <v>1298</v>
      </c>
      <c r="O391" s="63" t="s">
        <v>1299</v>
      </c>
      <c r="P391" s="55" t="s">
        <v>1300</v>
      </c>
      <c r="Q391" s="50" t="s">
        <v>1301</v>
      </c>
      <c r="R391" s="50" t="s">
        <v>1302</v>
      </c>
      <c r="S391" s="48"/>
      <c r="T391" s="67" t="s">
        <v>1303</v>
      </c>
      <c r="U391" s="67" t="s">
        <v>1303</v>
      </c>
      <c r="V391" s="48">
        <v>0.0</v>
      </c>
      <c r="W391" s="68">
        <v>0.0</v>
      </c>
      <c r="X391" s="50" t="s">
        <v>1304</v>
      </c>
      <c r="Y391" s="50" t="s">
        <v>1305</v>
      </c>
    </row>
    <row r="392">
      <c r="A392" s="65">
        <f>ROW()-ROW(Table_Actions[N])</f>
        <v>156</v>
      </c>
      <c r="B392" s="54" t="s">
        <v>1503</v>
      </c>
      <c r="C392" s="62" t="b">
        <v>0</v>
      </c>
      <c r="D392" s="63" t="s">
        <v>1504</v>
      </c>
      <c r="E392" s="63" t="s">
        <v>479</v>
      </c>
      <c r="F392" s="55" t="s">
        <v>364</v>
      </c>
      <c r="G392" s="63" t="s">
        <v>732</v>
      </c>
      <c r="H392" s="55" t="s">
        <v>1294</v>
      </c>
      <c r="I392" s="66" t="s">
        <v>730</v>
      </c>
      <c r="J392" s="55" t="s">
        <v>1295</v>
      </c>
      <c r="K392" s="55" t="s">
        <v>731</v>
      </c>
      <c r="L392" s="55" t="s">
        <v>1296</v>
      </c>
      <c r="M392" s="63" t="s">
        <v>1297</v>
      </c>
      <c r="N392" s="55" t="s">
        <v>1298</v>
      </c>
      <c r="O392" s="63" t="s">
        <v>1299</v>
      </c>
      <c r="P392" s="55" t="s">
        <v>1300</v>
      </c>
      <c r="Q392" s="50" t="s">
        <v>1301</v>
      </c>
      <c r="R392" s="50" t="s">
        <v>1302</v>
      </c>
      <c r="S392" s="48"/>
      <c r="T392" s="67" t="s">
        <v>1303</v>
      </c>
      <c r="U392" s="67" t="s">
        <v>1303</v>
      </c>
      <c r="V392" s="48">
        <v>0.0</v>
      </c>
      <c r="W392" s="68">
        <v>0.0</v>
      </c>
      <c r="X392" s="50" t="s">
        <v>1304</v>
      </c>
      <c r="Y392" s="50" t="s">
        <v>1305</v>
      </c>
    </row>
    <row r="393">
      <c r="A393" s="65">
        <f>ROW()-ROW(Table_Actions[N])</f>
        <v>157</v>
      </c>
      <c r="B393" s="54" t="s">
        <v>1505</v>
      </c>
      <c r="C393" s="62" t="b">
        <v>0</v>
      </c>
      <c r="D393" s="63" t="s">
        <v>1326</v>
      </c>
      <c r="E393" s="63" t="s">
        <v>529</v>
      </c>
      <c r="F393" s="63" t="s">
        <v>364</v>
      </c>
      <c r="G393" s="63" t="s">
        <v>13</v>
      </c>
      <c r="H393" s="63" t="s">
        <v>1294</v>
      </c>
      <c r="I393" s="66" t="s">
        <v>730</v>
      </c>
      <c r="J393" s="63" t="s">
        <v>1295</v>
      </c>
      <c r="K393" s="63" t="s">
        <v>731</v>
      </c>
      <c r="L393" s="63" t="s">
        <v>1296</v>
      </c>
      <c r="M393" s="63" t="s">
        <v>1297</v>
      </c>
      <c r="N393" s="63" t="s">
        <v>1298</v>
      </c>
      <c r="O393" s="63" t="s">
        <v>1299</v>
      </c>
      <c r="P393" s="63" t="s">
        <v>1300</v>
      </c>
      <c r="Q393" s="50" t="s">
        <v>1301</v>
      </c>
      <c r="R393" s="50" t="s">
        <v>1302</v>
      </c>
      <c r="S393" s="48"/>
      <c r="T393" s="67" t="s">
        <v>1303</v>
      </c>
      <c r="U393" s="67" t="s">
        <v>1303</v>
      </c>
      <c r="V393" s="48">
        <v>0.0</v>
      </c>
      <c r="W393" s="68">
        <v>0.0</v>
      </c>
      <c r="X393" s="50" t="s">
        <v>1304</v>
      </c>
      <c r="Y393" s="50" t="s">
        <v>1305</v>
      </c>
    </row>
    <row r="394">
      <c r="A394" s="65">
        <f>ROW()-ROW(Table_Actions[N])</f>
        <v>158</v>
      </c>
      <c r="B394" s="54" t="s">
        <v>1506</v>
      </c>
      <c r="C394" s="62" t="b">
        <v>0</v>
      </c>
      <c r="D394" s="63" t="s">
        <v>1310</v>
      </c>
      <c r="E394" s="55" t="s">
        <v>361</v>
      </c>
      <c r="F394" s="55" t="s">
        <v>364</v>
      </c>
      <c r="G394" s="55" t="s">
        <v>732</v>
      </c>
      <c r="H394" s="55" t="s">
        <v>1294</v>
      </c>
      <c r="I394" s="66" t="s">
        <v>1479</v>
      </c>
      <c r="J394" s="55" t="s">
        <v>1295</v>
      </c>
      <c r="K394" s="55" t="s">
        <v>731</v>
      </c>
      <c r="L394" s="55" t="s">
        <v>1296</v>
      </c>
      <c r="M394" s="63" t="s">
        <v>1297</v>
      </c>
      <c r="N394" s="55" t="s">
        <v>1298</v>
      </c>
      <c r="O394" s="63" t="s">
        <v>1299</v>
      </c>
      <c r="P394" s="55" t="s">
        <v>1300</v>
      </c>
      <c r="Q394" s="50" t="s">
        <v>1301</v>
      </c>
      <c r="R394" s="50" t="s">
        <v>1302</v>
      </c>
      <c r="S394" s="48"/>
      <c r="T394" s="67" t="s">
        <v>1303</v>
      </c>
      <c r="U394" s="67" t="s">
        <v>1303</v>
      </c>
      <c r="V394" s="48">
        <v>0.0</v>
      </c>
      <c r="W394" s="68">
        <v>0.0</v>
      </c>
      <c r="X394" s="50" t="s">
        <v>1304</v>
      </c>
      <c r="Y394" s="50" t="s">
        <v>1305</v>
      </c>
    </row>
    <row r="395">
      <c r="A395" s="65">
        <f>ROW()-ROW(Table_Actions[N])</f>
        <v>159</v>
      </c>
      <c r="B395" s="54" t="s">
        <v>887</v>
      </c>
      <c r="C395" s="62" t="b">
        <v>0</v>
      </c>
      <c r="D395" s="71" t="s">
        <v>1350</v>
      </c>
      <c r="E395" s="63" t="s">
        <v>361</v>
      </c>
      <c r="F395" s="63" t="s">
        <v>364</v>
      </c>
      <c r="G395" s="63" t="s">
        <v>732</v>
      </c>
      <c r="H395" s="63" t="s">
        <v>1294</v>
      </c>
      <c r="I395" s="66" t="s">
        <v>730</v>
      </c>
      <c r="J395" s="63" t="s">
        <v>1295</v>
      </c>
      <c r="K395" s="63" t="s">
        <v>731</v>
      </c>
      <c r="L395" s="63" t="s">
        <v>1353</v>
      </c>
      <c r="M395" s="63" t="s">
        <v>1297</v>
      </c>
      <c r="N395" s="63" t="s">
        <v>1507</v>
      </c>
      <c r="O395" s="63" t="s">
        <v>1299</v>
      </c>
      <c r="P395" s="63" t="s">
        <v>1300</v>
      </c>
      <c r="Q395" s="50" t="s">
        <v>1301</v>
      </c>
      <c r="R395" s="50" t="s">
        <v>1302</v>
      </c>
      <c r="S395" s="48"/>
      <c r="T395" s="67" t="s">
        <v>1303</v>
      </c>
      <c r="U395" s="67" t="s">
        <v>1303</v>
      </c>
      <c r="V395" s="48">
        <v>0.0</v>
      </c>
      <c r="W395" s="68">
        <v>0.0</v>
      </c>
      <c r="X395" s="50" t="s">
        <v>1304</v>
      </c>
      <c r="Y395" s="50" t="s">
        <v>1305</v>
      </c>
    </row>
    <row r="396">
      <c r="A396" s="65">
        <f>ROW()-ROW(Table_Actions[N])</f>
        <v>160</v>
      </c>
      <c r="B396" s="54" t="s">
        <v>1508</v>
      </c>
      <c r="C396" s="62" t="b">
        <v>0</v>
      </c>
      <c r="D396" s="71" t="s">
        <v>1350</v>
      </c>
      <c r="E396" s="63" t="s">
        <v>361</v>
      </c>
      <c r="F396" s="63" t="s">
        <v>364</v>
      </c>
      <c r="G396" s="63" t="s">
        <v>732</v>
      </c>
      <c r="H396" s="63" t="s">
        <v>1294</v>
      </c>
      <c r="I396" s="66" t="s">
        <v>730</v>
      </c>
      <c r="J396" s="63" t="s">
        <v>1295</v>
      </c>
      <c r="K396" s="63" t="s">
        <v>731</v>
      </c>
      <c r="L396" s="63" t="s">
        <v>1353</v>
      </c>
      <c r="M396" s="63" t="s">
        <v>1297</v>
      </c>
      <c r="N396" s="63" t="s">
        <v>1509</v>
      </c>
      <c r="O396" s="63" t="s">
        <v>1299</v>
      </c>
      <c r="P396" s="63" t="s">
        <v>1300</v>
      </c>
      <c r="Q396" s="50" t="s">
        <v>1301</v>
      </c>
      <c r="R396" s="50" t="s">
        <v>1302</v>
      </c>
      <c r="S396" s="48"/>
      <c r="T396" s="67" t="s">
        <v>1303</v>
      </c>
      <c r="U396" s="67" t="s">
        <v>1303</v>
      </c>
      <c r="V396" s="48">
        <v>0.0</v>
      </c>
      <c r="W396" s="68">
        <v>0.0</v>
      </c>
      <c r="X396" s="50" t="s">
        <v>1304</v>
      </c>
      <c r="Y396" s="50" t="s">
        <v>1305</v>
      </c>
    </row>
    <row r="397">
      <c r="A397" s="65">
        <f>ROW()-ROW(Table_Actions[N])</f>
        <v>161</v>
      </c>
      <c r="B397" s="54" t="s">
        <v>1510</v>
      </c>
      <c r="C397" s="72" t="b">
        <v>0</v>
      </c>
      <c r="D397" s="55" t="s">
        <v>1504</v>
      </c>
      <c r="E397" s="63" t="s">
        <v>529</v>
      </c>
      <c r="F397" s="55" t="s">
        <v>364</v>
      </c>
      <c r="G397" s="55" t="s">
        <v>732</v>
      </c>
      <c r="H397" s="55" t="s">
        <v>1294</v>
      </c>
      <c r="I397" s="70" t="s">
        <v>730</v>
      </c>
      <c r="J397" s="55" t="s">
        <v>1295</v>
      </c>
      <c r="K397" s="55" t="s">
        <v>731</v>
      </c>
      <c r="L397" s="55" t="s">
        <v>1296</v>
      </c>
      <c r="M397" s="63" t="s">
        <v>1297</v>
      </c>
      <c r="N397" s="55" t="s">
        <v>1298</v>
      </c>
      <c r="O397" s="55" t="s">
        <v>1299</v>
      </c>
      <c r="P397" s="55" t="s">
        <v>1300</v>
      </c>
      <c r="Q397" s="50" t="s">
        <v>1301</v>
      </c>
      <c r="R397" s="50" t="s">
        <v>1302</v>
      </c>
      <c r="S397" s="70"/>
      <c r="T397" s="67" t="s">
        <v>1303</v>
      </c>
      <c r="U397" s="67" t="s">
        <v>1303</v>
      </c>
      <c r="V397" s="48">
        <v>0.0</v>
      </c>
      <c r="W397" s="68">
        <v>0.0</v>
      </c>
      <c r="X397" s="50" t="s">
        <v>1304</v>
      </c>
      <c r="Y397" s="55" t="s">
        <v>1305</v>
      </c>
    </row>
    <row r="398">
      <c r="A398" s="65">
        <f>ROW()-ROW(Table_Actions[N])</f>
        <v>162</v>
      </c>
      <c r="B398" s="54" t="s">
        <v>1511</v>
      </c>
      <c r="C398" s="62" t="b">
        <v>0</v>
      </c>
      <c r="D398" s="63" t="s">
        <v>1350</v>
      </c>
      <c r="E398" s="63" t="s">
        <v>361</v>
      </c>
      <c r="F398" s="63" t="s">
        <v>364</v>
      </c>
      <c r="G398" s="63" t="s">
        <v>732</v>
      </c>
      <c r="H398" s="63" t="s">
        <v>1294</v>
      </c>
      <c r="I398" s="66" t="s">
        <v>730</v>
      </c>
      <c r="J398" s="63" t="s">
        <v>1295</v>
      </c>
      <c r="K398" s="63" t="s">
        <v>731</v>
      </c>
      <c r="L398" s="63" t="s">
        <v>1512</v>
      </c>
      <c r="M398" s="63" t="s">
        <v>1297</v>
      </c>
      <c r="N398" s="63" t="s">
        <v>1298</v>
      </c>
      <c r="O398" s="63" t="s">
        <v>1299</v>
      </c>
      <c r="P398" s="63" t="s">
        <v>1300</v>
      </c>
      <c r="Q398" s="50" t="s">
        <v>1301</v>
      </c>
      <c r="R398" s="50" t="s">
        <v>1302</v>
      </c>
      <c r="S398" s="54"/>
      <c r="T398" s="67" t="s">
        <v>1303</v>
      </c>
      <c r="U398" s="67" t="s">
        <v>1303</v>
      </c>
      <c r="V398" s="48">
        <v>0.0</v>
      </c>
      <c r="W398" s="68">
        <v>0.0</v>
      </c>
      <c r="X398" s="50" t="s">
        <v>1304</v>
      </c>
      <c r="Y398" s="63" t="s">
        <v>1305</v>
      </c>
    </row>
    <row r="399">
      <c r="A399" s="65">
        <f>ROW()-ROW(Table_Actions[N])</f>
        <v>163</v>
      </c>
      <c r="B399" s="54" t="s">
        <v>895</v>
      </c>
      <c r="C399" s="62" t="b">
        <v>0</v>
      </c>
      <c r="D399" s="63" t="s">
        <v>1350</v>
      </c>
      <c r="E399" s="63" t="s">
        <v>361</v>
      </c>
      <c r="F399" s="63" t="s">
        <v>364</v>
      </c>
      <c r="G399" s="63" t="s">
        <v>732</v>
      </c>
      <c r="H399" s="63" t="s">
        <v>1294</v>
      </c>
      <c r="I399" s="66" t="s">
        <v>730</v>
      </c>
      <c r="J399" s="63" t="s">
        <v>1295</v>
      </c>
      <c r="K399" s="63" t="s">
        <v>731</v>
      </c>
      <c r="L399" s="63" t="s">
        <v>1513</v>
      </c>
      <c r="M399" s="63" t="s">
        <v>1297</v>
      </c>
      <c r="N399" s="63" t="s">
        <v>1298</v>
      </c>
      <c r="O399" s="63" t="s">
        <v>1299</v>
      </c>
      <c r="P399" s="63" t="s">
        <v>1300</v>
      </c>
      <c r="Q399" s="50" t="s">
        <v>1301</v>
      </c>
      <c r="R399" s="50" t="s">
        <v>1302</v>
      </c>
      <c r="S399" s="54"/>
      <c r="T399" s="67" t="s">
        <v>1303</v>
      </c>
      <c r="U399" s="67" t="s">
        <v>1303</v>
      </c>
      <c r="V399" s="48">
        <v>0.0</v>
      </c>
      <c r="W399" s="68">
        <v>0.0</v>
      </c>
      <c r="X399" s="50" t="s">
        <v>1304</v>
      </c>
      <c r="Y399" s="63" t="s">
        <v>1305</v>
      </c>
    </row>
    <row r="400">
      <c r="A400" s="65">
        <f>ROW()-ROW(Table_Actions[N])</f>
        <v>164</v>
      </c>
      <c r="B400" s="54" t="s">
        <v>1514</v>
      </c>
      <c r="C400" s="62" t="b">
        <v>1</v>
      </c>
      <c r="D400" s="63" t="s">
        <v>1372</v>
      </c>
      <c r="E400" s="63" t="s">
        <v>511</v>
      </c>
      <c r="F400" s="63" t="s">
        <v>364</v>
      </c>
      <c r="G400" s="63" t="s">
        <v>732</v>
      </c>
      <c r="H400" s="63" t="s">
        <v>1294</v>
      </c>
      <c r="I400" s="66" t="s">
        <v>730</v>
      </c>
      <c r="J400" s="63" t="s">
        <v>1295</v>
      </c>
      <c r="K400" s="63" t="s">
        <v>731</v>
      </c>
      <c r="L400" s="63" t="s">
        <v>1296</v>
      </c>
      <c r="M400" s="63" t="s">
        <v>1297</v>
      </c>
      <c r="N400" s="63" t="s">
        <v>1298</v>
      </c>
      <c r="O400" s="63" t="s">
        <v>1495</v>
      </c>
      <c r="P400" s="63" t="s">
        <v>1300</v>
      </c>
      <c r="Q400" s="50" t="s">
        <v>1301</v>
      </c>
      <c r="R400" s="50" t="s">
        <v>1302</v>
      </c>
      <c r="S400" s="48"/>
      <c r="T400" s="67" t="s">
        <v>1303</v>
      </c>
      <c r="U400" s="67" t="s">
        <v>1303</v>
      </c>
      <c r="V400" s="48">
        <v>0.0</v>
      </c>
      <c r="W400" s="68">
        <v>0.0</v>
      </c>
      <c r="X400" s="50" t="s">
        <v>1304</v>
      </c>
      <c r="Y400" s="50" t="s">
        <v>1305</v>
      </c>
    </row>
    <row r="401">
      <c r="A401" s="65">
        <f>ROW()-ROW(Table_Actions[N])</f>
        <v>165</v>
      </c>
      <c r="B401" s="54" t="s">
        <v>1515</v>
      </c>
      <c r="C401" s="62" t="b">
        <v>0</v>
      </c>
      <c r="D401" s="63" t="s">
        <v>1516</v>
      </c>
      <c r="E401" s="63" t="s">
        <v>361</v>
      </c>
      <c r="F401" s="63" t="s">
        <v>364</v>
      </c>
      <c r="G401" s="63" t="s">
        <v>732</v>
      </c>
      <c r="H401" s="63" t="s">
        <v>1294</v>
      </c>
      <c r="I401" s="66" t="s">
        <v>730</v>
      </c>
      <c r="J401" s="63" t="s">
        <v>1295</v>
      </c>
      <c r="K401" s="63" t="s">
        <v>731</v>
      </c>
      <c r="L401" s="63" t="s">
        <v>1296</v>
      </c>
      <c r="M401" s="63" t="s">
        <v>1297</v>
      </c>
      <c r="N401" s="63" t="s">
        <v>1298</v>
      </c>
      <c r="O401" s="63" t="s">
        <v>1299</v>
      </c>
      <c r="P401" s="63" t="s">
        <v>1300</v>
      </c>
      <c r="Q401" s="50" t="s">
        <v>1517</v>
      </c>
      <c r="R401" s="50" t="s">
        <v>1302</v>
      </c>
      <c r="S401" s="48"/>
      <c r="T401" s="67" t="s">
        <v>1303</v>
      </c>
      <c r="U401" s="67" t="s">
        <v>1303</v>
      </c>
      <c r="V401" s="48">
        <v>0.0</v>
      </c>
      <c r="W401" s="68">
        <v>0.0</v>
      </c>
      <c r="X401" s="50" t="s">
        <v>1304</v>
      </c>
      <c r="Y401" s="50" t="s">
        <v>1305</v>
      </c>
    </row>
    <row r="402">
      <c r="A402" s="65">
        <f>ROW()-ROW(Table_Actions[N])</f>
        <v>166</v>
      </c>
      <c r="B402" s="54" t="s">
        <v>1518</v>
      </c>
      <c r="C402" s="62" t="b">
        <v>0</v>
      </c>
      <c r="D402" s="63" t="s">
        <v>1310</v>
      </c>
      <c r="E402" s="55" t="s">
        <v>361</v>
      </c>
      <c r="F402" s="55" t="s">
        <v>364</v>
      </c>
      <c r="G402" s="55" t="s">
        <v>732</v>
      </c>
      <c r="H402" s="55" t="s">
        <v>1294</v>
      </c>
      <c r="I402" s="66" t="s">
        <v>1175</v>
      </c>
      <c r="J402" s="55" t="s">
        <v>1295</v>
      </c>
      <c r="K402" s="55" t="s">
        <v>731</v>
      </c>
      <c r="L402" s="55" t="s">
        <v>1296</v>
      </c>
      <c r="M402" s="63" t="s">
        <v>1297</v>
      </c>
      <c r="N402" s="55" t="s">
        <v>1298</v>
      </c>
      <c r="O402" s="63" t="s">
        <v>1299</v>
      </c>
      <c r="P402" s="55" t="s">
        <v>1300</v>
      </c>
      <c r="Q402" s="50" t="s">
        <v>1301</v>
      </c>
      <c r="R402" s="50" t="s">
        <v>1302</v>
      </c>
      <c r="S402" s="48"/>
      <c r="T402" s="67" t="s">
        <v>1303</v>
      </c>
      <c r="U402" s="67" t="s">
        <v>1303</v>
      </c>
      <c r="V402" s="48">
        <v>0.0</v>
      </c>
      <c r="W402" s="68">
        <v>0.0</v>
      </c>
      <c r="X402" s="50" t="s">
        <v>1304</v>
      </c>
      <c r="Y402" s="50" t="s">
        <v>1305</v>
      </c>
    </row>
    <row r="403">
      <c r="A403" s="65">
        <f>ROW()-ROW(Table_Actions[N])</f>
        <v>167</v>
      </c>
      <c r="B403" s="54" t="s">
        <v>897</v>
      </c>
      <c r="C403" s="62" t="b">
        <v>0</v>
      </c>
      <c r="D403" s="63" t="s">
        <v>1350</v>
      </c>
      <c r="E403" s="63" t="s">
        <v>361</v>
      </c>
      <c r="F403" s="63" t="s">
        <v>364</v>
      </c>
      <c r="G403" s="63" t="s">
        <v>732</v>
      </c>
      <c r="H403" s="63" t="s">
        <v>1294</v>
      </c>
      <c r="I403" s="66" t="s">
        <v>730</v>
      </c>
      <c r="J403" s="63" t="s">
        <v>1295</v>
      </c>
      <c r="K403" s="63" t="s">
        <v>731</v>
      </c>
      <c r="L403" s="63" t="s">
        <v>1353</v>
      </c>
      <c r="M403" s="63" t="s">
        <v>1297</v>
      </c>
      <c r="N403" s="63" t="s">
        <v>1519</v>
      </c>
      <c r="O403" s="63" t="s">
        <v>1299</v>
      </c>
      <c r="P403" s="63" t="s">
        <v>1300</v>
      </c>
      <c r="Q403" s="50" t="s">
        <v>1301</v>
      </c>
      <c r="R403" s="50" t="s">
        <v>1302</v>
      </c>
      <c r="S403" s="48"/>
      <c r="T403" s="67" t="s">
        <v>1303</v>
      </c>
      <c r="U403" s="67" t="s">
        <v>1303</v>
      </c>
      <c r="V403" s="48">
        <v>0.0</v>
      </c>
      <c r="W403" s="68">
        <v>0.0</v>
      </c>
      <c r="X403" s="50" t="s">
        <v>1304</v>
      </c>
      <c r="Y403" s="50" t="s">
        <v>1305</v>
      </c>
    </row>
    <row r="404">
      <c r="A404" s="65">
        <f>ROW()-ROW(Table_Actions[N])</f>
        <v>168</v>
      </c>
      <c r="B404" s="54" t="s">
        <v>1176</v>
      </c>
      <c r="C404" s="62" t="b">
        <v>0</v>
      </c>
      <c r="D404" s="63" t="s">
        <v>1318</v>
      </c>
      <c r="E404" s="63" t="s">
        <v>534</v>
      </c>
      <c r="F404" s="63" t="s">
        <v>364</v>
      </c>
      <c r="G404" s="63" t="s">
        <v>732</v>
      </c>
      <c r="H404" s="63" t="s">
        <v>1294</v>
      </c>
      <c r="I404" s="66" t="s">
        <v>730</v>
      </c>
      <c r="J404" s="63" t="s">
        <v>1295</v>
      </c>
      <c r="K404" s="63" t="s">
        <v>731</v>
      </c>
      <c r="L404" s="63" t="s">
        <v>1296</v>
      </c>
      <c r="M404" s="63" t="s">
        <v>1297</v>
      </c>
      <c r="N404" s="63" t="s">
        <v>1298</v>
      </c>
      <c r="O404" s="63" t="s">
        <v>1299</v>
      </c>
      <c r="P404" s="63" t="s">
        <v>1300</v>
      </c>
      <c r="Q404" s="50" t="s">
        <v>1301</v>
      </c>
      <c r="R404" s="50" t="s">
        <v>1302</v>
      </c>
      <c r="S404" s="48"/>
      <c r="T404" s="67" t="s">
        <v>1303</v>
      </c>
      <c r="U404" s="67" t="s">
        <v>1303</v>
      </c>
      <c r="V404" s="48">
        <v>0.0</v>
      </c>
      <c r="W404" s="68">
        <v>0.0</v>
      </c>
      <c r="X404" s="50" t="s">
        <v>1304</v>
      </c>
      <c r="Y404" s="50" t="s">
        <v>1305</v>
      </c>
    </row>
    <row r="405">
      <c r="A405" s="65">
        <f>ROW()-ROW(Table_Actions[N])</f>
        <v>169</v>
      </c>
      <c r="B405" s="54" t="s">
        <v>1520</v>
      </c>
      <c r="C405" s="62" t="b">
        <v>1</v>
      </c>
      <c r="D405" s="63" t="s">
        <v>1372</v>
      </c>
      <c r="E405" s="63" t="s">
        <v>367</v>
      </c>
      <c r="F405" s="63" t="s">
        <v>364</v>
      </c>
      <c r="G405" s="63" t="s">
        <v>732</v>
      </c>
      <c r="H405" s="63" t="s">
        <v>1294</v>
      </c>
      <c r="I405" s="66" t="s">
        <v>730</v>
      </c>
      <c r="J405" s="63" t="s">
        <v>1295</v>
      </c>
      <c r="K405" s="63" t="s">
        <v>731</v>
      </c>
      <c r="L405" s="63" t="s">
        <v>1296</v>
      </c>
      <c r="M405" s="63" t="s">
        <v>1297</v>
      </c>
      <c r="N405" s="63" t="s">
        <v>1298</v>
      </c>
      <c r="O405" s="63" t="s">
        <v>1521</v>
      </c>
      <c r="P405" s="63" t="s">
        <v>1300</v>
      </c>
      <c r="Q405" s="50" t="s">
        <v>1301</v>
      </c>
      <c r="R405" s="50" t="s">
        <v>1302</v>
      </c>
      <c r="S405" s="48"/>
      <c r="T405" s="67" t="s">
        <v>1303</v>
      </c>
      <c r="U405" s="67" t="s">
        <v>1303</v>
      </c>
      <c r="V405" s="48">
        <v>0.0</v>
      </c>
      <c r="W405" s="68">
        <v>0.0</v>
      </c>
      <c r="X405" s="50" t="s">
        <v>1304</v>
      </c>
      <c r="Y405" s="50" t="s">
        <v>1305</v>
      </c>
    </row>
    <row r="406">
      <c r="A406" s="65">
        <f>ROW()-ROW(Table_Actions[N])</f>
        <v>170</v>
      </c>
      <c r="B406" s="54" t="s">
        <v>1522</v>
      </c>
      <c r="C406" s="62" t="b">
        <v>1</v>
      </c>
      <c r="D406" s="63" t="s">
        <v>1372</v>
      </c>
      <c r="E406" s="63" t="s">
        <v>367</v>
      </c>
      <c r="F406" s="63" t="s">
        <v>364</v>
      </c>
      <c r="G406" s="63" t="s">
        <v>732</v>
      </c>
      <c r="H406" s="63" t="s">
        <v>1294</v>
      </c>
      <c r="I406" s="66" t="s">
        <v>730</v>
      </c>
      <c r="J406" s="63" t="s">
        <v>1295</v>
      </c>
      <c r="K406" s="63" t="s">
        <v>731</v>
      </c>
      <c r="L406" s="63" t="s">
        <v>1296</v>
      </c>
      <c r="M406" s="63" t="s">
        <v>1297</v>
      </c>
      <c r="N406" s="63" t="s">
        <v>1298</v>
      </c>
      <c r="O406" s="63" t="s">
        <v>1495</v>
      </c>
      <c r="P406" s="63" t="s">
        <v>1300</v>
      </c>
      <c r="Q406" s="50" t="s">
        <v>1301</v>
      </c>
      <c r="R406" s="50" t="s">
        <v>1302</v>
      </c>
      <c r="S406" s="48"/>
      <c r="T406" s="67" t="s">
        <v>1303</v>
      </c>
      <c r="U406" s="67" t="s">
        <v>1303</v>
      </c>
      <c r="V406" s="48">
        <v>0.0</v>
      </c>
      <c r="W406" s="68">
        <v>0.0</v>
      </c>
      <c r="X406" s="50" t="s">
        <v>1304</v>
      </c>
      <c r="Y406" s="50" t="s">
        <v>1305</v>
      </c>
    </row>
    <row r="407">
      <c r="A407" s="65">
        <f>ROW()-ROW(Table_Actions[N])</f>
        <v>171</v>
      </c>
      <c r="B407" s="54" t="s">
        <v>1523</v>
      </c>
      <c r="C407" s="72" t="b">
        <v>1</v>
      </c>
      <c r="D407" s="55" t="s">
        <v>1372</v>
      </c>
      <c r="E407" s="55" t="s">
        <v>511</v>
      </c>
      <c r="F407" s="55" t="s">
        <v>364</v>
      </c>
      <c r="G407" s="55" t="s">
        <v>732</v>
      </c>
      <c r="H407" s="55" t="s">
        <v>1294</v>
      </c>
      <c r="I407" s="70" t="s">
        <v>730</v>
      </c>
      <c r="J407" s="55" t="s">
        <v>1295</v>
      </c>
      <c r="K407" s="55" t="s">
        <v>731</v>
      </c>
      <c r="L407" s="55" t="s">
        <v>1296</v>
      </c>
      <c r="M407" s="63" t="s">
        <v>1297</v>
      </c>
      <c r="N407" s="55" t="s">
        <v>1298</v>
      </c>
      <c r="O407" s="63" t="s">
        <v>1500</v>
      </c>
      <c r="P407" s="55" t="s">
        <v>1300</v>
      </c>
      <c r="Q407" s="55" t="s">
        <v>1301</v>
      </c>
      <c r="R407" s="50" t="s">
        <v>1302</v>
      </c>
      <c r="S407" s="70"/>
      <c r="T407" s="67" t="s">
        <v>1303</v>
      </c>
      <c r="U407" s="67" t="s">
        <v>1303</v>
      </c>
      <c r="V407" s="48">
        <v>0.0</v>
      </c>
      <c r="W407" s="68">
        <v>0.0</v>
      </c>
      <c r="X407" s="50" t="s">
        <v>1304</v>
      </c>
      <c r="Y407" s="55" t="s">
        <v>1305</v>
      </c>
    </row>
    <row r="408">
      <c r="A408" s="65">
        <f>ROW()-ROW(Table_Actions[N])</f>
        <v>172</v>
      </c>
      <c r="B408" s="54" t="s">
        <v>1524</v>
      </c>
      <c r="C408" s="72" t="b">
        <v>0</v>
      </c>
      <c r="D408" s="55" t="s">
        <v>1310</v>
      </c>
      <c r="E408" s="55" t="s">
        <v>361</v>
      </c>
      <c r="F408" s="55" t="s">
        <v>364</v>
      </c>
      <c r="G408" s="55" t="s">
        <v>732</v>
      </c>
      <c r="H408" s="55" t="s">
        <v>1294</v>
      </c>
      <c r="I408" s="66" t="s">
        <v>1178</v>
      </c>
      <c r="J408" s="55" t="s">
        <v>1295</v>
      </c>
      <c r="K408" s="55" t="s">
        <v>731</v>
      </c>
      <c r="L408" s="55" t="s">
        <v>1296</v>
      </c>
      <c r="M408" s="63" t="s">
        <v>1297</v>
      </c>
      <c r="N408" s="55" t="s">
        <v>1298</v>
      </c>
      <c r="O408" s="55" t="s">
        <v>1299</v>
      </c>
      <c r="P408" s="55" t="s">
        <v>1300</v>
      </c>
      <c r="Q408" s="55" t="s">
        <v>1301</v>
      </c>
      <c r="R408" s="50" t="s">
        <v>1302</v>
      </c>
      <c r="S408" s="70"/>
      <c r="T408" s="67" t="s">
        <v>1303</v>
      </c>
      <c r="U408" s="67" t="s">
        <v>1303</v>
      </c>
      <c r="V408" s="48">
        <v>0.0</v>
      </c>
      <c r="W408" s="68">
        <v>0.0</v>
      </c>
      <c r="X408" s="50" t="s">
        <v>1304</v>
      </c>
      <c r="Y408" s="55" t="s">
        <v>1305</v>
      </c>
    </row>
    <row r="409">
      <c r="A409" s="65">
        <f>ROW()-ROW(Table_Actions[N])</f>
        <v>173</v>
      </c>
      <c r="B409" s="54" t="s">
        <v>1525</v>
      </c>
      <c r="C409" s="72" t="b">
        <v>0</v>
      </c>
      <c r="D409" s="55" t="s">
        <v>1310</v>
      </c>
      <c r="E409" s="55" t="s">
        <v>361</v>
      </c>
      <c r="F409" s="55" t="s">
        <v>364</v>
      </c>
      <c r="G409" s="55" t="s">
        <v>732</v>
      </c>
      <c r="H409" s="55" t="s">
        <v>1294</v>
      </c>
      <c r="I409" s="66" t="s">
        <v>1526</v>
      </c>
      <c r="J409" s="55" t="s">
        <v>1295</v>
      </c>
      <c r="K409" s="55" t="s">
        <v>731</v>
      </c>
      <c r="L409" s="55" t="s">
        <v>1296</v>
      </c>
      <c r="M409" s="63" t="s">
        <v>1297</v>
      </c>
      <c r="N409" s="55" t="s">
        <v>1298</v>
      </c>
      <c r="O409" s="55" t="s">
        <v>1299</v>
      </c>
      <c r="P409" s="55" t="s">
        <v>1300</v>
      </c>
      <c r="Q409" s="55" t="s">
        <v>1301</v>
      </c>
      <c r="R409" s="50" t="s">
        <v>1302</v>
      </c>
      <c r="S409" s="70"/>
      <c r="T409" s="67" t="s">
        <v>1303</v>
      </c>
      <c r="U409" s="67" t="s">
        <v>1303</v>
      </c>
      <c r="V409" s="48">
        <v>0.0</v>
      </c>
      <c r="W409" s="68">
        <v>0.0</v>
      </c>
      <c r="X409" s="50" t="s">
        <v>1304</v>
      </c>
      <c r="Y409" s="55" t="s">
        <v>1305</v>
      </c>
    </row>
    <row r="410">
      <c r="A410" s="65">
        <f>ROW()-ROW(Table_Actions[N])</f>
        <v>174</v>
      </c>
      <c r="B410" s="54" t="s">
        <v>904</v>
      </c>
      <c r="C410" s="62" t="b">
        <v>0</v>
      </c>
      <c r="D410" s="63" t="s">
        <v>1350</v>
      </c>
      <c r="E410" s="63" t="s">
        <v>361</v>
      </c>
      <c r="F410" s="63" t="s">
        <v>364</v>
      </c>
      <c r="G410" s="63" t="s">
        <v>732</v>
      </c>
      <c r="H410" s="63" t="s">
        <v>1294</v>
      </c>
      <c r="I410" s="66" t="s">
        <v>730</v>
      </c>
      <c r="J410" s="63" t="s">
        <v>1295</v>
      </c>
      <c r="K410" s="63" t="s">
        <v>731</v>
      </c>
      <c r="L410" s="63" t="s">
        <v>1353</v>
      </c>
      <c r="M410" s="63" t="s">
        <v>1297</v>
      </c>
      <c r="N410" s="63" t="s">
        <v>1527</v>
      </c>
      <c r="O410" s="63" t="s">
        <v>1299</v>
      </c>
      <c r="P410" s="63" t="s">
        <v>1300</v>
      </c>
      <c r="Q410" s="63" t="s">
        <v>1301</v>
      </c>
      <c r="R410" s="50" t="s">
        <v>1302</v>
      </c>
      <c r="S410" s="54"/>
      <c r="T410" s="67" t="s">
        <v>1303</v>
      </c>
      <c r="U410" s="67" t="s">
        <v>1303</v>
      </c>
      <c r="V410" s="48">
        <v>0.0</v>
      </c>
      <c r="W410" s="68">
        <v>0.0</v>
      </c>
      <c r="X410" s="50" t="s">
        <v>1304</v>
      </c>
      <c r="Y410" s="63" t="s">
        <v>1305</v>
      </c>
    </row>
    <row r="411">
      <c r="A411" s="65">
        <f>ROW()-ROW(Table_Actions[N])</f>
        <v>175</v>
      </c>
      <c r="B411" s="54" t="s">
        <v>1528</v>
      </c>
      <c r="C411" s="62" t="b">
        <v>0</v>
      </c>
      <c r="D411" s="63" t="s">
        <v>1322</v>
      </c>
      <c r="E411" s="63" t="s">
        <v>538</v>
      </c>
      <c r="F411" s="63" t="s">
        <v>364</v>
      </c>
      <c r="G411" s="63" t="s">
        <v>732</v>
      </c>
      <c r="H411" s="63" t="s">
        <v>1294</v>
      </c>
      <c r="I411" s="66" t="s">
        <v>730</v>
      </c>
      <c r="J411" s="63" t="s">
        <v>1295</v>
      </c>
      <c r="K411" s="63" t="s">
        <v>731</v>
      </c>
      <c r="L411" s="63" t="s">
        <v>1296</v>
      </c>
      <c r="M411" s="63" t="s">
        <v>1297</v>
      </c>
      <c r="N411" s="63" t="s">
        <v>1298</v>
      </c>
      <c r="O411" s="63" t="s">
        <v>1299</v>
      </c>
      <c r="P411" s="63" t="s">
        <v>1300</v>
      </c>
      <c r="Q411" s="63" t="s">
        <v>1301</v>
      </c>
      <c r="R411" s="50" t="s">
        <v>1302</v>
      </c>
      <c r="S411" s="54"/>
      <c r="T411" s="67" t="s">
        <v>1303</v>
      </c>
      <c r="U411" s="67" t="s">
        <v>1303</v>
      </c>
      <c r="V411" s="48">
        <v>0.0</v>
      </c>
      <c r="W411" s="68">
        <v>0.0</v>
      </c>
      <c r="X411" s="50" t="s">
        <v>1304</v>
      </c>
      <c r="Y411" s="63" t="s">
        <v>1305</v>
      </c>
    </row>
    <row r="412">
      <c r="A412" s="65">
        <f>ROW()-ROW(Table_Actions[N])</f>
        <v>176</v>
      </c>
      <c r="B412" s="54" t="s">
        <v>1179</v>
      </c>
      <c r="C412" s="62" t="b">
        <v>0</v>
      </c>
      <c r="D412" s="63" t="s">
        <v>1318</v>
      </c>
      <c r="E412" s="63" t="s">
        <v>538</v>
      </c>
      <c r="F412" s="63" t="s">
        <v>364</v>
      </c>
      <c r="G412" s="63" t="s">
        <v>732</v>
      </c>
      <c r="H412" s="63" t="s">
        <v>1294</v>
      </c>
      <c r="I412" s="66" t="s">
        <v>730</v>
      </c>
      <c r="J412" s="63" t="s">
        <v>1295</v>
      </c>
      <c r="K412" s="63" t="s">
        <v>731</v>
      </c>
      <c r="L412" s="63" t="s">
        <v>1296</v>
      </c>
      <c r="M412" s="63" t="s">
        <v>1297</v>
      </c>
      <c r="N412" s="63" t="s">
        <v>1298</v>
      </c>
      <c r="O412" s="63" t="s">
        <v>1299</v>
      </c>
      <c r="P412" s="63" t="s">
        <v>1300</v>
      </c>
      <c r="Q412" s="63" t="s">
        <v>1301</v>
      </c>
      <c r="R412" s="50" t="s">
        <v>1302</v>
      </c>
      <c r="S412" s="54"/>
      <c r="T412" s="67" t="s">
        <v>1303</v>
      </c>
      <c r="U412" s="67" t="s">
        <v>1303</v>
      </c>
      <c r="V412" s="48">
        <v>0.0</v>
      </c>
      <c r="W412" s="68">
        <v>0.0</v>
      </c>
      <c r="X412" s="50" t="s">
        <v>1304</v>
      </c>
      <c r="Y412" s="63" t="s">
        <v>1305</v>
      </c>
    </row>
    <row r="413">
      <c r="A413" s="65">
        <f>ROW()-ROW(Table_Actions[N])</f>
        <v>177</v>
      </c>
      <c r="B413" s="54" t="s">
        <v>1529</v>
      </c>
      <c r="C413" s="62" t="b">
        <v>1</v>
      </c>
      <c r="D413" s="63" t="s">
        <v>1372</v>
      </c>
      <c r="E413" s="63" t="s">
        <v>367</v>
      </c>
      <c r="F413" s="63" t="s">
        <v>364</v>
      </c>
      <c r="G413" s="63" t="s">
        <v>732</v>
      </c>
      <c r="H413" s="63" t="s">
        <v>1294</v>
      </c>
      <c r="I413" s="66" t="s">
        <v>730</v>
      </c>
      <c r="J413" s="63" t="s">
        <v>1295</v>
      </c>
      <c r="K413" s="63" t="s">
        <v>731</v>
      </c>
      <c r="L413" s="63" t="s">
        <v>1296</v>
      </c>
      <c r="M413" s="63" t="s">
        <v>1297</v>
      </c>
      <c r="N413" s="63" t="s">
        <v>1298</v>
      </c>
      <c r="O413" s="63" t="s">
        <v>1500</v>
      </c>
      <c r="P413" s="63" t="s">
        <v>1300</v>
      </c>
      <c r="Q413" s="50" t="s">
        <v>1301</v>
      </c>
      <c r="R413" s="50" t="s">
        <v>1302</v>
      </c>
      <c r="S413" s="48"/>
      <c r="T413" s="67" t="s">
        <v>1303</v>
      </c>
      <c r="U413" s="67" t="s">
        <v>1303</v>
      </c>
      <c r="V413" s="48">
        <v>0.0</v>
      </c>
      <c r="W413" s="68">
        <v>0.0</v>
      </c>
      <c r="X413" s="50" t="s">
        <v>1304</v>
      </c>
      <c r="Y413" s="50" t="s">
        <v>1305</v>
      </c>
    </row>
    <row r="414">
      <c r="A414" s="65">
        <f>ROW()-ROW(Table_Actions[N])</f>
        <v>178</v>
      </c>
      <c r="B414" s="54" t="s">
        <v>1530</v>
      </c>
      <c r="C414" s="72" t="b">
        <v>0</v>
      </c>
      <c r="D414" s="55" t="s">
        <v>1310</v>
      </c>
      <c r="E414" s="55" t="s">
        <v>361</v>
      </c>
      <c r="F414" s="55" t="s">
        <v>364</v>
      </c>
      <c r="G414" s="55" t="s">
        <v>732</v>
      </c>
      <c r="H414" s="55" t="s">
        <v>1294</v>
      </c>
      <c r="I414" s="66" t="s">
        <v>1531</v>
      </c>
      <c r="J414" s="55" t="s">
        <v>1295</v>
      </c>
      <c r="K414" s="55" t="s">
        <v>731</v>
      </c>
      <c r="L414" s="55" t="s">
        <v>1296</v>
      </c>
      <c r="M414" s="63" t="s">
        <v>1297</v>
      </c>
      <c r="N414" s="55" t="s">
        <v>1298</v>
      </c>
      <c r="O414" s="55" t="s">
        <v>1299</v>
      </c>
      <c r="P414" s="55" t="s">
        <v>1300</v>
      </c>
      <c r="Q414" s="55" t="s">
        <v>1301</v>
      </c>
      <c r="R414" s="50" t="s">
        <v>1302</v>
      </c>
      <c r="S414" s="70"/>
      <c r="T414" s="67" t="s">
        <v>1303</v>
      </c>
      <c r="U414" s="67" t="s">
        <v>1303</v>
      </c>
      <c r="V414" s="48">
        <v>0.0</v>
      </c>
      <c r="W414" s="68">
        <v>0.0</v>
      </c>
      <c r="X414" s="50" t="s">
        <v>1304</v>
      </c>
      <c r="Y414" s="55" t="s">
        <v>1305</v>
      </c>
    </row>
    <row r="415">
      <c r="A415" s="65">
        <f>ROW()-ROW(Table_Actions[N])</f>
        <v>179</v>
      </c>
      <c r="B415" s="54" t="s">
        <v>1532</v>
      </c>
      <c r="C415" s="72" t="b">
        <v>0</v>
      </c>
      <c r="D415" s="55" t="s">
        <v>1310</v>
      </c>
      <c r="E415" s="55" t="s">
        <v>361</v>
      </c>
      <c r="F415" s="55" t="s">
        <v>364</v>
      </c>
      <c r="G415" s="55" t="s">
        <v>732</v>
      </c>
      <c r="H415" s="55" t="s">
        <v>1294</v>
      </c>
      <c r="I415" s="66" t="s">
        <v>1533</v>
      </c>
      <c r="J415" s="55" t="s">
        <v>1295</v>
      </c>
      <c r="K415" s="55" t="s">
        <v>731</v>
      </c>
      <c r="L415" s="55" t="s">
        <v>1296</v>
      </c>
      <c r="M415" s="63" t="s">
        <v>1297</v>
      </c>
      <c r="N415" s="55" t="s">
        <v>1298</v>
      </c>
      <c r="O415" s="55" t="s">
        <v>1299</v>
      </c>
      <c r="P415" s="55" t="s">
        <v>1300</v>
      </c>
      <c r="Q415" s="73" t="s">
        <v>1301</v>
      </c>
      <c r="R415" s="50" t="s">
        <v>1302</v>
      </c>
      <c r="S415" s="74"/>
      <c r="T415" s="67" t="s">
        <v>1303</v>
      </c>
      <c r="U415" s="67" t="s">
        <v>1303</v>
      </c>
      <c r="V415" s="48">
        <v>0.0</v>
      </c>
      <c r="W415" s="68">
        <v>0.0</v>
      </c>
      <c r="X415" s="50" t="s">
        <v>1304</v>
      </c>
      <c r="Y415" s="73" t="s">
        <v>1305</v>
      </c>
    </row>
    <row r="416">
      <c r="A416" s="65">
        <f>ROW()-ROW(Table_Actions[N])</f>
        <v>180</v>
      </c>
      <c r="B416" s="54" t="s">
        <v>1534</v>
      </c>
      <c r="C416" s="72" t="b">
        <v>0</v>
      </c>
      <c r="D416" s="55" t="s">
        <v>1310</v>
      </c>
      <c r="E416" s="55" t="s">
        <v>361</v>
      </c>
      <c r="F416" s="55" t="s">
        <v>364</v>
      </c>
      <c r="G416" s="55" t="s">
        <v>732</v>
      </c>
      <c r="H416" s="55" t="s">
        <v>1294</v>
      </c>
      <c r="I416" s="66" t="s">
        <v>1535</v>
      </c>
      <c r="J416" s="55" t="s">
        <v>1295</v>
      </c>
      <c r="K416" s="55" t="s">
        <v>731</v>
      </c>
      <c r="L416" s="55" t="s">
        <v>1296</v>
      </c>
      <c r="M416" s="63" t="s">
        <v>1297</v>
      </c>
      <c r="N416" s="55" t="s">
        <v>1298</v>
      </c>
      <c r="O416" s="55" t="s">
        <v>1299</v>
      </c>
      <c r="P416" s="55" t="s">
        <v>1300</v>
      </c>
      <c r="Q416" s="73" t="s">
        <v>1301</v>
      </c>
      <c r="R416" s="50" t="s">
        <v>1302</v>
      </c>
      <c r="S416" s="74"/>
      <c r="T416" s="67" t="s">
        <v>1303</v>
      </c>
      <c r="U416" s="67" t="s">
        <v>1303</v>
      </c>
      <c r="V416" s="48">
        <v>0.0</v>
      </c>
      <c r="W416" s="68">
        <v>0.0</v>
      </c>
      <c r="X416" s="50" t="s">
        <v>1304</v>
      </c>
      <c r="Y416" s="73" t="s">
        <v>1305</v>
      </c>
    </row>
    <row r="417">
      <c r="A417" s="65">
        <f>ROW()-ROW(Table_Actions[N])</f>
        <v>181</v>
      </c>
      <c r="B417" s="54" t="s">
        <v>1536</v>
      </c>
      <c r="C417" s="62" t="b">
        <v>1</v>
      </c>
      <c r="D417" s="63" t="s">
        <v>1350</v>
      </c>
      <c r="E417" s="63" t="s">
        <v>361</v>
      </c>
      <c r="F417" s="63" t="s">
        <v>364</v>
      </c>
      <c r="G417" s="63" t="s">
        <v>732</v>
      </c>
      <c r="H417" s="63" t="s">
        <v>1294</v>
      </c>
      <c r="I417" s="66" t="s">
        <v>730</v>
      </c>
      <c r="J417" s="63" t="s">
        <v>1295</v>
      </c>
      <c r="K417" s="63" t="s">
        <v>731</v>
      </c>
      <c r="L417" s="63" t="s">
        <v>1353</v>
      </c>
      <c r="M417" s="63" t="s">
        <v>1297</v>
      </c>
      <c r="N417" s="63" t="s">
        <v>1537</v>
      </c>
      <c r="O417" s="63" t="s">
        <v>1299</v>
      </c>
      <c r="P417" s="63" t="s">
        <v>1300</v>
      </c>
      <c r="Q417" s="50" t="s">
        <v>1301</v>
      </c>
      <c r="R417" s="50" t="s">
        <v>1302</v>
      </c>
      <c r="S417" s="48"/>
      <c r="T417" s="67" t="s">
        <v>1303</v>
      </c>
      <c r="U417" s="67" t="s">
        <v>1303</v>
      </c>
      <c r="V417" s="48">
        <v>0.0</v>
      </c>
      <c r="W417" s="68">
        <v>0.0</v>
      </c>
      <c r="X417" s="50" t="s">
        <v>1304</v>
      </c>
      <c r="Y417" s="50" t="s">
        <v>1305</v>
      </c>
    </row>
    <row r="418">
      <c r="A418" s="65">
        <f>ROW()-ROW(Table_Actions[N])</f>
        <v>182</v>
      </c>
      <c r="B418" s="54" t="s">
        <v>1538</v>
      </c>
      <c r="C418" s="62" t="b">
        <v>1</v>
      </c>
      <c r="D418" s="55" t="s">
        <v>1310</v>
      </c>
      <c r="E418" s="55" t="s">
        <v>361</v>
      </c>
      <c r="F418" s="55" t="s">
        <v>364</v>
      </c>
      <c r="G418" s="55" t="s">
        <v>732</v>
      </c>
      <c r="H418" s="55" t="s">
        <v>1294</v>
      </c>
      <c r="I418" s="66" t="s">
        <v>1539</v>
      </c>
      <c r="J418" s="55" t="s">
        <v>1295</v>
      </c>
      <c r="K418" s="55" t="s">
        <v>731</v>
      </c>
      <c r="L418" s="55" t="s">
        <v>1296</v>
      </c>
      <c r="M418" s="63" t="s">
        <v>1297</v>
      </c>
      <c r="N418" s="55" t="s">
        <v>1298</v>
      </c>
      <c r="O418" s="55" t="s">
        <v>1299</v>
      </c>
      <c r="P418" s="55" t="s">
        <v>1300</v>
      </c>
      <c r="Q418" s="73" t="s">
        <v>1301</v>
      </c>
      <c r="R418" s="50" t="s">
        <v>1302</v>
      </c>
      <c r="S418" s="74"/>
      <c r="T418" s="67" t="s">
        <v>1303</v>
      </c>
      <c r="U418" s="67" t="s">
        <v>1303</v>
      </c>
      <c r="V418" s="48">
        <v>0.0</v>
      </c>
      <c r="W418" s="68">
        <v>0.0</v>
      </c>
      <c r="X418" s="50" t="s">
        <v>1304</v>
      </c>
      <c r="Y418" s="73" t="s">
        <v>1305</v>
      </c>
    </row>
    <row r="419">
      <c r="A419" s="65">
        <f>ROW()-ROW(Table_Actions[N])</f>
        <v>183</v>
      </c>
      <c r="B419" s="54" t="s">
        <v>1540</v>
      </c>
      <c r="C419" s="62" t="b">
        <v>1</v>
      </c>
      <c r="D419" s="63" t="s">
        <v>1350</v>
      </c>
      <c r="E419" s="63" t="s">
        <v>361</v>
      </c>
      <c r="F419" s="63" t="s">
        <v>364</v>
      </c>
      <c r="G419" s="63" t="s">
        <v>732</v>
      </c>
      <c r="H419" s="63" t="s">
        <v>1294</v>
      </c>
      <c r="I419" s="66" t="s">
        <v>730</v>
      </c>
      <c r="J419" s="63" t="s">
        <v>1295</v>
      </c>
      <c r="K419" s="63" t="s">
        <v>731</v>
      </c>
      <c r="L419" s="63" t="s">
        <v>1353</v>
      </c>
      <c r="M419" s="63" t="s">
        <v>1297</v>
      </c>
      <c r="N419" s="63" t="s">
        <v>1541</v>
      </c>
      <c r="O419" s="63" t="s">
        <v>1299</v>
      </c>
      <c r="P419" s="63" t="s">
        <v>1300</v>
      </c>
      <c r="Q419" s="50" t="s">
        <v>1301</v>
      </c>
      <c r="R419" s="50" t="s">
        <v>1302</v>
      </c>
      <c r="S419" s="48"/>
      <c r="T419" s="67" t="s">
        <v>1303</v>
      </c>
      <c r="U419" s="67" t="s">
        <v>1303</v>
      </c>
      <c r="V419" s="48">
        <v>0.0</v>
      </c>
      <c r="W419" s="68">
        <v>0.0</v>
      </c>
      <c r="X419" s="50" t="s">
        <v>1304</v>
      </c>
      <c r="Y419" s="50" t="s">
        <v>1305</v>
      </c>
    </row>
    <row r="420">
      <c r="A420" s="65">
        <f>ROW()-ROW(Table_Actions[N])</f>
        <v>184</v>
      </c>
      <c r="B420" s="54" t="s">
        <v>916</v>
      </c>
      <c r="C420" s="62" t="b">
        <v>0</v>
      </c>
      <c r="D420" s="63" t="s">
        <v>1350</v>
      </c>
      <c r="E420" s="63" t="s">
        <v>361</v>
      </c>
      <c r="F420" s="63" t="s">
        <v>364</v>
      </c>
      <c r="G420" s="63" t="s">
        <v>732</v>
      </c>
      <c r="H420" s="63" t="s">
        <v>1294</v>
      </c>
      <c r="I420" s="66" t="s">
        <v>730</v>
      </c>
      <c r="J420" s="63" t="s">
        <v>1295</v>
      </c>
      <c r="K420" s="63" t="s">
        <v>731</v>
      </c>
      <c r="L420" s="63" t="s">
        <v>1542</v>
      </c>
      <c r="M420" s="63" t="s">
        <v>1297</v>
      </c>
      <c r="N420" s="63" t="s">
        <v>1298</v>
      </c>
      <c r="O420" s="63" t="s">
        <v>1299</v>
      </c>
      <c r="P420" s="63" t="s">
        <v>1300</v>
      </c>
      <c r="Q420" s="50" t="s">
        <v>1301</v>
      </c>
      <c r="R420" s="50" t="s">
        <v>1302</v>
      </c>
      <c r="S420" s="48"/>
      <c r="T420" s="67" t="s">
        <v>1303</v>
      </c>
      <c r="U420" s="67" t="s">
        <v>1303</v>
      </c>
      <c r="V420" s="48">
        <v>0.0</v>
      </c>
      <c r="W420" s="68">
        <v>0.0</v>
      </c>
      <c r="X420" s="50" t="s">
        <v>1304</v>
      </c>
      <c r="Y420" s="50" t="s">
        <v>1305</v>
      </c>
    </row>
    <row r="421">
      <c r="A421" s="65">
        <f>ROW()-ROW(Table_Actions[N])</f>
        <v>185</v>
      </c>
      <c r="B421" s="54" t="s">
        <v>918</v>
      </c>
      <c r="C421" s="62" t="b">
        <v>0</v>
      </c>
      <c r="D421" s="63" t="s">
        <v>1350</v>
      </c>
      <c r="E421" s="63" t="s">
        <v>361</v>
      </c>
      <c r="F421" s="63" t="s">
        <v>364</v>
      </c>
      <c r="G421" s="63" t="s">
        <v>732</v>
      </c>
      <c r="H421" s="63" t="s">
        <v>1294</v>
      </c>
      <c r="I421" s="66" t="s">
        <v>730</v>
      </c>
      <c r="J421" s="63" t="s">
        <v>1295</v>
      </c>
      <c r="K421" s="63" t="s">
        <v>731</v>
      </c>
      <c r="L421" s="63" t="s">
        <v>1543</v>
      </c>
      <c r="M421" s="63" t="s">
        <v>1297</v>
      </c>
      <c r="N421" s="63" t="s">
        <v>1298</v>
      </c>
      <c r="O421" s="63" t="s">
        <v>1299</v>
      </c>
      <c r="P421" s="63" t="s">
        <v>1300</v>
      </c>
      <c r="Q421" s="50" t="s">
        <v>1301</v>
      </c>
      <c r="R421" s="50" t="s">
        <v>1302</v>
      </c>
      <c r="S421" s="48"/>
      <c r="T421" s="67" t="s">
        <v>1303</v>
      </c>
      <c r="U421" s="67" t="s">
        <v>1303</v>
      </c>
      <c r="V421" s="48">
        <v>0.0</v>
      </c>
      <c r="W421" s="68">
        <v>0.0</v>
      </c>
      <c r="X421" s="50" t="s">
        <v>1304</v>
      </c>
      <c r="Y421" s="50" t="s">
        <v>1305</v>
      </c>
    </row>
    <row r="422">
      <c r="A422" s="65">
        <f>ROW()-ROW(Table_Actions[N])</f>
        <v>186</v>
      </c>
      <c r="B422" s="54" t="s">
        <v>1544</v>
      </c>
      <c r="C422" s="62" t="b">
        <v>0</v>
      </c>
      <c r="D422" s="63" t="s">
        <v>1488</v>
      </c>
      <c r="E422" s="63" t="s">
        <v>361</v>
      </c>
      <c r="F422" s="63" t="s">
        <v>364</v>
      </c>
      <c r="G422" s="63" t="s">
        <v>732</v>
      </c>
      <c r="H422" s="63" t="s">
        <v>1294</v>
      </c>
      <c r="I422" s="66" t="s">
        <v>730</v>
      </c>
      <c r="J422" s="63" t="s">
        <v>1295</v>
      </c>
      <c r="K422" s="63" t="s">
        <v>731</v>
      </c>
      <c r="L422" s="63" t="s">
        <v>1296</v>
      </c>
      <c r="M422" s="63" t="s">
        <v>1297</v>
      </c>
      <c r="N422" s="63" t="s">
        <v>1298</v>
      </c>
      <c r="O422" s="63" t="s">
        <v>1299</v>
      </c>
      <c r="P422" s="63" t="s">
        <v>1300</v>
      </c>
      <c r="Q422" s="50" t="s">
        <v>1301</v>
      </c>
      <c r="R422" s="50" t="s">
        <v>1302</v>
      </c>
      <c r="S422" s="48"/>
      <c r="T422" s="67" t="s">
        <v>1303</v>
      </c>
      <c r="U422" s="67" t="s">
        <v>1303</v>
      </c>
      <c r="V422" s="48">
        <v>0.0</v>
      </c>
      <c r="W422" s="68">
        <v>0.0</v>
      </c>
      <c r="X422" s="50" t="s">
        <v>1304</v>
      </c>
      <c r="Y422" s="50" t="s">
        <v>1545</v>
      </c>
    </row>
    <row r="423">
      <c r="A423" s="65">
        <f>ROW()-ROW(Table_Actions[N])</f>
        <v>187</v>
      </c>
      <c r="B423" s="54" t="s">
        <v>919</v>
      </c>
      <c r="C423" s="62" t="b">
        <v>0</v>
      </c>
      <c r="D423" s="63" t="s">
        <v>1350</v>
      </c>
      <c r="E423" s="63" t="s">
        <v>361</v>
      </c>
      <c r="F423" s="63" t="s">
        <v>364</v>
      </c>
      <c r="G423" s="63" t="s">
        <v>732</v>
      </c>
      <c r="H423" s="63" t="s">
        <v>1294</v>
      </c>
      <c r="I423" s="66" t="s">
        <v>730</v>
      </c>
      <c r="J423" s="63" t="s">
        <v>1295</v>
      </c>
      <c r="K423" s="63" t="s">
        <v>731</v>
      </c>
      <c r="L423" s="63" t="s">
        <v>1353</v>
      </c>
      <c r="M423" s="63" t="s">
        <v>1297</v>
      </c>
      <c r="N423" s="63" t="s">
        <v>1546</v>
      </c>
      <c r="O423" s="63" t="s">
        <v>1299</v>
      </c>
      <c r="P423" s="63" t="s">
        <v>1300</v>
      </c>
      <c r="Q423" s="50" t="s">
        <v>1301</v>
      </c>
      <c r="R423" s="50" t="s">
        <v>1302</v>
      </c>
      <c r="S423" s="48"/>
      <c r="T423" s="67" t="s">
        <v>1303</v>
      </c>
      <c r="U423" s="67" t="s">
        <v>1303</v>
      </c>
      <c r="V423" s="48">
        <v>0.0</v>
      </c>
      <c r="W423" s="68">
        <v>0.0</v>
      </c>
      <c r="X423" s="50" t="s">
        <v>1304</v>
      </c>
      <c r="Y423" s="50" t="s">
        <v>1305</v>
      </c>
    </row>
    <row r="424">
      <c r="A424" s="65">
        <f>ROW()-ROW(Table_Actions[N])</f>
        <v>188</v>
      </c>
      <c r="B424" s="54" t="s">
        <v>1547</v>
      </c>
      <c r="C424" s="62" t="b">
        <v>0</v>
      </c>
      <c r="D424" s="63" t="s">
        <v>1326</v>
      </c>
      <c r="E424" s="63" t="s">
        <v>542</v>
      </c>
      <c r="F424" s="63" t="s">
        <v>364</v>
      </c>
      <c r="G424" s="63" t="s">
        <v>13</v>
      </c>
      <c r="H424" s="63" t="s">
        <v>1294</v>
      </c>
      <c r="I424" s="66" t="s">
        <v>730</v>
      </c>
      <c r="J424" s="63" t="s">
        <v>1295</v>
      </c>
      <c r="K424" s="63" t="s">
        <v>731</v>
      </c>
      <c r="L424" s="63" t="s">
        <v>1296</v>
      </c>
      <c r="M424" s="63" t="s">
        <v>1297</v>
      </c>
      <c r="N424" s="63" t="s">
        <v>1298</v>
      </c>
      <c r="O424" s="63" t="s">
        <v>1299</v>
      </c>
      <c r="P424" s="63" t="s">
        <v>1300</v>
      </c>
      <c r="Q424" s="50" t="s">
        <v>1301</v>
      </c>
      <c r="R424" s="50" t="s">
        <v>1302</v>
      </c>
      <c r="S424" s="48"/>
      <c r="T424" s="67" t="s">
        <v>1303</v>
      </c>
      <c r="U424" s="67" t="s">
        <v>1303</v>
      </c>
      <c r="V424" s="48">
        <v>0.0</v>
      </c>
      <c r="W424" s="68">
        <v>0.0</v>
      </c>
      <c r="X424" s="50" t="s">
        <v>1304</v>
      </c>
      <c r="Y424" s="50" t="s">
        <v>1305</v>
      </c>
    </row>
    <row r="425">
      <c r="A425" s="65">
        <f>ROW()-ROW(Table_Actions[N])</f>
        <v>189</v>
      </c>
      <c r="B425" s="54" t="s">
        <v>1548</v>
      </c>
      <c r="C425" s="62" t="b">
        <v>0</v>
      </c>
      <c r="D425" s="55" t="s">
        <v>1310</v>
      </c>
      <c r="E425" s="55" t="s">
        <v>361</v>
      </c>
      <c r="F425" s="55" t="s">
        <v>364</v>
      </c>
      <c r="G425" s="55" t="s">
        <v>732</v>
      </c>
      <c r="H425" s="55" t="s">
        <v>1294</v>
      </c>
      <c r="I425" s="66" t="s">
        <v>1549</v>
      </c>
      <c r="J425" s="55" t="s">
        <v>1295</v>
      </c>
      <c r="K425" s="55" t="s">
        <v>731</v>
      </c>
      <c r="L425" s="55" t="s">
        <v>1296</v>
      </c>
      <c r="M425" s="63" t="s">
        <v>1297</v>
      </c>
      <c r="N425" s="55" t="s">
        <v>1298</v>
      </c>
      <c r="O425" s="55" t="s">
        <v>1299</v>
      </c>
      <c r="P425" s="55" t="s">
        <v>1300</v>
      </c>
      <c r="Q425" s="73" t="s">
        <v>1301</v>
      </c>
      <c r="R425" s="50" t="s">
        <v>1302</v>
      </c>
      <c r="S425" s="74"/>
      <c r="T425" s="67" t="s">
        <v>1303</v>
      </c>
      <c r="U425" s="67" t="s">
        <v>1303</v>
      </c>
      <c r="V425" s="48">
        <v>0.0</v>
      </c>
      <c r="W425" s="68">
        <v>0.0</v>
      </c>
      <c r="X425" s="50" t="s">
        <v>1304</v>
      </c>
      <c r="Y425" s="73" t="s">
        <v>1305</v>
      </c>
    </row>
    <row r="426">
      <c r="A426" s="65">
        <f>ROW()-ROW(Table_Actions[N])</f>
        <v>190</v>
      </c>
      <c r="B426" s="54" t="s">
        <v>902</v>
      </c>
      <c r="C426" s="62" t="b">
        <v>0</v>
      </c>
      <c r="D426" s="63" t="s">
        <v>1350</v>
      </c>
      <c r="E426" s="63" t="s">
        <v>361</v>
      </c>
      <c r="F426" s="63" t="s">
        <v>364</v>
      </c>
      <c r="G426" s="63" t="s">
        <v>732</v>
      </c>
      <c r="H426" s="63" t="s">
        <v>1294</v>
      </c>
      <c r="I426" s="66" t="s">
        <v>730</v>
      </c>
      <c r="J426" s="63" t="s">
        <v>1295</v>
      </c>
      <c r="K426" s="63" t="s">
        <v>731</v>
      </c>
      <c r="L426" s="63" t="s">
        <v>1353</v>
      </c>
      <c r="M426" s="63" t="s">
        <v>1297</v>
      </c>
      <c r="N426" s="63" t="s">
        <v>1550</v>
      </c>
      <c r="O426" s="63" t="s">
        <v>1299</v>
      </c>
      <c r="P426" s="63" t="s">
        <v>1300</v>
      </c>
      <c r="Q426" s="50" t="s">
        <v>1301</v>
      </c>
      <c r="R426" s="50" t="s">
        <v>1302</v>
      </c>
      <c r="S426" s="48"/>
      <c r="T426" s="67" t="s">
        <v>1303</v>
      </c>
      <c r="U426" s="67" t="s">
        <v>1303</v>
      </c>
      <c r="V426" s="48">
        <v>0.0</v>
      </c>
      <c r="W426" s="68">
        <v>0.0</v>
      </c>
      <c r="X426" s="50" t="s">
        <v>1304</v>
      </c>
      <c r="Y426" s="50" t="s">
        <v>1305</v>
      </c>
    </row>
    <row r="427">
      <c r="A427" s="65">
        <f>ROW()-ROW(Table_Actions[N])</f>
        <v>191</v>
      </c>
      <c r="B427" s="54" t="s">
        <v>1551</v>
      </c>
      <c r="C427" s="62" t="b">
        <v>0</v>
      </c>
      <c r="D427" s="63" t="s">
        <v>1350</v>
      </c>
      <c r="E427" s="63" t="s">
        <v>361</v>
      </c>
      <c r="F427" s="63" t="s">
        <v>364</v>
      </c>
      <c r="G427" s="63" t="s">
        <v>732</v>
      </c>
      <c r="H427" s="63" t="s">
        <v>1294</v>
      </c>
      <c r="I427" s="66" t="s">
        <v>730</v>
      </c>
      <c r="J427" s="63" t="s">
        <v>1295</v>
      </c>
      <c r="K427" s="63" t="s">
        <v>731</v>
      </c>
      <c r="L427" s="63" t="s">
        <v>1552</v>
      </c>
      <c r="M427" s="63" t="s">
        <v>1297</v>
      </c>
      <c r="N427" s="63" t="s">
        <v>1298</v>
      </c>
      <c r="O427" s="63" t="s">
        <v>1299</v>
      </c>
      <c r="P427" s="63" t="s">
        <v>1300</v>
      </c>
      <c r="Q427" s="50" t="s">
        <v>1301</v>
      </c>
      <c r="R427" s="50" t="s">
        <v>1302</v>
      </c>
      <c r="S427" s="48"/>
      <c r="T427" s="67" t="s">
        <v>1303</v>
      </c>
      <c r="U427" s="67" t="s">
        <v>1303</v>
      </c>
      <c r="V427" s="48">
        <v>0.0</v>
      </c>
      <c r="W427" s="68">
        <v>0.0</v>
      </c>
      <c r="X427" s="50" t="s">
        <v>1304</v>
      </c>
      <c r="Y427" s="50" t="s">
        <v>1305</v>
      </c>
    </row>
    <row r="428">
      <c r="A428" s="65">
        <f>ROW()-ROW(Table_Actions[N])</f>
        <v>192</v>
      </c>
      <c r="B428" s="54" t="s">
        <v>1553</v>
      </c>
      <c r="C428" s="62" t="b">
        <v>0</v>
      </c>
      <c r="D428" s="63" t="s">
        <v>1350</v>
      </c>
      <c r="E428" s="63" t="s">
        <v>361</v>
      </c>
      <c r="F428" s="63" t="s">
        <v>364</v>
      </c>
      <c r="G428" s="63" t="s">
        <v>732</v>
      </c>
      <c r="H428" s="63" t="s">
        <v>1294</v>
      </c>
      <c r="I428" s="66" t="s">
        <v>730</v>
      </c>
      <c r="J428" s="63" t="s">
        <v>1295</v>
      </c>
      <c r="K428" s="63" t="s">
        <v>731</v>
      </c>
      <c r="L428" s="63" t="s">
        <v>1554</v>
      </c>
      <c r="M428" s="63" t="s">
        <v>1297</v>
      </c>
      <c r="N428" s="63" t="s">
        <v>1298</v>
      </c>
      <c r="O428" s="63" t="s">
        <v>1299</v>
      </c>
      <c r="P428" s="63" t="s">
        <v>1300</v>
      </c>
      <c r="Q428" s="50" t="s">
        <v>1301</v>
      </c>
      <c r="R428" s="50" t="s">
        <v>1302</v>
      </c>
      <c r="S428" s="48"/>
      <c r="T428" s="67" t="s">
        <v>1303</v>
      </c>
      <c r="U428" s="67" t="s">
        <v>1303</v>
      </c>
      <c r="V428" s="48">
        <v>0.0</v>
      </c>
      <c r="W428" s="68">
        <v>0.0</v>
      </c>
      <c r="X428" s="50" t="s">
        <v>1304</v>
      </c>
      <c r="Y428" s="50" t="s">
        <v>1305</v>
      </c>
    </row>
    <row r="429">
      <c r="A429" s="65">
        <f>ROW()-ROW(Table_Actions[N])</f>
        <v>193</v>
      </c>
      <c r="B429" s="54" t="s">
        <v>1555</v>
      </c>
      <c r="C429" s="62" t="b">
        <v>0</v>
      </c>
      <c r="D429" s="63" t="s">
        <v>1310</v>
      </c>
      <c r="E429" s="63" t="s">
        <v>361</v>
      </c>
      <c r="F429" s="63" t="s">
        <v>364</v>
      </c>
      <c r="G429" s="63" t="s">
        <v>732</v>
      </c>
      <c r="H429" s="63" t="s">
        <v>1294</v>
      </c>
      <c r="I429" s="66" t="s">
        <v>1556</v>
      </c>
      <c r="J429" s="63" t="s">
        <v>1295</v>
      </c>
      <c r="K429" s="63" t="s">
        <v>731</v>
      </c>
      <c r="L429" s="63" t="s">
        <v>1296</v>
      </c>
      <c r="M429" s="63" t="s">
        <v>1297</v>
      </c>
      <c r="N429" s="63" t="s">
        <v>1298</v>
      </c>
      <c r="O429" s="63" t="s">
        <v>1299</v>
      </c>
      <c r="P429" s="63" t="s">
        <v>1300</v>
      </c>
      <c r="Q429" s="50" t="s">
        <v>1301</v>
      </c>
      <c r="R429" s="50" t="s">
        <v>1302</v>
      </c>
      <c r="S429" s="48"/>
      <c r="T429" s="67" t="s">
        <v>1303</v>
      </c>
      <c r="U429" s="67" t="s">
        <v>1303</v>
      </c>
      <c r="V429" s="48">
        <v>0.0</v>
      </c>
      <c r="W429" s="68">
        <v>0.0</v>
      </c>
      <c r="X429" s="50" t="s">
        <v>1304</v>
      </c>
      <c r="Y429" s="50" t="s">
        <v>1305</v>
      </c>
    </row>
    <row r="430">
      <c r="A430" s="65">
        <f>ROW()-ROW(Table_Actions[N])</f>
        <v>194</v>
      </c>
      <c r="B430" s="54" t="s">
        <v>1557</v>
      </c>
      <c r="C430" s="62" t="b">
        <v>0</v>
      </c>
      <c r="D430" s="63" t="s">
        <v>1558</v>
      </c>
      <c r="E430" s="63" t="s">
        <v>361</v>
      </c>
      <c r="F430" s="63" t="s">
        <v>364</v>
      </c>
      <c r="G430" s="63" t="s">
        <v>732</v>
      </c>
      <c r="H430" s="63" t="s">
        <v>1294</v>
      </c>
      <c r="I430" s="66" t="s">
        <v>730</v>
      </c>
      <c r="J430" s="63" t="s">
        <v>1295</v>
      </c>
      <c r="K430" s="63" t="s">
        <v>731</v>
      </c>
      <c r="L430" s="63" t="s">
        <v>1296</v>
      </c>
      <c r="M430" s="63" t="s">
        <v>1297</v>
      </c>
      <c r="N430" s="63" t="s">
        <v>1298</v>
      </c>
      <c r="O430" s="63" t="s">
        <v>1299</v>
      </c>
      <c r="P430" s="63" t="s">
        <v>1300</v>
      </c>
      <c r="Q430" s="50" t="s">
        <v>1301</v>
      </c>
      <c r="R430" s="50" t="s">
        <v>1559</v>
      </c>
      <c r="S430" s="48" t="s">
        <v>1560</v>
      </c>
      <c r="T430" s="67" t="s">
        <v>1303</v>
      </c>
      <c r="U430" s="67" t="s">
        <v>1303</v>
      </c>
      <c r="V430" s="48">
        <v>0.0</v>
      </c>
      <c r="W430" s="68">
        <v>0.0</v>
      </c>
      <c r="X430" s="50" t="s">
        <v>1304</v>
      </c>
      <c r="Y430" s="50" t="s">
        <v>1305</v>
      </c>
    </row>
    <row r="431">
      <c r="A431" s="65">
        <f>ROW()-ROW(Table_Actions[N])</f>
        <v>195</v>
      </c>
      <c r="B431" s="54" t="s">
        <v>1561</v>
      </c>
      <c r="C431" s="62" t="b">
        <v>0</v>
      </c>
      <c r="D431" s="63" t="s">
        <v>1310</v>
      </c>
      <c r="E431" s="63" t="s">
        <v>361</v>
      </c>
      <c r="F431" s="63" t="s">
        <v>364</v>
      </c>
      <c r="G431" s="63" t="s">
        <v>732</v>
      </c>
      <c r="H431" s="63" t="s">
        <v>1294</v>
      </c>
      <c r="I431" s="66" t="s">
        <v>1562</v>
      </c>
      <c r="J431" s="63" t="s">
        <v>1295</v>
      </c>
      <c r="K431" s="63" t="s">
        <v>731</v>
      </c>
      <c r="L431" s="63" t="s">
        <v>1296</v>
      </c>
      <c r="M431" s="63" t="s">
        <v>1297</v>
      </c>
      <c r="N431" s="63" t="s">
        <v>1298</v>
      </c>
      <c r="O431" s="63" t="s">
        <v>1299</v>
      </c>
      <c r="P431" s="63" t="s">
        <v>1300</v>
      </c>
      <c r="Q431" s="50" t="s">
        <v>1301</v>
      </c>
      <c r="R431" s="50" t="s">
        <v>1302</v>
      </c>
      <c r="S431" s="48"/>
      <c r="T431" s="67" t="s">
        <v>1303</v>
      </c>
      <c r="U431" s="67" t="s">
        <v>1303</v>
      </c>
      <c r="V431" s="48">
        <v>0.0</v>
      </c>
      <c r="W431" s="68">
        <v>0.0</v>
      </c>
      <c r="X431" s="50" t="s">
        <v>1304</v>
      </c>
      <c r="Y431" s="50" t="s">
        <v>1305</v>
      </c>
    </row>
    <row r="432">
      <c r="A432" s="65">
        <f>ROW()-ROW(Table_Actions[N])</f>
        <v>196</v>
      </c>
      <c r="B432" s="54" t="s">
        <v>1563</v>
      </c>
      <c r="C432" s="62" t="b">
        <v>1</v>
      </c>
      <c r="D432" s="63" t="s">
        <v>1564</v>
      </c>
      <c r="E432" s="63" t="s">
        <v>511</v>
      </c>
      <c r="F432" s="63" t="s">
        <v>364</v>
      </c>
      <c r="G432" s="63" t="s">
        <v>732</v>
      </c>
      <c r="H432" s="63" t="s">
        <v>1294</v>
      </c>
      <c r="I432" s="66" t="s">
        <v>730</v>
      </c>
      <c r="J432" s="63" t="s">
        <v>1295</v>
      </c>
      <c r="K432" s="63" t="s">
        <v>731</v>
      </c>
      <c r="L432" s="63" t="s">
        <v>1296</v>
      </c>
      <c r="M432" s="63" t="s">
        <v>1297</v>
      </c>
      <c r="N432" s="63" t="s">
        <v>1298</v>
      </c>
      <c r="O432" s="63" t="s">
        <v>1299</v>
      </c>
      <c r="P432" s="63" t="s">
        <v>1300</v>
      </c>
      <c r="Q432" s="50" t="s">
        <v>1301</v>
      </c>
      <c r="R432" s="50" t="s">
        <v>1302</v>
      </c>
      <c r="S432" s="48" t="s">
        <v>1565</v>
      </c>
      <c r="T432" s="67" t="s">
        <v>1303</v>
      </c>
      <c r="U432" s="67" t="s">
        <v>1303</v>
      </c>
      <c r="V432" s="48">
        <v>0.0</v>
      </c>
      <c r="W432" s="68">
        <v>0.0</v>
      </c>
      <c r="X432" s="50" t="s">
        <v>1304</v>
      </c>
      <c r="Y432" s="50" t="s">
        <v>1305</v>
      </c>
    </row>
    <row r="433">
      <c r="A433" s="65">
        <f>ROW()-ROW(Table_Actions[N])</f>
        <v>197</v>
      </c>
      <c r="B433" s="54" t="s">
        <v>1566</v>
      </c>
      <c r="C433" s="62" t="b">
        <v>0</v>
      </c>
      <c r="D433" s="63" t="s">
        <v>1350</v>
      </c>
      <c r="E433" s="63" t="s">
        <v>361</v>
      </c>
      <c r="F433" s="63" t="s">
        <v>364</v>
      </c>
      <c r="G433" s="63" t="s">
        <v>732</v>
      </c>
      <c r="H433" s="63" t="s">
        <v>1294</v>
      </c>
      <c r="I433" s="66" t="s">
        <v>730</v>
      </c>
      <c r="J433" s="63" t="s">
        <v>1295</v>
      </c>
      <c r="K433" s="63" t="s">
        <v>731</v>
      </c>
      <c r="L433" s="63" t="s">
        <v>1353</v>
      </c>
      <c r="M433" s="63" t="s">
        <v>1297</v>
      </c>
      <c r="N433" s="63" t="s">
        <v>1567</v>
      </c>
      <c r="O433" s="63" t="s">
        <v>1299</v>
      </c>
      <c r="P433" s="63" t="s">
        <v>1300</v>
      </c>
      <c r="Q433" s="50" t="s">
        <v>1301</v>
      </c>
      <c r="R433" s="50" t="s">
        <v>1302</v>
      </c>
      <c r="S433" s="48"/>
      <c r="T433" s="67" t="s">
        <v>1303</v>
      </c>
      <c r="U433" s="67" t="s">
        <v>1303</v>
      </c>
      <c r="V433" s="48">
        <v>0.0</v>
      </c>
      <c r="W433" s="68">
        <v>0.0</v>
      </c>
      <c r="X433" s="50" t="s">
        <v>1304</v>
      </c>
      <c r="Y433" s="50" t="s">
        <v>1305</v>
      </c>
    </row>
    <row r="434">
      <c r="A434" s="65">
        <f>ROW()-ROW(Table_Actions[N])</f>
        <v>198</v>
      </c>
      <c r="B434" s="54" t="s">
        <v>1568</v>
      </c>
      <c r="C434" s="62" t="b">
        <v>0</v>
      </c>
      <c r="D434" s="63" t="s">
        <v>1310</v>
      </c>
      <c r="E434" s="63" t="s">
        <v>361</v>
      </c>
      <c r="F434" s="63" t="s">
        <v>364</v>
      </c>
      <c r="G434" s="63" t="s">
        <v>732</v>
      </c>
      <c r="H434" s="63" t="s">
        <v>1294</v>
      </c>
      <c r="I434" s="66" t="s">
        <v>1181</v>
      </c>
      <c r="J434" s="63" t="s">
        <v>1295</v>
      </c>
      <c r="K434" s="63" t="s">
        <v>731</v>
      </c>
      <c r="L434" s="63" t="s">
        <v>1296</v>
      </c>
      <c r="M434" s="63" t="s">
        <v>1297</v>
      </c>
      <c r="N434" s="63" t="s">
        <v>1298</v>
      </c>
      <c r="O434" s="63" t="s">
        <v>1299</v>
      </c>
      <c r="P434" s="63" t="s">
        <v>1300</v>
      </c>
      <c r="Q434" s="50" t="s">
        <v>1301</v>
      </c>
      <c r="R434" s="50" t="s">
        <v>1302</v>
      </c>
      <c r="T434" s="67" t="s">
        <v>1303</v>
      </c>
      <c r="U434" s="67" t="s">
        <v>1303</v>
      </c>
      <c r="V434" s="48">
        <v>0.0</v>
      </c>
      <c r="W434" s="68">
        <v>0.0</v>
      </c>
      <c r="X434" s="50" t="s">
        <v>1304</v>
      </c>
      <c r="Y434" s="50" t="s">
        <v>1305</v>
      </c>
    </row>
    <row r="435">
      <c r="A435" s="65">
        <f>ROW()-ROW(Table_Actions[N])</f>
        <v>199</v>
      </c>
      <c r="B435" s="54" t="s">
        <v>926</v>
      </c>
      <c r="C435" s="62" t="b">
        <v>0</v>
      </c>
      <c r="D435" s="63" t="s">
        <v>1350</v>
      </c>
      <c r="E435" s="63" t="s">
        <v>361</v>
      </c>
      <c r="F435" s="63" t="s">
        <v>364</v>
      </c>
      <c r="G435" s="63" t="s">
        <v>732</v>
      </c>
      <c r="H435" s="63" t="s">
        <v>1294</v>
      </c>
      <c r="I435" s="66" t="s">
        <v>730</v>
      </c>
      <c r="J435" s="63" t="s">
        <v>1295</v>
      </c>
      <c r="K435" s="63" t="s">
        <v>731</v>
      </c>
      <c r="L435" s="63" t="s">
        <v>1353</v>
      </c>
      <c r="M435" s="63" t="s">
        <v>1297</v>
      </c>
      <c r="N435" s="63" t="s">
        <v>1569</v>
      </c>
      <c r="O435" s="63" t="s">
        <v>1299</v>
      </c>
      <c r="P435" s="63" t="s">
        <v>1300</v>
      </c>
      <c r="Q435" s="50" t="s">
        <v>1301</v>
      </c>
      <c r="R435" s="50" t="s">
        <v>1302</v>
      </c>
      <c r="T435" s="67" t="s">
        <v>1303</v>
      </c>
      <c r="U435" s="67" t="s">
        <v>1303</v>
      </c>
      <c r="V435" s="48">
        <v>0.0</v>
      </c>
      <c r="W435" s="68">
        <v>0.0</v>
      </c>
      <c r="X435" s="50" t="s">
        <v>1304</v>
      </c>
      <c r="Y435" s="50" t="s">
        <v>1305</v>
      </c>
    </row>
    <row r="436">
      <c r="A436" s="65">
        <f>ROW()-ROW(Table_Actions[N])</f>
        <v>200</v>
      </c>
      <c r="B436" s="54" t="s">
        <v>927</v>
      </c>
      <c r="C436" s="62" t="b">
        <v>0</v>
      </c>
      <c r="D436" s="63" t="s">
        <v>1350</v>
      </c>
      <c r="E436" s="63" t="s">
        <v>361</v>
      </c>
      <c r="F436" s="63" t="s">
        <v>364</v>
      </c>
      <c r="G436" s="63" t="s">
        <v>732</v>
      </c>
      <c r="H436" s="63" t="s">
        <v>1294</v>
      </c>
      <c r="I436" s="66" t="s">
        <v>730</v>
      </c>
      <c r="J436" s="63" t="s">
        <v>1295</v>
      </c>
      <c r="K436" s="63" t="s">
        <v>731</v>
      </c>
      <c r="L436" s="63" t="s">
        <v>1353</v>
      </c>
      <c r="M436" s="63" t="s">
        <v>1297</v>
      </c>
      <c r="N436" s="63" t="s">
        <v>1570</v>
      </c>
      <c r="O436" s="63" t="s">
        <v>1299</v>
      </c>
      <c r="P436" s="63" t="s">
        <v>1300</v>
      </c>
      <c r="Q436" s="50" t="s">
        <v>1301</v>
      </c>
      <c r="R436" s="50" t="s">
        <v>1302</v>
      </c>
      <c r="T436" s="67" t="s">
        <v>1303</v>
      </c>
      <c r="U436" s="67" t="s">
        <v>1303</v>
      </c>
      <c r="V436" s="48">
        <v>0.0</v>
      </c>
      <c r="W436" s="68">
        <v>0.0</v>
      </c>
      <c r="X436" s="50" t="s">
        <v>1304</v>
      </c>
      <c r="Y436" s="50" t="s">
        <v>1305</v>
      </c>
    </row>
    <row r="437">
      <c r="A437" s="65">
        <f>ROW()-ROW(Table_Actions[N])</f>
        <v>201</v>
      </c>
      <c r="B437" s="54" t="s">
        <v>1571</v>
      </c>
      <c r="C437" s="62" t="b">
        <v>0</v>
      </c>
      <c r="D437" s="63" t="s">
        <v>1326</v>
      </c>
      <c r="E437" s="63" t="s">
        <v>549</v>
      </c>
      <c r="F437" s="63" t="s">
        <v>364</v>
      </c>
      <c r="G437" s="63" t="s">
        <v>13</v>
      </c>
      <c r="H437" s="63" t="s">
        <v>1294</v>
      </c>
      <c r="I437" s="66" t="s">
        <v>730</v>
      </c>
      <c r="J437" s="63" t="s">
        <v>1295</v>
      </c>
      <c r="K437" s="63" t="s">
        <v>731</v>
      </c>
      <c r="L437" s="63" t="s">
        <v>1296</v>
      </c>
      <c r="M437" s="63" t="s">
        <v>1297</v>
      </c>
      <c r="N437" s="63" t="s">
        <v>1298</v>
      </c>
      <c r="O437" s="63" t="s">
        <v>1299</v>
      </c>
      <c r="P437" s="63" t="s">
        <v>1300</v>
      </c>
      <c r="Q437" s="50" t="s">
        <v>1301</v>
      </c>
      <c r="R437" s="50" t="s">
        <v>1302</v>
      </c>
      <c r="T437" s="67" t="s">
        <v>1303</v>
      </c>
      <c r="U437" s="67" t="s">
        <v>1303</v>
      </c>
      <c r="V437" s="48">
        <v>0.0</v>
      </c>
      <c r="W437" s="68">
        <v>0.0</v>
      </c>
      <c r="X437" s="50" t="s">
        <v>1304</v>
      </c>
      <c r="Y437" s="50" t="s">
        <v>1305</v>
      </c>
    </row>
    <row r="438">
      <c r="A438" s="65">
        <f>ROW()-ROW(Table_Actions[N])</f>
        <v>202</v>
      </c>
      <c r="B438" s="54" t="s">
        <v>1572</v>
      </c>
      <c r="C438" s="62" t="b">
        <v>0</v>
      </c>
      <c r="D438" s="63" t="s">
        <v>1350</v>
      </c>
      <c r="E438" s="63" t="s">
        <v>361</v>
      </c>
      <c r="F438" s="63" t="s">
        <v>364</v>
      </c>
      <c r="G438" s="63" t="s">
        <v>732</v>
      </c>
      <c r="H438" s="63" t="s">
        <v>1294</v>
      </c>
      <c r="I438" s="66" t="s">
        <v>730</v>
      </c>
      <c r="J438" s="63" t="s">
        <v>1295</v>
      </c>
      <c r="K438" s="63" t="s">
        <v>731</v>
      </c>
      <c r="L438" s="63" t="s">
        <v>1573</v>
      </c>
      <c r="M438" s="63" t="s">
        <v>1297</v>
      </c>
      <c r="N438" s="63" t="s">
        <v>1298</v>
      </c>
      <c r="O438" s="63" t="s">
        <v>1299</v>
      </c>
      <c r="P438" s="63" t="s">
        <v>1300</v>
      </c>
      <c r="Q438" s="50" t="s">
        <v>1301</v>
      </c>
      <c r="R438" s="50" t="s">
        <v>1302</v>
      </c>
      <c r="T438" s="67" t="s">
        <v>1303</v>
      </c>
      <c r="U438" s="67" t="s">
        <v>1303</v>
      </c>
      <c r="V438" s="48">
        <v>0.0</v>
      </c>
      <c r="W438" s="68">
        <v>0.0</v>
      </c>
      <c r="X438" s="50" t="s">
        <v>1304</v>
      </c>
      <c r="Y438" s="50" t="s">
        <v>1305</v>
      </c>
    </row>
    <row r="439">
      <c r="A439" s="65">
        <f>ROW()-ROW(Table_Actions[N])</f>
        <v>203</v>
      </c>
      <c r="B439" s="54" t="s">
        <v>1186</v>
      </c>
      <c r="C439" s="62" t="b">
        <v>0</v>
      </c>
      <c r="D439" s="63" t="s">
        <v>1318</v>
      </c>
      <c r="E439" s="63" t="s">
        <v>553</v>
      </c>
      <c r="F439" s="63" t="s">
        <v>364</v>
      </c>
      <c r="G439" s="63" t="s">
        <v>732</v>
      </c>
      <c r="H439" s="63" t="s">
        <v>1294</v>
      </c>
      <c r="I439" s="66" t="s">
        <v>730</v>
      </c>
      <c r="J439" s="63" t="s">
        <v>1295</v>
      </c>
      <c r="K439" s="63" t="s">
        <v>731</v>
      </c>
      <c r="L439" s="63" t="s">
        <v>1296</v>
      </c>
      <c r="M439" s="63" t="s">
        <v>1297</v>
      </c>
      <c r="N439" s="63" t="s">
        <v>1298</v>
      </c>
      <c r="O439" s="63" t="s">
        <v>1299</v>
      </c>
      <c r="P439" s="63" t="s">
        <v>1300</v>
      </c>
      <c r="Q439" s="50" t="s">
        <v>1301</v>
      </c>
      <c r="R439" s="50" t="s">
        <v>1302</v>
      </c>
      <c r="S439" s="48"/>
      <c r="T439" s="67" t="s">
        <v>1303</v>
      </c>
      <c r="U439" s="67" t="s">
        <v>1303</v>
      </c>
      <c r="V439" s="48">
        <v>0.0</v>
      </c>
      <c r="W439" s="68">
        <v>0.0</v>
      </c>
      <c r="X439" s="50" t="s">
        <v>1304</v>
      </c>
      <c r="Y439" s="50" t="s">
        <v>1305</v>
      </c>
    </row>
    <row r="440">
      <c r="A440" s="65">
        <f>ROW()-ROW(Table_Actions[N])</f>
        <v>204</v>
      </c>
      <c r="B440" s="54" t="s">
        <v>1574</v>
      </c>
      <c r="C440" s="62" t="b">
        <v>0</v>
      </c>
      <c r="D440" s="63" t="s">
        <v>1310</v>
      </c>
      <c r="E440" s="63" t="s">
        <v>361</v>
      </c>
      <c r="F440" s="63" t="s">
        <v>364</v>
      </c>
      <c r="G440" s="63" t="s">
        <v>732</v>
      </c>
      <c r="H440" s="63" t="s">
        <v>1294</v>
      </c>
      <c r="I440" s="66" t="s">
        <v>1185</v>
      </c>
      <c r="J440" s="63" t="s">
        <v>1295</v>
      </c>
      <c r="K440" s="63" t="s">
        <v>731</v>
      </c>
      <c r="L440" s="63" t="s">
        <v>1296</v>
      </c>
      <c r="M440" s="63" t="s">
        <v>1297</v>
      </c>
      <c r="N440" s="63" t="s">
        <v>1298</v>
      </c>
      <c r="O440" s="63" t="s">
        <v>1299</v>
      </c>
      <c r="P440" s="63" t="s">
        <v>1300</v>
      </c>
      <c r="Q440" s="50" t="s">
        <v>1301</v>
      </c>
      <c r="R440" s="50" t="s">
        <v>1302</v>
      </c>
      <c r="S440" s="48"/>
      <c r="T440" s="67" t="s">
        <v>1303</v>
      </c>
      <c r="U440" s="67" t="s">
        <v>1303</v>
      </c>
      <c r="V440" s="48">
        <v>0.0</v>
      </c>
      <c r="W440" s="68">
        <v>0.0</v>
      </c>
      <c r="X440" s="50" t="s">
        <v>1304</v>
      </c>
      <c r="Y440" s="50" t="s">
        <v>1305</v>
      </c>
    </row>
    <row r="441">
      <c r="A441" s="65">
        <f>ROW()-ROW(Table_Actions[N])</f>
        <v>205</v>
      </c>
      <c r="B441" s="54" t="s">
        <v>1575</v>
      </c>
      <c r="C441" s="62" t="b">
        <v>0</v>
      </c>
      <c r="D441" s="63" t="s">
        <v>1564</v>
      </c>
      <c r="E441" s="63" t="s">
        <v>367</v>
      </c>
      <c r="F441" s="63" t="s">
        <v>364</v>
      </c>
      <c r="G441" s="63" t="s">
        <v>732</v>
      </c>
      <c r="H441" s="63" t="s">
        <v>1294</v>
      </c>
      <c r="I441" s="66" t="s">
        <v>730</v>
      </c>
      <c r="J441" s="63" t="s">
        <v>1295</v>
      </c>
      <c r="K441" s="63" t="s">
        <v>731</v>
      </c>
      <c r="L441" s="63" t="s">
        <v>1296</v>
      </c>
      <c r="M441" s="63" t="s">
        <v>1297</v>
      </c>
      <c r="N441" s="63" t="s">
        <v>1298</v>
      </c>
      <c r="O441" s="63" t="s">
        <v>1299</v>
      </c>
      <c r="P441" s="63" t="s">
        <v>1300</v>
      </c>
      <c r="Q441" s="50" t="s">
        <v>1301</v>
      </c>
      <c r="R441" s="50" t="s">
        <v>1302</v>
      </c>
      <c r="S441" s="48" t="s">
        <v>1576</v>
      </c>
      <c r="T441" s="67" t="s">
        <v>1303</v>
      </c>
      <c r="U441" s="67" t="s">
        <v>1303</v>
      </c>
      <c r="V441" s="48">
        <v>0.0</v>
      </c>
      <c r="W441" s="68">
        <v>0.0</v>
      </c>
      <c r="X441" s="50" t="s">
        <v>1304</v>
      </c>
      <c r="Y441" s="50" t="s">
        <v>1305</v>
      </c>
    </row>
    <row r="442">
      <c r="A442" s="65">
        <f>ROW()-ROW(Table_Actions[N])</f>
        <v>206</v>
      </c>
      <c r="B442" s="54" t="s">
        <v>1577</v>
      </c>
      <c r="C442" s="62" t="b">
        <v>1</v>
      </c>
      <c r="D442" s="63" t="s">
        <v>1372</v>
      </c>
      <c r="E442" s="63" t="s">
        <v>553</v>
      </c>
      <c r="F442" s="63" t="s">
        <v>364</v>
      </c>
      <c r="G442" s="63" t="s">
        <v>732</v>
      </c>
      <c r="H442" s="63" t="s">
        <v>1294</v>
      </c>
      <c r="I442" s="66" t="s">
        <v>730</v>
      </c>
      <c r="J442" s="63" t="s">
        <v>1295</v>
      </c>
      <c r="K442" s="63" t="s">
        <v>731</v>
      </c>
      <c r="L442" s="63" t="s">
        <v>1296</v>
      </c>
      <c r="M442" s="63" t="s">
        <v>1297</v>
      </c>
      <c r="N442" s="63" t="s">
        <v>1298</v>
      </c>
      <c r="O442" s="63" t="s">
        <v>1521</v>
      </c>
      <c r="P442" s="63" t="s">
        <v>1300</v>
      </c>
      <c r="Q442" s="50" t="s">
        <v>1301</v>
      </c>
      <c r="R442" s="50" t="s">
        <v>1302</v>
      </c>
      <c r="S442" s="48"/>
      <c r="T442" s="67" t="s">
        <v>1303</v>
      </c>
      <c r="U442" s="67" t="s">
        <v>1303</v>
      </c>
      <c r="V442" s="48">
        <v>0.0</v>
      </c>
      <c r="W442" s="68">
        <v>0.0</v>
      </c>
      <c r="X442" s="50" t="s">
        <v>1304</v>
      </c>
      <c r="Y442" s="50" t="s">
        <v>1305</v>
      </c>
    </row>
    <row r="443">
      <c r="A443" s="65">
        <f>ROW()-ROW(Table_Actions[N])</f>
        <v>207</v>
      </c>
      <c r="B443" s="54" t="s">
        <v>1578</v>
      </c>
      <c r="C443" s="62" t="b">
        <v>1</v>
      </c>
      <c r="D443" s="63" t="s">
        <v>1350</v>
      </c>
      <c r="E443" s="63" t="s">
        <v>361</v>
      </c>
      <c r="F443" s="63" t="s">
        <v>364</v>
      </c>
      <c r="G443" s="63" t="s">
        <v>732</v>
      </c>
      <c r="H443" s="63" t="s">
        <v>1294</v>
      </c>
      <c r="I443" s="66" t="s">
        <v>730</v>
      </c>
      <c r="J443" s="63" t="s">
        <v>1295</v>
      </c>
      <c r="K443" s="63" t="s">
        <v>731</v>
      </c>
      <c r="L443" s="63" t="s">
        <v>1579</v>
      </c>
      <c r="M443" s="63" t="s">
        <v>1297</v>
      </c>
      <c r="N443" s="63" t="s">
        <v>1298</v>
      </c>
      <c r="O443" s="63" t="s">
        <v>1299</v>
      </c>
      <c r="P443" s="63" t="s">
        <v>1300</v>
      </c>
      <c r="Q443" s="50" t="s">
        <v>1301</v>
      </c>
      <c r="R443" s="50" t="s">
        <v>1302</v>
      </c>
      <c r="S443" s="48"/>
      <c r="T443" s="67" t="s">
        <v>1303</v>
      </c>
      <c r="U443" s="67" t="s">
        <v>1303</v>
      </c>
      <c r="V443" s="48">
        <v>0.0</v>
      </c>
      <c r="W443" s="68">
        <v>0.0</v>
      </c>
      <c r="X443" s="50" t="s">
        <v>1304</v>
      </c>
      <c r="Y443" s="50" t="s">
        <v>1305</v>
      </c>
    </row>
    <row r="444">
      <c r="A444" s="65">
        <f>ROW()-ROW(Table_Actions[N])</f>
        <v>208</v>
      </c>
      <c r="B444" s="54" t="s">
        <v>1580</v>
      </c>
      <c r="C444" s="62" t="b">
        <v>1</v>
      </c>
      <c r="D444" s="63" t="s">
        <v>1581</v>
      </c>
      <c r="E444" s="63" t="s">
        <v>361</v>
      </c>
      <c r="F444" s="63" t="s">
        <v>364</v>
      </c>
      <c r="G444" s="63" t="s">
        <v>732</v>
      </c>
      <c r="H444" s="63" t="s">
        <v>1294</v>
      </c>
      <c r="I444" s="66" t="s">
        <v>730</v>
      </c>
      <c r="J444" s="63" t="s">
        <v>1295</v>
      </c>
      <c r="K444" s="63" t="s">
        <v>731</v>
      </c>
      <c r="L444" s="63" t="s">
        <v>1296</v>
      </c>
      <c r="M444" s="63" t="s">
        <v>1297</v>
      </c>
      <c r="N444" s="63" t="s">
        <v>1298</v>
      </c>
      <c r="O444" s="63" t="s">
        <v>1299</v>
      </c>
      <c r="P444" s="63" t="s">
        <v>1300</v>
      </c>
      <c r="Q444" s="50" t="s">
        <v>1301</v>
      </c>
      <c r="R444" s="50" t="s">
        <v>1302</v>
      </c>
      <c r="S444" s="48" t="s">
        <v>1582</v>
      </c>
      <c r="T444" s="67" t="s">
        <v>1303</v>
      </c>
      <c r="U444" s="67" t="s">
        <v>1303</v>
      </c>
      <c r="V444" s="48">
        <v>0.0</v>
      </c>
      <c r="W444" s="68">
        <v>0.0</v>
      </c>
      <c r="X444" s="50" t="s">
        <v>1304</v>
      </c>
      <c r="Y444" s="50" t="s">
        <v>1305</v>
      </c>
    </row>
    <row r="445">
      <c r="A445" s="65">
        <f>ROW()-ROW(Table_Actions[N])</f>
        <v>209</v>
      </c>
      <c r="B445" s="54" t="s">
        <v>1583</v>
      </c>
      <c r="C445" s="62" t="b">
        <v>1</v>
      </c>
      <c r="D445" s="63" t="s">
        <v>1581</v>
      </c>
      <c r="E445" s="63" t="s">
        <v>361</v>
      </c>
      <c r="F445" s="63" t="s">
        <v>364</v>
      </c>
      <c r="G445" s="63" t="s">
        <v>732</v>
      </c>
      <c r="H445" s="63" t="s">
        <v>1294</v>
      </c>
      <c r="I445" s="66" t="s">
        <v>730</v>
      </c>
      <c r="J445" s="63" t="s">
        <v>1295</v>
      </c>
      <c r="K445" s="63" t="s">
        <v>731</v>
      </c>
      <c r="L445" s="63" t="s">
        <v>1296</v>
      </c>
      <c r="M445" s="63" t="s">
        <v>1297</v>
      </c>
      <c r="N445" s="63" t="s">
        <v>1298</v>
      </c>
      <c r="O445" s="63" t="s">
        <v>1299</v>
      </c>
      <c r="P445" s="63" t="s">
        <v>1300</v>
      </c>
      <c r="Q445" s="50" t="s">
        <v>1301</v>
      </c>
      <c r="R445" s="50" t="s">
        <v>1302</v>
      </c>
      <c r="S445" s="48" t="s">
        <v>1584</v>
      </c>
      <c r="T445" s="67" t="s">
        <v>1303</v>
      </c>
      <c r="U445" s="67" t="s">
        <v>1303</v>
      </c>
      <c r="V445" s="48">
        <v>0.0</v>
      </c>
      <c r="W445" s="68">
        <v>0.0</v>
      </c>
      <c r="X445" s="50" t="s">
        <v>1304</v>
      </c>
      <c r="Y445" s="50" t="s">
        <v>1305</v>
      </c>
    </row>
    <row r="446">
      <c r="A446" s="65">
        <f>ROW()-ROW(Table_Actions[N])</f>
        <v>210</v>
      </c>
      <c r="B446" s="54" t="s">
        <v>1585</v>
      </c>
      <c r="C446" s="72" t="b">
        <v>0</v>
      </c>
      <c r="D446" s="63" t="s">
        <v>1504</v>
      </c>
      <c r="E446" s="55" t="s">
        <v>549</v>
      </c>
      <c r="F446" s="55" t="s">
        <v>364</v>
      </c>
      <c r="G446" s="55" t="s">
        <v>13</v>
      </c>
      <c r="H446" s="55" t="s">
        <v>1294</v>
      </c>
      <c r="I446" s="70" t="s">
        <v>730</v>
      </c>
      <c r="J446" s="55" t="s">
        <v>1295</v>
      </c>
      <c r="K446" s="55" t="s">
        <v>731</v>
      </c>
      <c r="L446" s="55" t="s">
        <v>1296</v>
      </c>
      <c r="M446" s="63" t="s">
        <v>1297</v>
      </c>
      <c r="N446" s="55" t="s">
        <v>1298</v>
      </c>
      <c r="O446" s="55" t="s">
        <v>1299</v>
      </c>
      <c r="P446" s="55" t="s">
        <v>1300</v>
      </c>
      <c r="Q446" s="55" t="s">
        <v>1301</v>
      </c>
      <c r="R446" s="55" t="s">
        <v>1302</v>
      </c>
      <c r="S446" s="75"/>
      <c r="T446" s="67" t="s">
        <v>1303</v>
      </c>
      <c r="U446" s="67" t="s">
        <v>1303</v>
      </c>
      <c r="V446" s="48">
        <v>0.0</v>
      </c>
      <c r="W446" s="68">
        <v>0.0</v>
      </c>
      <c r="X446" s="50" t="s">
        <v>1304</v>
      </c>
      <c r="Y446" s="55" t="s">
        <v>1305</v>
      </c>
    </row>
    <row r="447">
      <c r="A447" s="65">
        <f>ROW()-ROW(Table_Actions[N])</f>
        <v>211</v>
      </c>
      <c r="B447" s="54" t="s">
        <v>1586</v>
      </c>
      <c r="C447" s="62" t="b">
        <v>1</v>
      </c>
      <c r="D447" s="63" t="s">
        <v>1581</v>
      </c>
      <c r="E447" s="63" t="s">
        <v>361</v>
      </c>
      <c r="F447" s="63" t="s">
        <v>364</v>
      </c>
      <c r="G447" s="63" t="s">
        <v>732</v>
      </c>
      <c r="H447" s="63" t="s">
        <v>1294</v>
      </c>
      <c r="I447" s="66" t="s">
        <v>730</v>
      </c>
      <c r="J447" s="63" t="s">
        <v>1295</v>
      </c>
      <c r="K447" s="63" t="s">
        <v>731</v>
      </c>
      <c r="L447" s="63" t="s">
        <v>1296</v>
      </c>
      <c r="M447" s="63" t="s">
        <v>1297</v>
      </c>
      <c r="N447" s="63" t="s">
        <v>1298</v>
      </c>
      <c r="O447" s="63" t="s">
        <v>1299</v>
      </c>
      <c r="P447" s="63" t="s">
        <v>1300</v>
      </c>
      <c r="Q447" s="50" t="s">
        <v>1301</v>
      </c>
      <c r="R447" s="50" t="s">
        <v>1302</v>
      </c>
      <c r="S447" s="48" t="s">
        <v>1587</v>
      </c>
      <c r="T447" s="67" t="s">
        <v>1303</v>
      </c>
      <c r="U447" s="67" t="s">
        <v>1303</v>
      </c>
      <c r="V447" s="48">
        <v>0.0</v>
      </c>
      <c r="W447" s="68">
        <v>0.0</v>
      </c>
      <c r="X447" s="50" t="s">
        <v>1304</v>
      </c>
      <c r="Y447" s="50" t="s">
        <v>1305</v>
      </c>
    </row>
    <row r="448">
      <c r="A448" s="65">
        <f>ROW()-ROW(Table_Actions[N])</f>
        <v>212</v>
      </c>
      <c r="B448" s="54" t="s">
        <v>1588</v>
      </c>
      <c r="C448" s="62" t="b">
        <v>1</v>
      </c>
      <c r="D448" s="63" t="s">
        <v>1564</v>
      </c>
      <c r="E448" s="63" t="s">
        <v>553</v>
      </c>
      <c r="F448" s="63" t="s">
        <v>364</v>
      </c>
      <c r="G448" s="63" t="s">
        <v>732</v>
      </c>
      <c r="H448" s="63" t="s">
        <v>1294</v>
      </c>
      <c r="I448" s="66" t="s">
        <v>730</v>
      </c>
      <c r="J448" s="63" t="s">
        <v>1295</v>
      </c>
      <c r="K448" s="63" t="s">
        <v>731</v>
      </c>
      <c r="L448" s="63" t="s">
        <v>1296</v>
      </c>
      <c r="M448" s="63" t="s">
        <v>1297</v>
      </c>
      <c r="N448" s="63" t="s">
        <v>1298</v>
      </c>
      <c r="O448" s="63" t="s">
        <v>1299</v>
      </c>
      <c r="P448" s="63" t="s">
        <v>1300</v>
      </c>
      <c r="Q448" s="50" t="s">
        <v>1301</v>
      </c>
      <c r="R448" s="50" t="s">
        <v>1302</v>
      </c>
      <c r="S448" s="48" t="s">
        <v>1589</v>
      </c>
      <c r="T448" s="67" t="s">
        <v>1303</v>
      </c>
      <c r="U448" s="67" t="s">
        <v>1303</v>
      </c>
      <c r="V448" s="48">
        <v>0.0</v>
      </c>
      <c r="W448" s="68">
        <v>0.0</v>
      </c>
      <c r="X448" s="50" t="s">
        <v>1304</v>
      </c>
      <c r="Y448" s="50" t="s">
        <v>1305</v>
      </c>
    </row>
    <row r="449">
      <c r="A449" s="65">
        <f>ROW()-ROW(Table_Actions[N])</f>
        <v>213</v>
      </c>
      <c r="B449" s="54" t="s">
        <v>1590</v>
      </c>
      <c r="C449" s="62" t="b">
        <v>1</v>
      </c>
      <c r="D449" s="63" t="s">
        <v>1350</v>
      </c>
      <c r="E449" s="63" t="s">
        <v>361</v>
      </c>
      <c r="F449" s="63" t="s">
        <v>364</v>
      </c>
      <c r="G449" s="63" t="s">
        <v>732</v>
      </c>
      <c r="H449" s="63" t="s">
        <v>1294</v>
      </c>
      <c r="I449" s="66" t="s">
        <v>730</v>
      </c>
      <c r="J449" s="63" t="s">
        <v>1295</v>
      </c>
      <c r="K449" s="63" t="s">
        <v>731</v>
      </c>
      <c r="L449" s="63" t="s">
        <v>1591</v>
      </c>
      <c r="M449" s="63" t="s">
        <v>1297</v>
      </c>
      <c r="N449" s="63" t="s">
        <v>1298</v>
      </c>
      <c r="O449" s="63" t="s">
        <v>1299</v>
      </c>
      <c r="P449" s="63" t="s">
        <v>1300</v>
      </c>
      <c r="Q449" s="50" t="s">
        <v>1301</v>
      </c>
      <c r="R449" s="50" t="s">
        <v>1302</v>
      </c>
      <c r="S449" s="48"/>
      <c r="T449" s="67" t="s">
        <v>1303</v>
      </c>
      <c r="U449" s="67" t="s">
        <v>1303</v>
      </c>
      <c r="V449" s="48">
        <v>0.0</v>
      </c>
      <c r="W449" s="68">
        <v>0.0</v>
      </c>
      <c r="X449" s="50" t="s">
        <v>1304</v>
      </c>
      <c r="Y449" s="50" t="s">
        <v>1305</v>
      </c>
    </row>
    <row r="450">
      <c r="A450" s="65">
        <f>ROW()-ROW(Table_Actions[N])</f>
        <v>214</v>
      </c>
      <c r="B450" s="54" t="s">
        <v>1592</v>
      </c>
      <c r="C450" s="62" t="b">
        <v>0</v>
      </c>
      <c r="D450" s="63" t="s">
        <v>1558</v>
      </c>
      <c r="E450" s="63" t="s">
        <v>361</v>
      </c>
      <c r="F450" s="63" t="s">
        <v>364</v>
      </c>
      <c r="G450" s="63" t="s">
        <v>732</v>
      </c>
      <c r="H450" s="63" t="s">
        <v>1294</v>
      </c>
      <c r="I450" s="66" t="s">
        <v>730</v>
      </c>
      <c r="J450" s="63" t="s">
        <v>1295</v>
      </c>
      <c r="K450" s="63" t="s">
        <v>731</v>
      </c>
      <c r="L450" s="63" t="s">
        <v>1296</v>
      </c>
      <c r="M450" s="63" t="s">
        <v>1297</v>
      </c>
      <c r="N450" s="63" t="s">
        <v>1298</v>
      </c>
      <c r="O450" s="63" t="s">
        <v>1299</v>
      </c>
      <c r="P450" s="63" t="s">
        <v>1300</v>
      </c>
      <c r="Q450" s="50" t="s">
        <v>1301</v>
      </c>
      <c r="R450" s="50" t="s">
        <v>1593</v>
      </c>
      <c r="S450" s="48" t="s">
        <v>1560</v>
      </c>
      <c r="T450" s="67" t="s">
        <v>1303</v>
      </c>
      <c r="U450" s="67" t="s">
        <v>1303</v>
      </c>
      <c r="V450" s="48">
        <v>0.0</v>
      </c>
      <c r="W450" s="68">
        <v>0.0</v>
      </c>
      <c r="X450" s="50" t="s">
        <v>1304</v>
      </c>
      <c r="Y450" s="50" t="s">
        <v>1305</v>
      </c>
    </row>
    <row r="451">
      <c r="A451" s="65">
        <f>ROW()-ROW(Table_Actions[N])</f>
        <v>215</v>
      </c>
      <c r="B451" s="54" t="s">
        <v>931</v>
      </c>
      <c r="C451" s="62" t="b">
        <v>0</v>
      </c>
      <c r="D451" s="63" t="s">
        <v>1350</v>
      </c>
      <c r="E451" s="63" t="s">
        <v>361</v>
      </c>
      <c r="F451" s="63" t="s">
        <v>364</v>
      </c>
      <c r="G451" s="63" t="s">
        <v>732</v>
      </c>
      <c r="H451" s="63" t="s">
        <v>1294</v>
      </c>
      <c r="I451" s="66" t="s">
        <v>730</v>
      </c>
      <c r="J451" s="63" t="s">
        <v>1295</v>
      </c>
      <c r="K451" s="63" t="s">
        <v>731</v>
      </c>
      <c r="L451" s="63" t="s">
        <v>1594</v>
      </c>
      <c r="M451" s="63" t="s">
        <v>1297</v>
      </c>
      <c r="N451" s="63" t="s">
        <v>1298</v>
      </c>
      <c r="O451" s="63" t="s">
        <v>1299</v>
      </c>
      <c r="P451" s="63" t="s">
        <v>1300</v>
      </c>
      <c r="Q451" s="50" t="s">
        <v>1301</v>
      </c>
      <c r="R451" s="50" t="s">
        <v>1302</v>
      </c>
      <c r="S451" s="48"/>
      <c r="T451" s="67" t="s">
        <v>1303</v>
      </c>
      <c r="U451" s="67" t="s">
        <v>1303</v>
      </c>
      <c r="V451" s="48">
        <v>0.0</v>
      </c>
      <c r="W451" s="68">
        <v>0.0</v>
      </c>
      <c r="X451" s="50" t="s">
        <v>1304</v>
      </c>
      <c r="Y451" s="50" t="s">
        <v>1305</v>
      </c>
    </row>
    <row r="452">
      <c r="A452" s="65">
        <f>ROW()-ROW(Table_Actions[N])</f>
        <v>216</v>
      </c>
      <c r="B452" s="54" t="s">
        <v>1595</v>
      </c>
      <c r="C452" s="62" t="b">
        <v>1</v>
      </c>
      <c r="D452" s="63" t="s">
        <v>1350</v>
      </c>
      <c r="E452" s="63" t="s">
        <v>361</v>
      </c>
      <c r="F452" s="63" t="s">
        <v>364</v>
      </c>
      <c r="G452" s="63" t="s">
        <v>732</v>
      </c>
      <c r="H452" s="63" t="s">
        <v>1294</v>
      </c>
      <c r="I452" s="66" t="s">
        <v>730</v>
      </c>
      <c r="J452" s="63" t="s">
        <v>1295</v>
      </c>
      <c r="K452" s="63" t="s">
        <v>731</v>
      </c>
      <c r="L452" s="63" t="s">
        <v>1596</v>
      </c>
      <c r="M452" s="63" t="s">
        <v>1297</v>
      </c>
      <c r="N452" s="63" t="s">
        <v>1298</v>
      </c>
      <c r="O452" s="63" t="s">
        <v>1299</v>
      </c>
      <c r="P452" s="63" t="s">
        <v>1300</v>
      </c>
      <c r="Q452" s="50" t="s">
        <v>1301</v>
      </c>
      <c r="R452" s="50" t="s">
        <v>1302</v>
      </c>
      <c r="S452" s="48"/>
      <c r="T452" s="67" t="s">
        <v>1303</v>
      </c>
      <c r="U452" s="67" t="s">
        <v>1303</v>
      </c>
      <c r="V452" s="48">
        <v>0.0</v>
      </c>
      <c r="W452" s="68">
        <v>0.0</v>
      </c>
      <c r="X452" s="50" t="s">
        <v>1304</v>
      </c>
      <c r="Y452" s="50" t="s">
        <v>1305</v>
      </c>
    </row>
    <row r="453">
      <c r="A453" s="65">
        <f>ROW()-ROW(Table_Actions[N])</f>
        <v>217</v>
      </c>
      <c r="B453" s="54" t="s">
        <v>1597</v>
      </c>
      <c r="C453" s="62" t="b">
        <v>1</v>
      </c>
      <c r="D453" s="63" t="s">
        <v>1564</v>
      </c>
      <c r="E453" s="63" t="s">
        <v>558</v>
      </c>
      <c r="F453" s="63" t="s">
        <v>364</v>
      </c>
      <c r="G453" s="63" t="s">
        <v>732</v>
      </c>
      <c r="H453" s="63" t="s">
        <v>1294</v>
      </c>
      <c r="I453" s="66" t="s">
        <v>730</v>
      </c>
      <c r="J453" s="63" t="s">
        <v>1295</v>
      </c>
      <c r="K453" s="63" t="s">
        <v>731</v>
      </c>
      <c r="L453" s="63" t="s">
        <v>1296</v>
      </c>
      <c r="M453" s="63" t="s">
        <v>1297</v>
      </c>
      <c r="N453" s="63" t="s">
        <v>1298</v>
      </c>
      <c r="O453" s="63" t="s">
        <v>1299</v>
      </c>
      <c r="P453" s="63" t="s">
        <v>1300</v>
      </c>
      <c r="Q453" s="50" t="s">
        <v>1301</v>
      </c>
      <c r="R453" s="50" t="s">
        <v>1302</v>
      </c>
      <c r="S453" s="48" t="s">
        <v>1598</v>
      </c>
      <c r="T453" s="67" t="s">
        <v>1303</v>
      </c>
      <c r="U453" s="67" t="s">
        <v>1303</v>
      </c>
      <c r="V453" s="48">
        <v>0.0</v>
      </c>
      <c r="W453" s="68">
        <v>0.0</v>
      </c>
      <c r="X453" s="50" t="s">
        <v>1304</v>
      </c>
      <c r="Y453" s="50" t="s">
        <v>1305</v>
      </c>
    </row>
    <row r="454">
      <c r="A454" s="65">
        <f>ROW()-ROW(Table_Actions[N])</f>
        <v>218</v>
      </c>
      <c r="B454" s="54" t="s">
        <v>1599</v>
      </c>
      <c r="C454" s="62" t="b">
        <v>1</v>
      </c>
      <c r="D454" s="63" t="s">
        <v>1564</v>
      </c>
      <c r="E454" s="63" t="s">
        <v>558</v>
      </c>
      <c r="F454" s="63" t="s">
        <v>364</v>
      </c>
      <c r="G454" s="63" t="s">
        <v>732</v>
      </c>
      <c r="H454" s="63" t="s">
        <v>1294</v>
      </c>
      <c r="I454" s="66" t="s">
        <v>730</v>
      </c>
      <c r="J454" s="63" t="s">
        <v>1295</v>
      </c>
      <c r="K454" s="63" t="s">
        <v>731</v>
      </c>
      <c r="L454" s="63" t="s">
        <v>1296</v>
      </c>
      <c r="M454" s="63" t="s">
        <v>1297</v>
      </c>
      <c r="N454" s="63" t="s">
        <v>1298</v>
      </c>
      <c r="O454" s="63" t="s">
        <v>1299</v>
      </c>
      <c r="P454" s="63" t="s">
        <v>1300</v>
      </c>
      <c r="Q454" s="50" t="s">
        <v>1301</v>
      </c>
      <c r="R454" s="50" t="s">
        <v>1302</v>
      </c>
      <c r="S454" s="48" t="s">
        <v>1600</v>
      </c>
      <c r="T454" s="67" t="s">
        <v>1303</v>
      </c>
      <c r="U454" s="67" t="s">
        <v>1303</v>
      </c>
      <c r="V454" s="48">
        <v>0.0</v>
      </c>
      <c r="W454" s="68">
        <v>0.0</v>
      </c>
      <c r="X454" s="50" t="s">
        <v>1304</v>
      </c>
      <c r="Y454" s="50" t="s">
        <v>1305</v>
      </c>
    </row>
    <row r="455">
      <c r="A455" s="65">
        <f>ROW()-ROW(Table_Actions[N])</f>
        <v>219</v>
      </c>
      <c r="B455" s="54" t="s">
        <v>1601</v>
      </c>
      <c r="C455" s="62" t="b">
        <v>1</v>
      </c>
      <c r="D455" s="63" t="s">
        <v>1372</v>
      </c>
      <c r="E455" s="63" t="s">
        <v>558</v>
      </c>
      <c r="F455" s="63" t="s">
        <v>364</v>
      </c>
      <c r="G455" s="63" t="s">
        <v>732</v>
      </c>
      <c r="H455" s="63" t="s">
        <v>1294</v>
      </c>
      <c r="I455" s="66" t="s">
        <v>730</v>
      </c>
      <c r="J455" s="63" t="s">
        <v>1295</v>
      </c>
      <c r="K455" s="63" t="s">
        <v>731</v>
      </c>
      <c r="L455" s="63" t="s">
        <v>1296</v>
      </c>
      <c r="M455" s="63" t="s">
        <v>1297</v>
      </c>
      <c r="N455" s="63" t="s">
        <v>1298</v>
      </c>
      <c r="O455" s="63" t="s">
        <v>1380</v>
      </c>
      <c r="P455" s="63" t="s">
        <v>1300</v>
      </c>
      <c r="Q455" s="50" t="s">
        <v>1301</v>
      </c>
      <c r="R455" s="50" t="s">
        <v>1302</v>
      </c>
      <c r="S455" s="48"/>
      <c r="T455" s="67" t="s">
        <v>1303</v>
      </c>
      <c r="U455" s="67" t="s">
        <v>1303</v>
      </c>
      <c r="V455" s="48">
        <v>0.0</v>
      </c>
      <c r="W455" s="68">
        <v>0.0</v>
      </c>
      <c r="X455" s="50" t="s">
        <v>1304</v>
      </c>
      <c r="Y455" s="50" t="s">
        <v>1305</v>
      </c>
    </row>
    <row r="456">
      <c r="A456" s="65">
        <f>ROW()-ROW(Table_Actions[N])</f>
        <v>220</v>
      </c>
      <c r="B456" s="54" t="s">
        <v>1602</v>
      </c>
      <c r="C456" s="62" t="b">
        <v>1</v>
      </c>
      <c r="D456" s="63" t="s">
        <v>1564</v>
      </c>
      <c r="E456" s="63" t="s">
        <v>558</v>
      </c>
      <c r="F456" s="63" t="s">
        <v>364</v>
      </c>
      <c r="G456" s="63" t="s">
        <v>732</v>
      </c>
      <c r="H456" s="63" t="s">
        <v>1294</v>
      </c>
      <c r="I456" s="66" t="s">
        <v>730</v>
      </c>
      <c r="J456" s="63" t="s">
        <v>1295</v>
      </c>
      <c r="K456" s="63" t="s">
        <v>731</v>
      </c>
      <c r="L456" s="63" t="s">
        <v>1296</v>
      </c>
      <c r="M456" s="63" t="s">
        <v>1297</v>
      </c>
      <c r="N456" s="63" t="s">
        <v>1298</v>
      </c>
      <c r="O456" s="63" t="s">
        <v>1299</v>
      </c>
      <c r="P456" s="63" t="s">
        <v>1300</v>
      </c>
      <c r="Q456" s="50" t="s">
        <v>1301</v>
      </c>
      <c r="R456" s="50" t="s">
        <v>1302</v>
      </c>
      <c r="S456" s="48" t="s">
        <v>1603</v>
      </c>
      <c r="T456" s="67" t="s">
        <v>1303</v>
      </c>
      <c r="U456" s="67" t="s">
        <v>1303</v>
      </c>
      <c r="V456" s="48">
        <v>0.0</v>
      </c>
      <c r="W456" s="68">
        <v>0.0</v>
      </c>
      <c r="X456" s="50" t="s">
        <v>1304</v>
      </c>
      <c r="Y456" s="50" t="s">
        <v>1305</v>
      </c>
    </row>
    <row r="457">
      <c r="A457" s="65">
        <f>ROW()-ROW(Table_Actions[N])</f>
        <v>221</v>
      </c>
      <c r="B457" s="54" t="s">
        <v>1604</v>
      </c>
      <c r="C457" s="62" t="b">
        <v>1</v>
      </c>
      <c r="D457" s="63" t="s">
        <v>1372</v>
      </c>
      <c r="E457" s="63" t="s">
        <v>558</v>
      </c>
      <c r="F457" s="63" t="s">
        <v>364</v>
      </c>
      <c r="G457" s="63" t="s">
        <v>732</v>
      </c>
      <c r="H457" s="63" t="s">
        <v>1294</v>
      </c>
      <c r="I457" s="66" t="s">
        <v>730</v>
      </c>
      <c r="J457" s="63" t="s">
        <v>1295</v>
      </c>
      <c r="K457" s="63" t="s">
        <v>731</v>
      </c>
      <c r="L457" s="63" t="s">
        <v>1296</v>
      </c>
      <c r="M457" s="63" t="s">
        <v>1297</v>
      </c>
      <c r="N457" s="63" t="s">
        <v>1298</v>
      </c>
      <c r="O457" s="63" t="s">
        <v>1495</v>
      </c>
      <c r="P457" s="63" t="s">
        <v>1300</v>
      </c>
      <c r="Q457" s="50" t="s">
        <v>1301</v>
      </c>
      <c r="R457" s="50" t="s">
        <v>1302</v>
      </c>
      <c r="S457" s="48"/>
      <c r="T457" s="67" t="s">
        <v>1303</v>
      </c>
      <c r="U457" s="67" t="s">
        <v>1303</v>
      </c>
      <c r="V457" s="48">
        <v>0.0</v>
      </c>
      <c r="W457" s="68">
        <v>0.0</v>
      </c>
      <c r="X457" s="50" t="s">
        <v>1304</v>
      </c>
      <c r="Y457" s="50" t="s">
        <v>1305</v>
      </c>
    </row>
    <row r="458">
      <c r="A458" s="65">
        <f>ROW()-ROW(Table_Actions[N])</f>
        <v>222</v>
      </c>
      <c r="B458" s="54" t="s">
        <v>1605</v>
      </c>
      <c r="C458" s="62" t="b">
        <v>0</v>
      </c>
      <c r="D458" s="63" t="s">
        <v>1372</v>
      </c>
      <c r="E458" s="63" t="s">
        <v>558</v>
      </c>
      <c r="F458" s="63" t="s">
        <v>364</v>
      </c>
      <c r="G458" s="63" t="s">
        <v>732</v>
      </c>
      <c r="H458" s="63" t="s">
        <v>1294</v>
      </c>
      <c r="I458" s="66" t="s">
        <v>730</v>
      </c>
      <c r="J458" s="63" t="s">
        <v>1295</v>
      </c>
      <c r="K458" s="63" t="s">
        <v>731</v>
      </c>
      <c r="L458" s="63" t="s">
        <v>1296</v>
      </c>
      <c r="M458" s="63" t="s">
        <v>1297</v>
      </c>
      <c r="N458" s="63" t="s">
        <v>1298</v>
      </c>
      <c r="O458" s="63" t="s">
        <v>1375</v>
      </c>
      <c r="P458" s="63" t="s">
        <v>1300</v>
      </c>
      <c r="Q458" s="50" t="s">
        <v>1301</v>
      </c>
      <c r="R458" s="50" t="s">
        <v>1302</v>
      </c>
      <c r="S458" s="48" t="s">
        <v>1376</v>
      </c>
      <c r="T458" s="67" t="s">
        <v>1303</v>
      </c>
      <c r="U458" s="67" t="s">
        <v>1303</v>
      </c>
      <c r="V458" s="48">
        <v>0.0</v>
      </c>
      <c r="W458" s="68">
        <v>0.0</v>
      </c>
      <c r="X458" s="50" t="s">
        <v>1304</v>
      </c>
      <c r="Y458" s="50" t="s">
        <v>1305</v>
      </c>
    </row>
    <row r="459">
      <c r="A459" s="65">
        <f>ROW()-ROW(Table_Actions[N])</f>
        <v>223</v>
      </c>
      <c r="B459" s="54" t="s">
        <v>1606</v>
      </c>
      <c r="C459" s="62" t="b">
        <v>1</v>
      </c>
      <c r="D459" s="63" t="s">
        <v>1372</v>
      </c>
      <c r="E459" s="63" t="s">
        <v>558</v>
      </c>
      <c r="F459" s="63" t="s">
        <v>364</v>
      </c>
      <c r="G459" s="63" t="s">
        <v>732</v>
      </c>
      <c r="H459" s="63" t="s">
        <v>1294</v>
      </c>
      <c r="I459" s="66" t="s">
        <v>730</v>
      </c>
      <c r="J459" s="63" t="s">
        <v>1295</v>
      </c>
      <c r="K459" s="63" t="s">
        <v>731</v>
      </c>
      <c r="L459" s="63" t="s">
        <v>1296</v>
      </c>
      <c r="M459" s="63" t="s">
        <v>1297</v>
      </c>
      <c r="N459" s="63" t="s">
        <v>1298</v>
      </c>
      <c r="O459" s="63" t="s">
        <v>1521</v>
      </c>
      <c r="P459" s="63" t="s">
        <v>1300</v>
      </c>
      <c r="Q459" s="50" t="s">
        <v>1301</v>
      </c>
      <c r="R459" s="50" t="s">
        <v>1302</v>
      </c>
      <c r="S459" s="48"/>
      <c r="T459" s="67" t="s">
        <v>1303</v>
      </c>
      <c r="U459" s="67" t="s">
        <v>1303</v>
      </c>
      <c r="V459" s="48">
        <v>0.0</v>
      </c>
      <c r="W459" s="68">
        <v>0.0</v>
      </c>
      <c r="X459" s="50" t="s">
        <v>1304</v>
      </c>
      <c r="Y459" s="50" t="s">
        <v>1305</v>
      </c>
    </row>
    <row r="460">
      <c r="A460" s="65">
        <f>ROW()-ROW(Table_Actions[N])</f>
        <v>224</v>
      </c>
      <c r="B460" s="54" t="s">
        <v>1607</v>
      </c>
      <c r="C460" s="62" t="b">
        <v>0</v>
      </c>
      <c r="D460" s="63" t="s">
        <v>1516</v>
      </c>
      <c r="E460" s="63" t="s">
        <v>361</v>
      </c>
      <c r="F460" s="63" t="s">
        <v>364</v>
      </c>
      <c r="G460" s="63" t="s">
        <v>732</v>
      </c>
      <c r="H460" s="63" t="s">
        <v>1294</v>
      </c>
      <c r="I460" s="66" t="s">
        <v>730</v>
      </c>
      <c r="J460" s="63" t="s">
        <v>1295</v>
      </c>
      <c r="K460" s="63" t="s">
        <v>731</v>
      </c>
      <c r="L460" s="63" t="s">
        <v>1296</v>
      </c>
      <c r="M460" s="63" t="s">
        <v>1297</v>
      </c>
      <c r="N460" s="63" t="s">
        <v>1298</v>
      </c>
      <c r="O460" s="63" t="s">
        <v>1299</v>
      </c>
      <c r="P460" s="63" t="s">
        <v>1300</v>
      </c>
      <c r="Q460" s="50" t="s">
        <v>1608</v>
      </c>
      <c r="R460" s="50" t="s">
        <v>1302</v>
      </c>
      <c r="S460" s="48"/>
      <c r="T460" s="67" t="s">
        <v>1303</v>
      </c>
      <c r="U460" s="67" t="s">
        <v>1303</v>
      </c>
      <c r="V460" s="48">
        <v>0.0</v>
      </c>
      <c r="W460" s="68">
        <v>0.0</v>
      </c>
      <c r="X460" s="50" t="s">
        <v>1304</v>
      </c>
      <c r="Y460" s="50" t="s">
        <v>1305</v>
      </c>
    </row>
    <row r="461">
      <c r="A461" s="65">
        <f>ROW()-ROW(Table_Actions[N])</f>
        <v>225</v>
      </c>
      <c r="B461" s="54" t="s">
        <v>1609</v>
      </c>
      <c r="C461" s="62" t="b">
        <v>1</v>
      </c>
      <c r="D461" s="63" t="s">
        <v>1581</v>
      </c>
      <c r="E461" s="63" t="s">
        <v>361</v>
      </c>
      <c r="F461" s="63" t="s">
        <v>364</v>
      </c>
      <c r="G461" s="63" t="s">
        <v>732</v>
      </c>
      <c r="H461" s="63" t="s">
        <v>1294</v>
      </c>
      <c r="I461" s="66" t="s">
        <v>730</v>
      </c>
      <c r="J461" s="63" t="s">
        <v>1295</v>
      </c>
      <c r="K461" s="63" t="s">
        <v>731</v>
      </c>
      <c r="L461" s="63" t="s">
        <v>1296</v>
      </c>
      <c r="M461" s="63" t="s">
        <v>1297</v>
      </c>
      <c r="N461" s="63" t="s">
        <v>1298</v>
      </c>
      <c r="O461" s="63" t="s">
        <v>1299</v>
      </c>
      <c r="P461" s="63" t="s">
        <v>1300</v>
      </c>
      <c r="Q461" s="50" t="s">
        <v>1301</v>
      </c>
      <c r="R461" s="50" t="s">
        <v>1302</v>
      </c>
      <c r="S461" s="48" t="s">
        <v>1610</v>
      </c>
      <c r="T461" s="67" t="s">
        <v>1303</v>
      </c>
      <c r="U461" s="67" t="s">
        <v>1303</v>
      </c>
      <c r="V461" s="48">
        <v>0.0</v>
      </c>
      <c r="W461" s="68">
        <v>0.0</v>
      </c>
      <c r="X461" s="50" t="s">
        <v>1304</v>
      </c>
      <c r="Y461" s="50" t="s">
        <v>1305</v>
      </c>
    </row>
    <row r="462">
      <c r="A462" s="65">
        <f>ROW()-ROW(Table_Actions[N])</f>
        <v>226</v>
      </c>
      <c r="B462" s="54" t="s">
        <v>1611</v>
      </c>
      <c r="C462" s="62" t="b">
        <v>1</v>
      </c>
      <c r="D462" s="63" t="s">
        <v>1612</v>
      </c>
      <c r="E462" s="63" t="s">
        <v>361</v>
      </c>
      <c r="F462" s="63" t="s">
        <v>364</v>
      </c>
      <c r="G462" s="63" t="s">
        <v>732</v>
      </c>
      <c r="H462" s="63" t="s">
        <v>1294</v>
      </c>
      <c r="I462" s="66" t="s">
        <v>730</v>
      </c>
      <c r="J462" s="63" t="s">
        <v>1295</v>
      </c>
      <c r="K462" s="63" t="s">
        <v>731</v>
      </c>
      <c r="L462" s="63" t="s">
        <v>1296</v>
      </c>
      <c r="M462" s="63" t="s">
        <v>1297</v>
      </c>
      <c r="N462" s="63" t="s">
        <v>1298</v>
      </c>
      <c r="O462" s="63" t="s">
        <v>1299</v>
      </c>
      <c r="P462" s="63" t="s">
        <v>1300</v>
      </c>
      <c r="Q462" s="50" t="s">
        <v>1301</v>
      </c>
      <c r="R462" s="50" t="s">
        <v>1302</v>
      </c>
      <c r="S462" s="48"/>
      <c r="T462" s="67" t="s">
        <v>1303</v>
      </c>
      <c r="U462" s="67" t="s">
        <v>1303</v>
      </c>
      <c r="V462" s="48">
        <v>0.0</v>
      </c>
      <c r="W462" s="68">
        <v>0.0</v>
      </c>
      <c r="X462" s="50" t="s">
        <v>1304</v>
      </c>
      <c r="Y462" s="50" t="s">
        <v>1305</v>
      </c>
    </row>
    <row r="463">
      <c r="A463" s="65">
        <f>ROW()-ROW(Table_Actions[N])</f>
        <v>227</v>
      </c>
      <c r="B463" s="54" t="s">
        <v>1613</v>
      </c>
      <c r="C463" s="62" t="b">
        <v>1</v>
      </c>
      <c r="D463" s="63" t="s">
        <v>1614</v>
      </c>
      <c r="E463" s="63" t="s">
        <v>361</v>
      </c>
      <c r="F463" s="63" t="s">
        <v>364</v>
      </c>
      <c r="G463" s="63" t="s">
        <v>732</v>
      </c>
      <c r="H463" s="63" t="s">
        <v>1294</v>
      </c>
      <c r="I463" s="66" t="s">
        <v>730</v>
      </c>
      <c r="J463" s="63" t="s">
        <v>1295</v>
      </c>
      <c r="K463" s="63" t="s">
        <v>731</v>
      </c>
      <c r="L463" s="63" t="s">
        <v>1296</v>
      </c>
      <c r="M463" s="63" t="s">
        <v>1297</v>
      </c>
      <c r="N463" s="63" t="s">
        <v>1298</v>
      </c>
      <c r="O463" s="63" t="s">
        <v>1299</v>
      </c>
      <c r="P463" s="63" t="s">
        <v>1300</v>
      </c>
      <c r="Q463" s="50" t="s">
        <v>1301</v>
      </c>
      <c r="R463" s="50" t="s">
        <v>1302</v>
      </c>
      <c r="S463" s="48"/>
      <c r="T463" s="67" t="s">
        <v>1303</v>
      </c>
      <c r="U463" s="67" t="s">
        <v>1303</v>
      </c>
      <c r="V463" s="48">
        <v>0.0</v>
      </c>
      <c r="W463" s="68">
        <v>0.0</v>
      </c>
      <c r="X463" s="50" t="s">
        <v>1304</v>
      </c>
      <c r="Y463" s="50" t="s">
        <v>1305</v>
      </c>
    </row>
    <row r="464">
      <c r="A464" s="65">
        <f>ROW()-ROW(Table_Actions[N])</f>
        <v>228</v>
      </c>
      <c r="B464" s="54" t="s">
        <v>1615</v>
      </c>
      <c r="C464" s="62" t="b">
        <v>0</v>
      </c>
      <c r="D464" s="63" t="s">
        <v>1564</v>
      </c>
      <c r="E464" s="63" t="s">
        <v>561</v>
      </c>
      <c r="F464" s="63" t="s">
        <v>364</v>
      </c>
      <c r="G464" s="63" t="s">
        <v>732</v>
      </c>
      <c r="H464" s="63" t="s">
        <v>1294</v>
      </c>
      <c r="I464" s="66" t="s">
        <v>730</v>
      </c>
      <c r="J464" s="63" t="s">
        <v>1295</v>
      </c>
      <c r="K464" s="63" t="s">
        <v>731</v>
      </c>
      <c r="L464" s="63" t="s">
        <v>1296</v>
      </c>
      <c r="M464" s="63" t="s">
        <v>1297</v>
      </c>
      <c r="N464" s="63" t="s">
        <v>1298</v>
      </c>
      <c r="O464" s="63" t="s">
        <v>1299</v>
      </c>
      <c r="P464" s="63" t="s">
        <v>1300</v>
      </c>
      <c r="Q464" s="50" t="s">
        <v>1301</v>
      </c>
      <c r="R464" s="50" t="s">
        <v>1302</v>
      </c>
      <c r="S464" s="48" t="s">
        <v>1598</v>
      </c>
      <c r="T464" s="67" t="s">
        <v>1303</v>
      </c>
      <c r="U464" s="67" t="s">
        <v>1303</v>
      </c>
      <c r="V464" s="48">
        <v>0.0</v>
      </c>
      <c r="W464" s="68">
        <v>0.0</v>
      </c>
      <c r="X464" s="50" t="s">
        <v>1304</v>
      </c>
      <c r="Y464" s="50" t="s">
        <v>1305</v>
      </c>
    </row>
    <row r="465">
      <c r="A465" s="65">
        <f>ROW()-ROW(Table_Actions[N])</f>
        <v>229</v>
      </c>
      <c r="B465" s="54" t="s">
        <v>1616</v>
      </c>
      <c r="C465" s="62" t="b">
        <v>1</v>
      </c>
      <c r="D465" s="63" t="s">
        <v>1581</v>
      </c>
      <c r="E465" s="63" t="s">
        <v>361</v>
      </c>
      <c r="F465" s="63" t="s">
        <v>364</v>
      </c>
      <c r="G465" s="63" t="s">
        <v>732</v>
      </c>
      <c r="H465" s="63" t="s">
        <v>1294</v>
      </c>
      <c r="I465" s="66" t="s">
        <v>730</v>
      </c>
      <c r="J465" s="63" t="s">
        <v>1295</v>
      </c>
      <c r="K465" s="63" t="s">
        <v>731</v>
      </c>
      <c r="L465" s="63" t="s">
        <v>1296</v>
      </c>
      <c r="M465" s="63" t="s">
        <v>1297</v>
      </c>
      <c r="N465" s="63" t="s">
        <v>1298</v>
      </c>
      <c r="O465" s="63" t="s">
        <v>1299</v>
      </c>
      <c r="P465" s="63" t="s">
        <v>1300</v>
      </c>
      <c r="Q465" s="50" t="s">
        <v>1301</v>
      </c>
      <c r="R465" s="50" t="s">
        <v>1302</v>
      </c>
      <c r="S465" s="48" t="s">
        <v>1617</v>
      </c>
      <c r="T465" s="67" t="s">
        <v>1303</v>
      </c>
      <c r="U465" s="67" t="s">
        <v>1303</v>
      </c>
      <c r="V465" s="48">
        <v>0.0</v>
      </c>
      <c r="W465" s="68">
        <v>0.0</v>
      </c>
      <c r="X465" s="50" t="s">
        <v>1304</v>
      </c>
      <c r="Y465" s="50" t="s">
        <v>1305</v>
      </c>
    </row>
    <row r="466">
      <c r="A466" s="65">
        <f>ROW()-ROW(Table_Actions[N])</f>
        <v>230</v>
      </c>
      <c r="B466" s="54" t="s">
        <v>1618</v>
      </c>
      <c r="C466" s="62" t="b">
        <v>0</v>
      </c>
      <c r="D466" s="63" t="s">
        <v>1350</v>
      </c>
      <c r="E466" s="63" t="s">
        <v>361</v>
      </c>
      <c r="F466" s="63" t="s">
        <v>364</v>
      </c>
      <c r="G466" s="63" t="s">
        <v>732</v>
      </c>
      <c r="H466" s="63" t="s">
        <v>1294</v>
      </c>
      <c r="I466" s="66" t="s">
        <v>730</v>
      </c>
      <c r="J466" s="63" t="s">
        <v>1295</v>
      </c>
      <c r="K466" s="63" t="s">
        <v>731</v>
      </c>
      <c r="L466" s="63" t="s">
        <v>1619</v>
      </c>
      <c r="M466" s="63" t="s">
        <v>1297</v>
      </c>
      <c r="N466" s="63" t="s">
        <v>1298</v>
      </c>
      <c r="O466" s="63" t="s">
        <v>1299</v>
      </c>
      <c r="P466" s="63" t="s">
        <v>1300</v>
      </c>
      <c r="Q466" s="50" t="s">
        <v>1301</v>
      </c>
      <c r="R466" s="50" t="s">
        <v>1302</v>
      </c>
      <c r="S466" s="48"/>
      <c r="T466" s="67" t="s">
        <v>1303</v>
      </c>
      <c r="U466" s="67" t="s">
        <v>1303</v>
      </c>
      <c r="V466" s="48">
        <v>0.0</v>
      </c>
      <c r="W466" s="68">
        <v>0.0</v>
      </c>
      <c r="X466" s="50" t="s">
        <v>1304</v>
      </c>
      <c r="Y466" s="50" t="s">
        <v>1305</v>
      </c>
    </row>
    <row r="467">
      <c r="A467" s="65">
        <f>ROW()-ROW(Table_Actions[N])</f>
        <v>231</v>
      </c>
      <c r="B467" s="54" t="s">
        <v>1620</v>
      </c>
      <c r="C467" s="62" t="b">
        <v>0</v>
      </c>
      <c r="D467" s="63" t="s">
        <v>1350</v>
      </c>
      <c r="E467" s="63" t="s">
        <v>361</v>
      </c>
      <c r="F467" s="63" t="s">
        <v>364</v>
      </c>
      <c r="G467" s="63" t="s">
        <v>732</v>
      </c>
      <c r="H467" s="63" t="s">
        <v>1294</v>
      </c>
      <c r="I467" s="66" t="s">
        <v>730</v>
      </c>
      <c r="J467" s="63" t="s">
        <v>1295</v>
      </c>
      <c r="K467" s="63" t="s">
        <v>731</v>
      </c>
      <c r="L467" s="63" t="s">
        <v>1621</v>
      </c>
      <c r="M467" s="63" t="s">
        <v>1297</v>
      </c>
      <c r="N467" s="63" t="s">
        <v>1298</v>
      </c>
      <c r="O467" s="63" t="s">
        <v>1299</v>
      </c>
      <c r="P467" s="63" t="s">
        <v>1300</v>
      </c>
      <c r="Q467" s="50" t="s">
        <v>1301</v>
      </c>
      <c r="R467" s="50" t="s">
        <v>1302</v>
      </c>
      <c r="S467" s="48"/>
      <c r="T467" s="67" t="s">
        <v>1303</v>
      </c>
      <c r="U467" s="67" t="s">
        <v>1303</v>
      </c>
      <c r="V467" s="48">
        <v>0.0</v>
      </c>
      <c r="W467" s="68">
        <v>0.0</v>
      </c>
      <c r="X467" s="50" t="s">
        <v>1304</v>
      </c>
      <c r="Y467" s="50" t="s">
        <v>1305</v>
      </c>
    </row>
    <row r="468">
      <c r="A468" s="65">
        <f>ROW()-ROW(Table_Actions[N])</f>
        <v>232</v>
      </c>
      <c r="B468" s="54" t="s">
        <v>1622</v>
      </c>
      <c r="C468" s="62" t="b">
        <v>0</v>
      </c>
      <c r="D468" s="63" t="s">
        <v>1350</v>
      </c>
      <c r="E468" s="63" t="s">
        <v>361</v>
      </c>
      <c r="F468" s="63" t="s">
        <v>364</v>
      </c>
      <c r="G468" s="63" t="s">
        <v>732</v>
      </c>
      <c r="H468" s="63" t="s">
        <v>1294</v>
      </c>
      <c r="I468" s="66" t="s">
        <v>730</v>
      </c>
      <c r="J468" s="63" t="s">
        <v>1295</v>
      </c>
      <c r="K468" s="63" t="s">
        <v>731</v>
      </c>
      <c r="L468" s="63" t="s">
        <v>1623</v>
      </c>
      <c r="M468" s="63" t="s">
        <v>1297</v>
      </c>
      <c r="N468" s="63" t="s">
        <v>1298</v>
      </c>
      <c r="O468" s="63" t="s">
        <v>1299</v>
      </c>
      <c r="P468" s="63" t="s">
        <v>1300</v>
      </c>
      <c r="Q468" s="50" t="s">
        <v>1301</v>
      </c>
      <c r="R468" s="50" t="s">
        <v>1302</v>
      </c>
      <c r="S468" s="48"/>
      <c r="T468" s="67" t="s">
        <v>1303</v>
      </c>
      <c r="U468" s="67" t="s">
        <v>1303</v>
      </c>
      <c r="V468" s="48">
        <v>0.0</v>
      </c>
      <c r="W468" s="68">
        <v>0.0</v>
      </c>
      <c r="X468" s="50" t="s">
        <v>1304</v>
      </c>
      <c r="Y468" s="50" t="s">
        <v>1305</v>
      </c>
    </row>
    <row r="469">
      <c r="A469" s="65">
        <f>ROW()-ROW(Table_Actions[N])</f>
        <v>233</v>
      </c>
      <c r="B469" s="54" t="s">
        <v>1624</v>
      </c>
      <c r="C469" s="62" t="b">
        <v>1</v>
      </c>
      <c r="D469" s="63" t="s">
        <v>1581</v>
      </c>
      <c r="E469" s="63" t="s">
        <v>361</v>
      </c>
      <c r="F469" s="63" t="s">
        <v>364</v>
      </c>
      <c r="G469" s="63" t="s">
        <v>732</v>
      </c>
      <c r="H469" s="63" t="s">
        <v>1294</v>
      </c>
      <c r="I469" s="66" t="s">
        <v>730</v>
      </c>
      <c r="J469" s="63" t="s">
        <v>1295</v>
      </c>
      <c r="K469" s="63" t="s">
        <v>731</v>
      </c>
      <c r="L469" s="63" t="s">
        <v>1296</v>
      </c>
      <c r="M469" s="63" t="s">
        <v>1297</v>
      </c>
      <c r="N469" s="63" t="s">
        <v>1298</v>
      </c>
      <c r="O469" s="63" t="s">
        <v>1299</v>
      </c>
      <c r="P469" s="63" t="s">
        <v>1300</v>
      </c>
      <c r="Q469" s="50" t="s">
        <v>1301</v>
      </c>
      <c r="R469" s="50" t="s">
        <v>1302</v>
      </c>
      <c r="S469" s="48" t="s">
        <v>1587</v>
      </c>
      <c r="T469" s="67" t="s">
        <v>1303</v>
      </c>
      <c r="U469" s="67" t="s">
        <v>1303</v>
      </c>
      <c r="V469" s="48">
        <v>0.0</v>
      </c>
      <c r="W469" s="68">
        <v>0.0</v>
      </c>
      <c r="X469" s="50" t="s">
        <v>1304</v>
      </c>
      <c r="Y469" s="50" t="s">
        <v>1305</v>
      </c>
    </row>
    <row r="470">
      <c r="A470" s="65">
        <f>ROW()-ROW(Table_Actions[N])</f>
        <v>234</v>
      </c>
      <c r="B470" s="54" t="s">
        <v>1625</v>
      </c>
      <c r="C470" s="62" t="b">
        <v>0</v>
      </c>
      <c r="D470" s="63" t="s">
        <v>1558</v>
      </c>
      <c r="E470" s="63" t="s">
        <v>361</v>
      </c>
      <c r="F470" s="63" t="s">
        <v>364</v>
      </c>
      <c r="G470" s="63" t="s">
        <v>732</v>
      </c>
      <c r="H470" s="63" t="s">
        <v>1294</v>
      </c>
      <c r="I470" s="66" t="s">
        <v>730</v>
      </c>
      <c r="J470" s="63" t="s">
        <v>1295</v>
      </c>
      <c r="K470" s="63" t="s">
        <v>731</v>
      </c>
      <c r="L470" s="63" t="s">
        <v>1296</v>
      </c>
      <c r="M470" s="63" t="s">
        <v>1297</v>
      </c>
      <c r="N470" s="63" t="s">
        <v>1298</v>
      </c>
      <c r="O470" s="63" t="s">
        <v>1299</v>
      </c>
      <c r="P470" s="63" t="s">
        <v>1300</v>
      </c>
      <c r="Q470" s="50" t="s">
        <v>1301</v>
      </c>
      <c r="R470" s="50" t="s">
        <v>1626</v>
      </c>
      <c r="S470" s="48" t="s">
        <v>1627</v>
      </c>
      <c r="T470" s="67" t="s">
        <v>1303</v>
      </c>
      <c r="U470" s="67" t="s">
        <v>1303</v>
      </c>
      <c r="V470" s="48">
        <v>0.0</v>
      </c>
      <c r="W470" s="68">
        <v>0.0</v>
      </c>
      <c r="X470" s="50" t="s">
        <v>1304</v>
      </c>
      <c r="Y470" s="50" t="s">
        <v>1305</v>
      </c>
    </row>
    <row r="471">
      <c r="A471" s="65">
        <f>ROW()-ROW(Table_Actions[N])</f>
        <v>235</v>
      </c>
      <c r="B471" s="54" t="s">
        <v>1628</v>
      </c>
      <c r="C471" s="62" t="b">
        <v>1</v>
      </c>
      <c r="D471" s="63" t="s">
        <v>1310</v>
      </c>
      <c r="E471" s="63" t="s">
        <v>361</v>
      </c>
      <c r="F471" s="63" t="s">
        <v>364</v>
      </c>
      <c r="G471" s="63" t="s">
        <v>732</v>
      </c>
      <c r="H471" s="63" t="s">
        <v>1294</v>
      </c>
      <c r="I471" s="66" t="s">
        <v>1190</v>
      </c>
      <c r="J471" s="63" t="s">
        <v>1295</v>
      </c>
      <c r="K471" s="63" t="s">
        <v>731</v>
      </c>
      <c r="L471" s="63" t="s">
        <v>1296</v>
      </c>
      <c r="M471" s="63" t="s">
        <v>1297</v>
      </c>
      <c r="N471" s="63" t="s">
        <v>1298</v>
      </c>
      <c r="O471" s="63" t="s">
        <v>1299</v>
      </c>
      <c r="P471" s="63" t="s">
        <v>1300</v>
      </c>
      <c r="Q471" s="50" t="s">
        <v>1301</v>
      </c>
      <c r="R471" s="50" t="s">
        <v>1302</v>
      </c>
      <c r="S471" s="48"/>
      <c r="T471" s="67" t="s">
        <v>1303</v>
      </c>
      <c r="U471" s="67" t="s">
        <v>1303</v>
      </c>
      <c r="V471" s="48">
        <v>0.0</v>
      </c>
      <c r="W471" s="68">
        <v>0.0</v>
      </c>
      <c r="X471" s="50" t="s">
        <v>1304</v>
      </c>
      <c r="Y471" s="50" t="s">
        <v>1305</v>
      </c>
    </row>
    <row r="472">
      <c r="A472" s="65">
        <f>ROW()-ROW(Table_Actions[N])</f>
        <v>236</v>
      </c>
      <c r="B472" s="54" t="s">
        <v>1629</v>
      </c>
      <c r="C472" s="62" t="b">
        <v>1</v>
      </c>
      <c r="D472" s="63" t="s">
        <v>1350</v>
      </c>
      <c r="E472" s="63" t="s">
        <v>361</v>
      </c>
      <c r="F472" s="63" t="s">
        <v>364</v>
      </c>
      <c r="G472" s="63" t="s">
        <v>732</v>
      </c>
      <c r="H472" s="63" t="s">
        <v>1294</v>
      </c>
      <c r="I472" s="66" t="s">
        <v>730</v>
      </c>
      <c r="J472" s="63" t="s">
        <v>1295</v>
      </c>
      <c r="K472" s="63" t="s">
        <v>731</v>
      </c>
      <c r="L472" s="63" t="s">
        <v>1630</v>
      </c>
      <c r="M472" s="63" t="s">
        <v>1297</v>
      </c>
      <c r="N472" s="63" t="s">
        <v>1298</v>
      </c>
      <c r="O472" s="63" t="s">
        <v>1299</v>
      </c>
      <c r="P472" s="63" t="s">
        <v>1300</v>
      </c>
      <c r="Q472" s="50" t="s">
        <v>1301</v>
      </c>
      <c r="R472" s="50" t="s">
        <v>1302</v>
      </c>
      <c r="S472" s="48"/>
      <c r="T472" s="67" t="s">
        <v>1303</v>
      </c>
      <c r="U472" s="67" t="s">
        <v>1303</v>
      </c>
      <c r="V472" s="48">
        <v>0.0</v>
      </c>
      <c r="W472" s="68">
        <v>0.0</v>
      </c>
      <c r="X472" s="50" t="s">
        <v>1304</v>
      </c>
      <c r="Y472" s="50" t="s">
        <v>1305</v>
      </c>
    </row>
    <row r="473">
      <c r="A473" s="65">
        <f>ROW()-ROW(Table_Actions[N])</f>
        <v>237</v>
      </c>
      <c r="B473" s="54" t="s">
        <v>1631</v>
      </c>
      <c r="C473" s="62" t="b">
        <v>1</v>
      </c>
      <c r="D473" s="63" t="s">
        <v>1310</v>
      </c>
      <c r="E473" s="63" t="s">
        <v>361</v>
      </c>
      <c r="F473" s="63" t="s">
        <v>364</v>
      </c>
      <c r="G473" s="63" t="s">
        <v>732</v>
      </c>
      <c r="H473" s="63" t="s">
        <v>1294</v>
      </c>
      <c r="I473" s="66" t="s">
        <v>1189</v>
      </c>
      <c r="J473" s="63" t="s">
        <v>1295</v>
      </c>
      <c r="K473" s="63" t="s">
        <v>731</v>
      </c>
      <c r="L473" s="63" t="s">
        <v>1296</v>
      </c>
      <c r="M473" s="63" t="s">
        <v>1297</v>
      </c>
      <c r="N473" s="63" t="s">
        <v>1298</v>
      </c>
      <c r="O473" s="63" t="s">
        <v>1299</v>
      </c>
      <c r="P473" s="63" t="s">
        <v>1300</v>
      </c>
      <c r="Q473" s="50" t="s">
        <v>1301</v>
      </c>
      <c r="R473" s="50" t="s">
        <v>1302</v>
      </c>
      <c r="S473" s="48"/>
      <c r="T473" s="67" t="s">
        <v>1303</v>
      </c>
      <c r="U473" s="67" t="s">
        <v>1303</v>
      </c>
      <c r="V473" s="48">
        <v>0.0</v>
      </c>
      <c r="W473" s="68">
        <v>0.0</v>
      </c>
      <c r="X473" s="50" t="s">
        <v>1304</v>
      </c>
      <c r="Y473" s="50" t="s">
        <v>1305</v>
      </c>
    </row>
    <row r="474">
      <c r="A474" s="65">
        <f>ROW()-ROW(Table_Actions[N])</f>
        <v>238</v>
      </c>
      <c r="B474" s="54" t="s">
        <v>1632</v>
      </c>
      <c r="C474" s="62" t="b">
        <v>1</v>
      </c>
      <c r="D474" s="63" t="s">
        <v>1310</v>
      </c>
      <c r="E474" s="63" t="s">
        <v>361</v>
      </c>
      <c r="F474" s="63" t="s">
        <v>364</v>
      </c>
      <c r="G474" s="63" t="s">
        <v>732</v>
      </c>
      <c r="H474" s="63" t="s">
        <v>1294</v>
      </c>
      <c r="I474" s="66" t="s">
        <v>933</v>
      </c>
      <c r="J474" s="63" t="s">
        <v>1295</v>
      </c>
      <c r="K474" s="63" t="s">
        <v>731</v>
      </c>
      <c r="L474" s="63" t="s">
        <v>1296</v>
      </c>
      <c r="M474" s="63" t="s">
        <v>1297</v>
      </c>
      <c r="N474" s="63" t="s">
        <v>1298</v>
      </c>
      <c r="O474" s="63" t="s">
        <v>1299</v>
      </c>
      <c r="P474" s="63" t="s">
        <v>1300</v>
      </c>
      <c r="Q474" s="50" t="s">
        <v>1301</v>
      </c>
      <c r="R474" s="50" t="s">
        <v>1302</v>
      </c>
      <c r="S474" s="48"/>
      <c r="T474" s="67" t="s">
        <v>1303</v>
      </c>
      <c r="U474" s="67" t="s">
        <v>1303</v>
      </c>
      <c r="V474" s="48">
        <v>0.0</v>
      </c>
      <c r="W474" s="68">
        <v>0.0</v>
      </c>
      <c r="X474" s="50" t="s">
        <v>1304</v>
      </c>
      <c r="Y474" s="50" t="s">
        <v>1305</v>
      </c>
    </row>
    <row r="475">
      <c r="A475" s="65">
        <f>ROW()-ROW(Table_Actions[N])</f>
        <v>239</v>
      </c>
      <c r="B475" s="54" t="s">
        <v>1633</v>
      </c>
      <c r="C475" s="62" t="b">
        <v>1</v>
      </c>
      <c r="D475" s="63" t="s">
        <v>1372</v>
      </c>
      <c r="E475" s="63" t="s">
        <v>367</v>
      </c>
      <c r="F475" s="63" t="s">
        <v>364</v>
      </c>
      <c r="G475" s="63" t="s">
        <v>732</v>
      </c>
      <c r="H475" s="63" t="s">
        <v>1294</v>
      </c>
      <c r="I475" s="66" t="s">
        <v>730</v>
      </c>
      <c r="J475" s="63" t="s">
        <v>1295</v>
      </c>
      <c r="K475" s="63" t="s">
        <v>731</v>
      </c>
      <c r="L475" s="63" t="s">
        <v>1296</v>
      </c>
      <c r="M475" s="63" t="s">
        <v>1297</v>
      </c>
      <c r="N475" s="63" t="s">
        <v>1298</v>
      </c>
      <c r="O475" s="63" t="s">
        <v>1634</v>
      </c>
      <c r="P475" s="63" t="s">
        <v>1300</v>
      </c>
      <c r="Q475" s="50" t="s">
        <v>1301</v>
      </c>
      <c r="R475" s="50" t="s">
        <v>1302</v>
      </c>
      <c r="S475" s="48"/>
      <c r="T475" s="67" t="s">
        <v>1303</v>
      </c>
      <c r="U475" s="67" t="s">
        <v>1303</v>
      </c>
      <c r="V475" s="48">
        <v>0.0</v>
      </c>
      <c r="W475" s="68">
        <v>0.0</v>
      </c>
      <c r="X475" s="50" t="s">
        <v>1304</v>
      </c>
      <c r="Y475" s="50" t="s">
        <v>1305</v>
      </c>
    </row>
    <row r="476">
      <c r="A476" s="65">
        <f>ROW()-ROW(Table_Actions[N])</f>
        <v>240</v>
      </c>
      <c r="B476" s="54" t="s">
        <v>1635</v>
      </c>
      <c r="C476" s="62" t="b">
        <v>1</v>
      </c>
      <c r="D476" s="63" t="s">
        <v>1581</v>
      </c>
      <c r="E476" s="63" t="s">
        <v>361</v>
      </c>
      <c r="F476" s="63" t="s">
        <v>364</v>
      </c>
      <c r="G476" s="63" t="s">
        <v>732</v>
      </c>
      <c r="H476" s="63" t="s">
        <v>1294</v>
      </c>
      <c r="I476" s="66" t="s">
        <v>730</v>
      </c>
      <c r="J476" s="63" t="s">
        <v>1295</v>
      </c>
      <c r="K476" s="63" t="s">
        <v>731</v>
      </c>
      <c r="L476" s="63" t="s">
        <v>1296</v>
      </c>
      <c r="M476" s="63" t="s">
        <v>1297</v>
      </c>
      <c r="N476" s="63" t="s">
        <v>1298</v>
      </c>
      <c r="O476" s="63" t="s">
        <v>1299</v>
      </c>
      <c r="P476" s="63" t="s">
        <v>1300</v>
      </c>
      <c r="Q476" s="50" t="s">
        <v>1301</v>
      </c>
      <c r="R476" s="50" t="s">
        <v>1302</v>
      </c>
      <c r="S476" s="48" t="s">
        <v>1636</v>
      </c>
      <c r="T476" s="67" t="s">
        <v>1303</v>
      </c>
      <c r="U476" s="67" t="s">
        <v>1303</v>
      </c>
      <c r="V476" s="48">
        <v>0.0</v>
      </c>
      <c r="W476" s="68">
        <v>0.0</v>
      </c>
      <c r="X476" s="50" t="s">
        <v>1304</v>
      </c>
      <c r="Y476" s="50" t="s">
        <v>1305</v>
      </c>
    </row>
    <row r="477">
      <c r="A477" s="65">
        <f>ROW()-ROW(Table_Actions[N])</f>
        <v>241</v>
      </c>
      <c r="B477" s="54" t="s">
        <v>1637</v>
      </c>
      <c r="C477" s="62" t="b">
        <v>0</v>
      </c>
      <c r="D477" s="63" t="s">
        <v>1558</v>
      </c>
      <c r="E477" s="63" t="s">
        <v>361</v>
      </c>
      <c r="F477" s="63" t="s">
        <v>364</v>
      </c>
      <c r="G477" s="63" t="s">
        <v>732</v>
      </c>
      <c r="H477" s="63" t="s">
        <v>1294</v>
      </c>
      <c r="I477" s="66" t="s">
        <v>730</v>
      </c>
      <c r="J477" s="63" t="s">
        <v>1295</v>
      </c>
      <c r="K477" s="63" t="s">
        <v>777</v>
      </c>
      <c r="L477" s="63" t="s">
        <v>1296</v>
      </c>
      <c r="M477" s="63" t="s">
        <v>1297</v>
      </c>
      <c r="N477" s="63" t="s">
        <v>1298</v>
      </c>
      <c r="O477" s="63" t="s">
        <v>1299</v>
      </c>
      <c r="P477" s="63" t="s">
        <v>1300</v>
      </c>
      <c r="Q477" s="50" t="s">
        <v>1301</v>
      </c>
      <c r="R477" s="50" t="s">
        <v>1638</v>
      </c>
      <c r="S477" s="48" t="s">
        <v>1560</v>
      </c>
      <c r="T477" s="67" t="s">
        <v>1303</v>
      </c>
      <c r="U477" s="67" t="s">
        <v>1303</v>
      </c>
      <c r="V477" s="48">
        <v>0.0</v>
      </c>
      <c r="W477" s="68">
        <v>0.0</v>
      </c>
      <c r="X477" s="50" t="s">
        <v>1304</v>
      </c>
      <c r="Y477" s="50" t="s">
        <v>1305</v>
      </c>
    </row>
    <row r="478">
      <c r="A478" s="65">
        <f>ROW()-ROW(Table_Actions[N])</f>
        <v>242</v>
      </c>
      <c r="B478" s="54" t="s">
        <v>937</v>
      </c>
      <c r="C478" s="62" t="b">
        <v>0</v>
      </c>
      <c r="D478" s="63" t="s">
        <v>1350</v>
      </c>
      <c r="E478" s="63" t="s">
        <v>361</v>
      </c>
      <c r="F478" s="63" t="s">
        <v>364</v>
      </c>
      <c r="G478" s="63" t="s">
        <v>732</v>
      </c>
      <c r="H478" s="63" t="s">
        <v>1294</v>
      </c>
      <c r="I478" s="66" t="s">
        <v>730</v>
      </c>
      <c r="J478" s="63" t="s">
        <v>1295</v>
      </c>
      <c r="K478" s="63" t="s">
        <v>731</v>
      </c>
      <c r="L478" s="63" t="s">
        <v>1353</v>
      </c>
      <c r="M478" s="63" t="s">
        <v>1297</v>
      </c>
      <c r="N478" s="63" t="s">
        <v>1639</v>
      </c>
      <c r="O478" s="63" t="s">
        <v>1299</v>
      </c>
      <c r="P478" s="63" t="s">
        <v>1300</v>
      </c>
      <c r="Q478" s="50" t="s">
        <v>1301</v>
      </c>
      <c r="R478" s="50" t="s">
        <v>1302</v>
      </c>
      <c r="S478" s="48"/>
      <c r="T478" s="67" t="s">
        <v>1303</v>
      </c>
      <c r="U478" s="67" t="s">
        <v>1303</v>
      </c>
      <c r="V478" s="48">
        <v>0.0</v>
      </c>
      <c r="W478" s="68">
        <v>0.0</v>
      </c>
      <c r="X478" s="50" t="s">
        <v>1304</v>
      </c>
      <c r="Y478" s="50" t="s">
        <v>1305</v>
      </c>
    </row>
    <row r="479">
      <c r="A479" s="65">
        <f>ROW()-ROW(Table_Actions[N])</f>
        <v>243</v>
      </c>
      <c r="B479" s="54" t="s">
        <v>1640</v>
      </c>
      <c r="C479" s="62" t="b">
        <v>1</v>
      </c>
      <c r="D479" s="63" t="s">
        <v>1350</v>
      </c>
      <c r="E479" s="63" t="s">
        <v>361</v>
      </c>
      <c r="F479" s="63" t="s">
        <v>364</v>
      </c>
      <c r="G479" s="63" t="s">
        <v>732</v>
      </c>
      <c r="H479" s="63" t="s">
        <v>1294</v>
      </c>
      <c r="I479" s="66" t="s">
        <v>730</v>
      </c>
      <c r="J479" s="63" t="s">
        <v>1295</v>
      </c>
      <c r="K479" s="63" t="s">
        <v>731</v>
      </c>
      <c r="L479" s="63" t="s">
        <v>1353</v>
      </c>
      <c r="M479" s="63" t="s">
        <v>1297</v>
      </c>
      <c r="N479" s="63" t="s">
        <v>1641</v>
      </c>
      <c r="O479" s="63" t="s">
        <v>1299</v>
      </c>
      <c r="P479" s="63" t="s">
        <v>1300</v>
      </c>
      <c r="Q479" s="50" t="s">
        <v>1301</v>
      </c>
      <c r="R479" s="50" t="s">
        <v>1302</v>
      </c>
      <c r="S479" s="48"/>
      <c r="T479" s="67" t="s">
        <v>1303</v>
      </c>
      <c r="U479" s="67" t="s">
        <v>1303</v>
      </c>
      <c r="V479" s="48">
        <v>0.0</v>
      </c>
      <c r="W479" s="68">
        <v>0.0</v>
      </c>
      <c r="X479" s="50" t="s">
        <v>1304</v>
      </c>
      <c r="Y479" s="50" t="s">
        <v>1305</v>
      </c>
    </row>
    <row r="480">
      <c r="A480" s="65">
        <f>ROW()-ROW(Table_Actions[N])</f>
        <v>244</v>
      </c>
      <c r="B480" s="54" t="s">
        <v>1642</v>
      </c>
      <c r="C480" s="62" t="b">
        <v>1</v>
      </c>
      <c r="D480" s="63" t="s">
        <v>1310</v>
      </c>
      <c r="E480" s="63" t="s">
        <v>361</v>
      </c>
      <c r="F480" s="63" t="s">
        <v>364</v>
      </c>
      <c r="G480" s="63" t="s">
        <v>732</v>
      </c>
      <c r="H480" s="63" t="s">
        <v>1294</v>
      </c>
      <c r="I480" s="66" t="s">
        <v>1643</v>
      </c>
      <c r="J480" s="63" t="s">
        <v>1295</v>
      </c>
      <c r="K480" s="63" t="s">
        <v>731</v>
      </c>
      <c r="L480" s="63" t="s">
        <v>1296</v>
      </c>
      <c r="M480" s="63" t="s">
        <v>1297</v>
      </c>
      <c r="N480" s="63" t="s">
        <v>1298</v>
      </c>
      <c r="O480" s="63" t="s">
        <v>1299</v>
      </c>
      <c r="P480" s="63" t="s">
        <v>1300</v>
      </c>
      <c r="Q480" s="50" t="s">
        <v>1301</v>
      </c>
      <c r="R480" s="50" t="s">
        <v>1302</v>
      </c>
      <c r="S480" s="48"/>
      <c r="T480" s="67" t="s">
        <v>1303</v>
      </c>
      <c r="U480" s="67" t="s">
        <v>1303</v>
      </c>
      <c r="V480" s="48">
        <v>0.0</v>
      </c>
      <c r="W480" s="68">
        <v>0.0</v>
      </c>
      <c r="X480" s="50" t="s">
        <v>1304</v>
      </c>
      <c r="Y480" s="50" t="s">
        <v>1305</v>
      </c>
    </row>
    <row r="481">
      <c r="A481" s="65">
        <f>ROW()-ROW(Table_Actions[N])</f>
        <v>245</v>
      </c>
      <c r="B481" s="54" t="s">
        <v>1644</v>
      </c>
      <c r="C481" s="62" t="b">
        <v>0</v>
      </c>
      <c r="D481" s="63" t="s">
        <v>1516</v>
      </c>
      <c r="E481" s="63" t="s">
        <v>361</v>
      </c>
      <c r="F481" s="63" t="s">
        <v>364</v>
      </c>
      <c r="G481" s="63" t="s">
        <v>732</v>
      </c>
      <c r="H481" s="63" t="s">
        <v>1294</v>
      </c>
      <c r="I481" s="66" t="s">
        <v>730</v>
      </c>
      <c r="J481" s="63" t="s">
        <v>1295</v>
      </c>
      <c r="K481" s="63" t="s">
        <v>731</v>
      </c>
      <c r="L481" s="63" t="s">
        <v>1296</v>
      </c>
      <c r="M481" s="63" t="s">
        <v>1297</v>
      </c>
      <c r="N481" s="63" t="s">
        <v>1298</v>
      </c>
      <c r="O481" s="63" t="s">
        <v>1299</v>
      </c>
      <c r="P481" s="63" t="s">
        <v>1300</v>
      </c>
      <c r="Q481" s="50" t="s">
        <v>1645</v>
      </c>
      <c r="R481" s="50" t="s">
        <v>1302</v>
      </c>
      <c r="S481" s="48"/>
      <c r="T481" s="67" t="s">
        <v>1303</v>
      </c>
      <c r="U481" s="67" t="s">
        <v>1303</v>
      </c>
      <c r="V481" s="48">
        <v>0.0</v>
      </c>
      <c r="W481" s="68">
        <v>0.0</v>
      </c>
      <c r="X481" s="50" t="s">
        <v>1304</v>
      </c>
      <c r="Y481" s="50" t="s">
        <v>1305</v>
      </c>
    </row>
    <row r="482">
      <c r="A482" s="65">
        <f>ROW()-ROW(Table_Actions[N])</f>
        <v>246</v>
      </c>
      <c r="B482" s="54" t="s">
        <v>1646</v>
      </c>
      <c r="C482" s="62" t="b">
        <v>0</v>
      </c>
      <c r="D482" s="63" t="s">
        <v>1647</v>
      </c>
      <c r="E482" s="63" t="s">
        <v>361</v>
      </c>
      <c r="F482" s="63" t="s">
        <v>364</v>
      </c>
      <c r="G482" s="63" t="s">
        <v>732</v>
      </c>
      <c r="H482" s="63" t="s">
        <v>1294</v>
      </c>
      <c r="I482" s="66" t="s">
        <v>730</v>
      </c>
      <c r="J482" s="63" t="s">
        <v>1295</v>
      </c>
      <c r="K482" s="63" t="s">
        <v>731</v>
      </c>
      <c r="L482" s="63" t="s">
        <v>1296</v>
      </c>
      <c r="M482" s="63" t="s">
        <v>1297</v>
      </c>
      <c r="N482" s="63" t="s">
        <v>1298</v>
      </c>
      <c r="O482" s="63" t="s">
        <v>1299</v>
      </c>
      <c r="P482" s="63" t="s">
        <v>1300</v>
      </c>
      <c r="Q482" s="50" t="s">
        <v>1645</v>
      </c>
      <c r="R482" s="50" t="s">
        <v>1302</v>
      </c>
      <c r="S482" s="48"/>
      <c r="T482" s="67" t="s">
        <v>1303</v>
      </c>
      <c r="U482" s="67" t="s">
        <v>1303</v>
      </c>
      <c r="V482" s="48">
        <v>0.0</v>
      </c>
      <c r="W482" s="68">
        <v>0.0</v>
      </c>
      <c r="X482" s="50" t="s">
        <v>1304</v>
      </c>
      <c r="Y482" s="50" t="s">
        <v>1305</v>
      </c>
    </row>
    <row r="483">
      <c r="A483" s="65">
        <f>ROW()-ROW(Table_Actions[N])</f>
        <v>247</v>
      </c>
      <c r="B483" s="54" t="s">
        <v>1648</v>
      </c>
      <c r="C483" s="62" t="b">
        <v>1</v>
      </c>
      <c r="D483" s="63" t="s">
        <v>1310</v>
      </c>
      <c r="E483" s="63" t="s">
        <v>361</v>
      </c>
      <c r="F483" s="63" t="s">
        <v>364</v>
      </c>
      <c r="G483" s="63" t="s">
        <v>732</v>
      </c>
      <c r="H483" s="63" t="s">
        <v>1294</v>
      </c>
      <c r="I483" s="66" t="s">
        <v>942</v>
      </c>
      <c r="J483" s="63" t="s">
        <v>1295</v>
      </c>
      <c r="K483" s="63" t="s">
        <v>731</v>
      </c>
      <c r="L483" s="63" t="s">
        <v>1296</v>
      </c>
      <c r="M483" s="63" t="s">
        <v>1297</v>
      </c>
      <c r="N483" s="63" t="s">
        <v>1298</v>
      </c>
      <c r="O483" s="63" t="s">
        <v>1299</v>
      </c>
      <c r="P483" s="63" t="s">
        <v>1300</v>
      </c>
      <c r="Q483" s="50" t="s">
        <v>1301</v>
      </c>
      <c r="R483" s="50" t="s">
        <v>1302</v>
      </c>
      <c r="S483" s="48"/>
      <c r="T483" s="67" t="s">
        <v>1303</v>
      </c>
      <c r="U483" s="67" t="s">
        <v>1303</v>
      </c>
      <c r="V483" s="48">
        <v>0.0</v>
      </c>
      <c r="W483" s="68">
        <v>0.0</v>
      </c>
      <c r="X483" s="50" t="s">
        <v>1304</v>
      </c>
      <c r="Y483" s="50" t="s">
        <v>1305</v>
      </c>
    </row>
    <row r="484">
      <c r="A484" s="65">
        <f>ROW()-ROW(Table_Actions[N])</f>
        <v>248</v>
      </c>
      <c r="B484" s="54" t="s">
        <v>1197</v>
      </c>
      <c r="C484" s="62" t="b">
        <v>1</v>
      </c>
      <c r="D484" s="63" t="s">
        <v>1310</v>
      </c>
      <c r="E484" s="63" t="s">
        <v>361</v>
      </c>
      <c r="F484" s="63" t="s">
        <v>364</v>
      </c>
      <c r="G484" s="63" t="s">
        <v>732</v>
      </c>
      <c r="H484" s="63" t="s">
        <v>1294</v>
      </c>
      <c r="I484" s="66" t="s">
        <v>939</v>
      </c>
      <c r="J484" s="63" t="s">
        <v>1295</v>
      </c>
      <c r="K484" s="63" t="s">
        <v>731</v>
      </c>
      <c r="L484" s="63" t="s">
        <v>1296</v>
      </c>
      <c r="M484" s="63" t="s">
        <v>1297</v>
      </c>
      <c r="N484" s="63" t="s">
        <v>1298</v>
      </c>
      <c r="O484" s="63" t="s">
        <v>1299</v>
      </c>
      <c r="P484" s="63" t="s">
        <v>1300</v>
      </c>
      <c r="Q484" s="50" t="s">
        <v>1301</v>
      </c>
      <c r="R484" s="50" t="s">
        <v>1302</v>
      </c>
      <c r="S484" s="48"/>
      <c r="T484" s="67" t="s">
        <v>1303</v>
      </c>
      <c r="U484" s="67" t="s">
        <v>1303</v>
      </c>
      <c r="V484" s="48">
        <v>0.0</v>
      </c>
      <c r="W484" s="68">
        <v>0.0</v>
      </c>
      <c r="X484" s="50" t="s">
        <v>1304</v>
      </c>
      <c r="Y484" s="50" t="s">
        <v>1305</v>
      </c>
    </row>
    <row r="485">
      <c r="A485" s="65">
        <f>ROW()-ROW(Table_Actions[N])</f>
        <v>249</v>
      </c>
      <c r="B485" s="54" t="s">
        <v>1195</v>
      </c>
      <c r="C485" s="62" t="b">
        <v>0</v>
      </c>
      <c r="D485" s="63" t="s">
        <v>1516</v>
      </c>
      <c r="E485" s="63" t="s">
        <v>361</v>
      </c>
      <c r="F485" s="63" t="s">
        <v>364</v>
      </c>
      <c r="G485" s="63" t="s">
        <v>732</v>
      </c>
      <c r="H485" s="63" t="s">
        <v>1294</v>
      </c>
      <c r="I485" s="66" t="s">
        <v>730</v>
      </c>
      <c r="J485" s="63" t="s">
        <v>1295</v>
      </c>
      <c r="K485" s="63" t="s">
        <v>731</v>
      </c>
      <c r="L485" s="63" t="s">
        <v>1296</v>
      </c>
      <c r="M485" s="63" t="s">
        <v>1297</v>
      </c>
      <c r="N485" s="63" t="s">
        <v>1298</v>
      </c>
      <c r="O485" s="63" t="s">
        <v>1299</v>
      </c>
      <c r="P485" s="63" t="s">
        <v>1300</v>
      </c>
      <c r="Q485" s="50" t="s">
        <v>1649</v>
      </c>
      <c r="R485" s="50" t="s">
        <v>1302</v>
      </c>
      <c r="S485" s="48"/>
      <c r="T485" s="67" t="s">
        <v>1303</v>
      </c>
      <c r="U485" s="67" t="s">
        <v>1303</v>
      </c>
      <c r="V485" s="48">
        <v>0.0</v>
      </c>
      <c r="W485" s="68">
        <v>0.0</v>
      </c>
      <c r="X485" s="50" t="s">
        <v>1304</v>
      </c>
      <c r="Y485" s="50" t="s">
        <v>1305</v>
      </c>
    </row>
    <row r="486">
      <c r="A486" s="65">
        <f>ROW()-ROW(Table_Actions[N])</f>
        <v>250</v>
      </c>
      <c r="B486" s="54" t="s">
        <v>944</v>
      </c>
      <c r="C486" s="62" t="b">
        <v>0</v>
      </c>
      <c r="D486" s="63" t="s">
        <v>1350</v>
      </c>
      <c r="E486" s="63" t="s">
        <v>361</v>
      </c>
      <c r="F486" s="63" t="s">
        <v>364</v>
      </c>
      <c r="G486" s="63" t="s">
        <v>732</v>
      </c>
      <c r="H486" s="63" t="s">
        <v>1294</v>
      </c>
      <c r="I486" s="66" t="s">
        <v>730</v>
      </c>
      <c r="J486" s="63" t="s">
        <v>1295</v>
      </c>
      <c r="K486" s="63" t="s">
        <v>731</v>
      </c>
      <c r="L486" s="63" t="s">
        <v>1353</v>
      </c>
      <c r="M486" s="63" t="s">
        <v>1297</v>
      </c>
      <c r="N486" s="63" t="s">
        <v>1650</v>
      </c>
      <c r="O486" s="63" t="s">
        <v>1299</v>
      </c>
      <c r="P486" s="63" t="s">
        <v>1300</v>
      </c>
      <c r="Q486" s="50" t="s">
        <v>1301</v>
      </c>
      <c r="R486" s="50" t="s">
        <v>1302</v>
      </c>
      <c r="S486" s="48"/>
      <c r="T486" s="67" t="s">
        <v>1303</v>
      </c>
      <c r="U486" s="67" t="s">
        <v>1303</v>
      </c>
      <c r="V486" s="48">
        <v>0.0</v>
      </c>
      <c r="W486" s="68">
        <v>0.0</v>
      </c>
      <c r="X486" s="50" t="s">
        <v>1304</v>
      </c>
      <c r="Y486" s="50" t="s">
        <v>1305</v>
      </c>
    </row>
    <row r="487">
      <c r="A487" s="65">
        <f>ROW()-ROW(Table_Actions[N])</f>
        <v>251</v>
      </c>
      <c r="B487" s="54" t="s">
        <v>945</v>
      </c>
      <c r="C487" s="62" t="b">
        <v>0</v>
      </c>
      <c r="D487" s="63" t="s">
        <v>1350</v>
      </c>
      <c r="E487" s="63" t="s">
        <v>361</v>
      </c>
      <c r="F487" s="63" t="s">
        <v>364</v>
      </c>
      <c r="G487" s="63" t="s">
        <v>732</v>
      </c>
      <c r="H487" s="63" t="s">
        <v>1294</v>
      </c>
      <c r="I487" s="66" t="s">
        <v>730</v>
      </c>
      <c r="J487" s="63" t="s">
        <v>1295</v>
      </c>
      <c r="K487" s="63" t="s">
        <v>731</v>
      </c>
      <c r="L487" s="63" t="s">
        <v>1353</v>
      </c>
      <c r="M487" s="63" t="s">
        <v>1297</v>
      </c>
      <c r="N487" s="63" t="s">
        <v>1651</v>
      </c>
      <c r="O487" s="63" t="s">
        <v>1299</v>
      </c>
      <c r="P487" s="63" t="s">
        <v>1300</v>
      </c>
      <c r="Q487" s="50" t="s">
        <v>1301</v>
      </c>
      <c r="R487" s="50" t="s">
        <v>1302</v>
      </c>
      <c r="S487" s="48"/>
      <c r="T487" s="67" t="s">
        <v>1303</v>
      </c>
      <c r="U487" s="67" t="s">
        <v>1303</v>
      </c>
      <c r="V487" s="48">
        <v>0.0</v>
      </c>
      <c r="W487" s="68">
        <v>0.0</v>
      </c>
      <c r="X487" s="50" t="s">
        <v>1304</v>
      </c>
      <c r="Y487" s="50" t="s">
        <v>1305</v>
      </c>
    </row>
    <row r="488">
      <c r="A488" s="65">
        <f>ROW()-ROW(Table_Actions[N])</f>
        <v>252</v>
      </c>
      <c r="B488" s="54" t="s">
        <v>1652</v>
      </c>
      <c r="C488" s="62" t="b">
        <v>0</v>
      </c>
      <c r="D488" s="63" t="s">
        <v>1310</v>
      </c>
      <c r="E488" s="63" t="s">
        <v>361</v>
      </c>
      <c r="F488" s="63" t="s">
        <v>364</v>
      </c>
      <c r="G488" s="63" t="s">
        <v>732</v>
      </c>
      <c r="H488" s="63" t="s">
        <v>1294</v>
      </c>
      <c r="I488" s="66" t="s">
        <v>1199</v>
      </c>
      <c r="J488" s="63" t="s">
        <v>1295</v>
      </c>
      <c r="K488" s="63" t="s">
        <v>731</v>
      </c>
      <c r="L488" s="63" t="s">
        <v>1296</v>
      </c>
      <c r="M488" s="63" t="s">
        <v>1297</v>
      </c>
      <c r="N488" s="63" t="s">
        <v>1298</v>
      </c>
      <c r="O488" s="63" t="s">
        <v>1299</v>
      </c>
      <c r="P488" s="63" t="s">
        <v>1300</v>
      </c>
      <c r="Q488" s="50" t="s">
        <v>1301</v>
      </c>
      <c r="R488" s="50" t="s">
        <v>1302</v>
      </c>
      <c r="S488" s="48"/>
      <c r="T488" s="67" t="s">
        <v>1303</v>
      </c>
      <c r="U488" s="67" t="s">
        <v>1303</v>
      </c>
      <c r="V488" s="48">
        <v>0.0</v>
      </c>
      <c r="W488" s="68">
        <v>0.0</v>
      </c>
      <c r="X488" s="50" t="s">
        <v>1304</v>
      </c>
      <c r="Y488" s="50" t="s">
        <v>1305</v>
      </c>
    </row>
    <row r="489">
      <c r="A489" s="65">
        <f>ROW()-ROW(Table_Actions[N])</f>
        <v>253</v>
      </c>
      <c r="B489" s="54" t="s">
        <v>1653</v>
      </c>
      <c r="C489" s="62" t="b">
        <v>0</v>
      </c>
      <c r="D489" s="63" t="s">
        <v>1310</v>
      </c>
      <c r="E489" s="63" t="s">
        <v>361</v>
      </c>
      <c r="F489" s="63" t="s">
        <v>364</v>
      </c>
      <c r="G489" s="63" t="s">
        <v>732</v>
      </c>
      <c r="H489" s="63" t="s">
        <v>1294</v>
      </c>
      <c r="I489" s="66" t="s">
        <v>1654</v>
      </c>
      <c r="J489" s="63" t="s">
        <v>1295</v>
      </c>
      <c r="K489" s="63" t="s">
        <v>731</v>
      </c>
      <c r="L489" s="63" t="s">
        <v>1296</v>
      </c>
      <c r="M489" s="63" t="s">
        <v>1297</v>
      </c>
      <c r="N489" s="63" t="s">
        <v>1298</v>
      </c>
      <c r="O489" s="63" t="s">
        <v>1299</v>
      </c>
      <c r="P489" s="63" t="s">
        <v>1300</v>
      </c>
      <c r="Q489" s="50" t="s">
        <v>1301</v>
      </c>
      <c r="R489" s="50" t="s">
        <v>1302</v>
      </c>
      <c r="S489" s="48"/>
      <c r="T489" s="67" t="s">
        <v>1303</v>
      </c>
      <c r="U489" s="67" t="s">
        <v>1303</v>
      </c>
      <c r="V489" s="48">
        <v>0.0</v>
      </c>
      <c r="W489" s="68">
        <v>0.0</v>
      </c>
      <c r="X489" s="50" t="s">
        <v>1304</v>
      </c>
      <c r="Y489" s="50" t="s">
        <v>1305</v>
      </c>
    </row>
    <row r="490">
      <c r="A490" s="65">
        <f>ROW()-ROW(Table_Actions[N])</f>
        <v>254</v>
      </c>
      <c r="B490" s="56" t="s">
        <v>1655</v>
      </c>
      <c r="C490" s="76" t="b">
        <v>1</v>
      </c>
      <c r="D490" s="58" t="s">
        <v>1350</v>
      </c>
      <c r="E490" s="58" t="s">
        <v>361</v>
      </c>
      <c r="F490" s="58" t="s">
        <v>364</v>
      </c>
      <c r="G490" s="58" t="s">
        <v>732</v>
      </c>
      <c r="H490" s="58" t="s">
        <v>1294</v>
      </c>
      <c r="I490" s="77" t="s">
        <v>730</v>
      </c>
      <c r="J490" s="58" t="s">
        <v>1295</v>
      </c>
      <c r="K490" s="58" t="s">
        <v>731</v>
      </c>
      <c r="L490" s="58" t="s">
        <v>1353</v>
      </c>
      <c r="M490" s="63" t="s">
        <v>1297</v>
      </c>
      <c r="N490" s="78" t="s">
        <v>1656</v>
      </c>
      <c r="O490" s="58" t="s">
        <v>1299</v>
      </c>
      <c r="P490" s="58" t="s">
        <v>1300</v>
      </c>
      <c r="Q490" s="58" t="s">
        <v>1301</v>
      </c>
      <c r="R490" s="58" t="s">
        <v>1302</v>
      </c>
      <c r="S490" s="79"/>
      <c r="T490" s="67" t="s">
        <v>1303</v>
      </c>
      <c r="U490" s="67" t="s">
        <v>1303</v>
      </c>
      <c r="V490" s="48">
        <v>0.0</v>
      </c>
      <c r="W490" s="68">
        <v>0.0</v>
      </c>
      <c r="X490" s="50" t="s">
        <v>1304</v>
      </c>
      <c r="Y490" s="80" t="s">
        <v>1305</v>
      </c>
    </row>
    <row r="491">
      <c r="A491" s="65">
        <f>ROW()-ROW(Table_Actions[N])</f>
        <v>255</v>
      </c>
      <c r="B491" s="56" t="s">
        <v>947</v>
      </c>
      <c r="C491" s="81" t="b">
        <v>0</v>
      </c>
      <c r="D491" s="78" t="s">
        <v>1350</v>
      </c>
      <c r="E491" s="78" t="s">
        <v>361</v>
      </c>
      <c r="F491" s="78" t="s">
        <v>364</v>
      </c>
      <c r="G491" s="78" t="s">
        <v>732</v>
      </c>
      <c r="H491" s="78" t="s">
        <v>1294</v>
      </c>
      <c r="I491" s="82" t="s">
        <v>730</v>
      </c>
      <c r="J491" s="78" t="s">
        <v>1295</v>
      </c>
      <c r="K491" s="78" t="s">
        <v>731</v>
      </c>
      <c r="L491" s="78" t="s">
        <v>1353</v>
      </c>
      <c r="M491" s="63" t="s">
        <v>1297</v>
      </c>
      <c r="N491" s="78" t="s">
        <v>1657</v>
      </c>
      <c r="O491" s="78" t="s">
        <v>1299</v>
      </c>
      <c r="P491" s="78" t="s">
        <v>1300</v>
      </c>
      <c r="Q491" s="78" t="s">
        <v>1301</v>
      </c>
      <c r="R491" s="78" t="s">
        <v>1302</v>
      </c>
      <c r="S491" s="79"/>
      <c r="T491" s="67" t="s">
        <v>1303</v>
      </c>
      <c r="U491" s="67" t="s">
        <v>1303</v>
      </c>
      <c r="V491" s="48">
        <v>0.0</v>
      </c>
      <c r="W491" s="68">
        <v>0.0</v>
      </c>
      <c r="X491" s="50" t="s">
        <v>1304</v>
      </c>
      <c r="Y491" s="83" t="s">
        <v>1305</v>
      </c>
    </row>
    <row r="492">
      <c r="A492" s="65">
        <f>ROW()-ROW(Table_Actions[N])</f>
        <v>256</v>
      </c>
      <c r="B492" s="56" t="s">
        <v>949</v>
      </c>
      <c r="C492" s="81" t="b">
        <v>0</v>
      </c>
      <c r="D492" s="78" t="s">
        <v>1350</v>
      </c>
      <c r="E492" s="78" t="s">
        <v>361</v>
      </c>
      <c r="F492" s="78" t="s">
        <v>364</v>
      </c>
      <c r="G492" s="78" t="s">
        <v>732</v>
      </c>
      <c r="H492" s="78" t="s">
        <v>1294</v>
      </c>
      <c r="I492" s="82" t="s">
        <v>730</v>
      </c>
      <c r="J492" s="78" t="s">
        <v>1295</v>
      </c>
      <c r="K492" s="78" t="s">
        <v>731</v>
      </c>
      <c r="L492" s="78" t="s">
        <v>1353</v>
      </c>
      <c r="M492" s="63" t="s">
        <v>1297</v>
      </c>
      <c r="N492" s="78" t="s">
        <v>1658</v>
      </c>
      <c r="O492" s="78" t="s">
        <v>1299</v>
      </c>
      <c r="P492" s="78" t="s">
        <v>1300</v>
      </c>
      <c r="Q492" s="78" t="s">
        <v>1301</v>
      </c>
      <c r="R492" s="78" t="s">
        <v>1302</v>
      </c>
      <c r="S492" s="79"/>
      <c r="T492" s="67" t="s">
        <v>1303</v>
      </c>
      <c r="U492" s="67" t="s">
        <v>1303</v>
      </c>
      <c r="V492" s="48">
        <v>0.0</v>
      </c>
      <c r="W492" s="68">
        <v>0.0</v>
      </c>
      <c r="X492" s="50" t="s">
        <v>1304</v>
      </c>
      <c r="Y492" s="83" t="s">
        <v>1305</v>
      </c>
    </row>
    <row r="493">
      <c r="A493" s="65">
        <f>ROW()-ROW(Table_Actions[N])</f>
        <v>257</v>
      </c>
      <c r="B493" s="56" t="s">
        <v>952</v>
      </c>
      <c r="C493" s="81" t="b">
        <v>0</v>
      </c>
      <c r="D493" s="78" t="s">
        <v>1350</v>
      </c>
      <c r="E493" s="78" t="s">
        <v>361</v>
      </c>
      <c r="F493" s="78" t="s">
        <v>364</v>
      </c>
      <c r="G493" s="78" t="s">
        <v>732</v>
      </c>
      <c r="H493" s="78" t="s">
        <v>1294</v>
      </c>
      <c r="I493" s="82" t="s">
        <v>730</v>
      </c>
      <c r="J493" s="78" t="s">
        <v>1295</v>
      </c>
      <c r="K493" s="78" t="s">
        <v>731</v>
      </c>
      <c r="L493" s="78" t="s">
        <v>1659</v>
      </c>
      <c r="M493" s="63" t="s">
        <v>1297</v>
      </c>
      <c r="N493" s="78" t="s">
        <v>1298</v>
      </c>
      <c r="O493" s="78" t="s">
        <v>1299</v>
      </c>
      <c r="P493" s="78" t="s">
        <v>1300</v>
      </c>
      <c r="Q493" s="78" t="s">
        <v>1301</v>
      </c>
      <c r="R493" s="78" t="s">
        <v>1302</v>
      </c>
      <c r="S493" s="79"/>
      <c r="T493" s="67" t="s">
        <v>1303</v>
      </c>
      <c r="U493" s="67" t="s">
        <v>1303</v>
      </c>
      <c r="V493" s="48">
        <v>0.0</v>
      </c>
      <c r="W493" s="68">
        <v>0.0</v>
      </c>
      <c r="X493" s="50" t="s">
        <v>1304</v>
      </c>
      <c r="Y493" s="83" t="s">
        <v>1305</v>
      </c>
    </row>
    <row r="494">
      <c r="A494" s="65">
        <f>ROW()-ROW(Table_Actions[N])</f>
        <v>258</v>
      </c>
      <c r="B494" s="56" t="s">
        <v>954</v>
      </c>
      <c r="C494" s="81" t="b">
        <v>0</v>
      </c>
      <c r="D494" s="78" t="s">
        <v>1350</v>
      </c>
      <c r="E494" s="78" t="s">
        <v>361</v>
      </c>
      <c r="F494" s="78" t="s">
        <v>364</v>
      </c>
      <c r="G494" s="78" t="s">
        <v>732</v>
      </c>
      <c r="H494" s="78" t="s">
        <v>1294</v>
      </c>
      <c r="I494" s="82" t="s">
        <v>730</v>
      </c>
      <c r="J494" s="78" t="s">
        <v>1295</v>
      </c>
      <c r="K494" s="78" t="s">
        <v>731</v>
      </c>
      <c r="L494" s="78" t="s">
        <v>1660</v>
      </c>
      <c r="M494" s="63" t="s">
        <v>1297</v>
      </c>
      <c r="N494" s="78" t="s">
        <v>1298</v>
      </c>
      <c r="O494" s="78" t="s">
        <v>1299</v>
      </c>
      <c r="P494" s="78" t="s">
        <v>1300</v>
      </c>
      <c r="Q494" s="78" t="s">
        <v>1301</v>
      </c>
      <c r="R494" s="78" t="s">
        <v>1302</v>
      </c>
      <c r="S494" s="79"/>
      <c r="T494" s="67" t="s">
        <v>1303</v>
      </c>
      <c r="U494" s="67" t="s">
        <v>1303</v>
      </c>
      <c r="V494" s="48">
        <v>0.0</v>
      </c>
      <c r="W494" s="68">
        <v>0.0</v>
      </c>
      <c r="X494" s="50" t="s">
        <v>1304</v>
      </c>
      <c r="Y494" s="83" t="s">
        <v>1305</v>
      </c>
    </row>
    <row r="495">
      <c r="A495" s="65">
        <f>ROW()-ROW(Table_Actions[N])</f>
        <v>259</v>
      </c>
      <c r="B495" s="54" t="s">
        <v>1661</v>
      </c>
      <c r="C495" s="62" t="b">
        <v>0</v>
      </c>
      <c r="D495" s="63" t="s">
        <v>1662</v>
      </c>
      <c r="E495" s="63" t="s">
        <v>562</v>
      </c>
      <c r="F495" s="63" t="s">
        <v>364</v>
      </c>
      <c r="G495" s="63" t="s">
        <v>732</v>
      </c>
      <c r="H495" s="63" t="s">
        <v>1294</v>
      </c>
      <c r="I495" s="66" t="s">
        <v>730</v>
      </c>
      <c r="J495" s="63" t="s">
        <v>1295</v>
      </c>
      <c r="K495" s="63" t="s">
        <v>731</v>
      </c>
      <c r="L495" s="63" t="s">
        <v>1296</v>
      </c>
      <c r="M495" s="63" t="s">
        <v>1297</v>
      </c>
      <c r="N495" s="63" t="s">
        <v>1298</v>
      </c>
      <c r="O495" s="63" t="s">
        <v>1299</v>
      </c>
      <c r="P495" s="63" t="s">
        <v>1300</v>
      </c>
      <c r="Q495" s="50" t="s">
        <v>1301</v>
      </c>
      <c r="R495" s="50" t="s">
        <v>1302</v>
      </c>
      <c r="S495" s="48"/>
      <c r="T495" s="67" t="s">
        <v>1303</v>
      </c>
      <c r="U495" s="67" t="s">
        <v>1303</v>
      </c>
      <c r="V495" s="48">
        <v>0.0</v>
      </c>
      <c r="W495" s="68">
        <v>1.0</v>
      </c>
      <c r="X495" s="50" t="s">
        <v>1304</v>
      </c>
      <c r="Y495" s="50" t="s">
        <v>1305</v>
      </c>
    </row>
    <row r="496">
      <c r="A496" s="65">
        <f>ROW()-ROW(Table_Actions[N])</f>
        <v>260</v>
      </c>
      <c r="B496" s="54" t="s">
        <v>1663</v>
      </c>
      <c r="C496" s="62" t="b">
        <v>0</v>
      </c>
      <c r="D496" s="63" t="s">
        <v>1664</v>
      </c>
      <c r="E496" s="63" t="s">
        <v>562</v>
      </c>
      <c r="F496" s="63" t="s">
        <v>364</v>
      </c>
      <c r="G496" s="63" t="s">
        <v>732</v>
      </c>
      <c r="H496" s="63" t="s">
        <v>1294</v>
      </c>
      <c r="I496" s="66" t="s">
        <v>730</v>
      </c>
      <c r="J496" s="63" t="s">
        <v>1295</v>
      </c>
      <c r="K496" s="63" t="s">
        <v>731</v>
      </c>
      <c r="L496" s="63" t="s">
        <v>1296</v>
      </c>
      <c r="M496" s="63" t="s">
        <v>1297</v>
      </c>
      <c r="N496" s="63" t="s">
        <v>1298</v>
      </c>
      <c r="O496" s="63" t="s">
        <v>1299</v>
      </c>
      <c r="P496" s="63" t="s">
        <v>1300</v>
      </c>
      <c r="Q496" s="50" t="s">
        <v>1301</v>
      </c>
      <c r="R496" s="50" t="s">
        <v>1302</v>
      </c>
      <c r="S496" s="48"/>
      <c r="T496" s="67" t="s">
        <v>1303</v>
      </c>
      <c r="U496" s="67" t="s">
        <v>1303</v>
      </c>
      <c r="V496" s="48">
        <v>0.0</v>
      </c>
      <c r="W496" s="68">
        <v>0.0</v>
      </c>
      <c r="X496" s="50" t="s">
        <v>1304</v>
      </c>
      <c r="Y496" s="50" t="s">
        <v>1305</v>
      </c>
    </row>
    <row r="497">
      <c r="A497" s="65">
        <f>ROW()-ROW(Table_Actions[N])</f>
        <v>261</v>
      </c>
      <c r="B497" s="54" t="s">
        <v>1665</v>
      </c>
      <c r="C497" s="62" t="b">
        <v>1</v>
      </c>
      <c r="D497" s="63" t="s">
        <v>1372</v>
      </c>
      <c r="E497" s="63" t="s">
        <v>577</v>
      </c>
      <c r="F497" s="63" t="s">
        <v>364</v>
      </c>
      <c r="G497" s="63" t="s">
        <v>732</v>
      </c>
      <c r="H497" s="63" t="s">
        <v>1294</v>
      </c>
      <c r="I497" s="66" t="s">
        <v>730</v>
      </c>
      <c r="J497" s="63" t="s">
        <v>1295</v>
      </c>
      <c r="K497" s="63" t="s">
        <v>731</v>
      </c>
      <c r="L497" s="63" t="s">
        <v>1296</v>
      </c>
      <c r="M497" s="63" t="s">
        <v>1297</v>
      </c>
      <c r="N497" s="63" t="s">
        <v>1298</v>
      </c>
      <c r="O497" s="63" t="s">
        <v>1380</v>
      </c>
      <c r="P497" s="63" t="s">
        <v>1300</v>
      </c>
      <c r="Q497" s="50" t="s">
        <v>1301</v>
      </c>
      <c r="R497" s="50" t="s">
        <v>1302</v>
      </c>
      <c r="T497" s="67" t="s">
        <v>1303</v>
      </c>
      <c r="U497" s="67" t="s">
        <v>1303</v>
      </c>
      <c r="V497" s="48">
        <v>0.0</v>
      </c>
      <c r="W497" s="68">
        <v>0.0</v>
      </c>
      <c r="X497" s="50" t="s">
        <v>1304</v>
      </c>
      <c r="Y497" s="50" t="s">
        <v>1305</v>
      </c>
    </row>
    <row r="498">
      <c r="A498" s="65">
        <f>ROW()-ROW(Table_Actions[N])</f>
        <v>262</v>
      </c>
      <c r="B498" s="54" t="s">
        <v>1666</v>
      </c>
      <c r="C498" s="62" t="b">
        <v>0</v>
      </c>
      <c r="D498" s="63" t="s">
        <v>1372</v>
      </c>
      <c r="E498" s="63" t="s">
        <v>577</v>
      </c>
      <c r="F498" s="63" t="s">
        <v>364</v>
      </c>
      <c r="G498" s="63" t="s">
        <v>732</v>
      </c>
      <c r="H498" s="63" t="s">
        <v>1294</v>
      </c>
      <c r="I498" s="66" t="s">
        <v>730</v>
      </c>
      <c r="J498" s="63" t="s">
        <v>1295</v>
      </c>
      <c r="K498" s="63" t="s">
        <v>731</v>
      </c>
      <c r="L498" s="63" t="s">
        <v>1296</v>
      </c>
      <c r="M498" s="63" t="s">
        <v>1297</v>
      </c>
      <c r="N498" s="63" t="s">
        <v>1298</v>
      </c>
      <c r="O498" s="63" t="s">
        <v>1521</v>
      </c>
      <c r="P498" s="63" t="s">
        <v>1300</v>
      </c>
      <c r="Q498" s="50" t="s">
        <v>1301</v>
      </c>
      <c r="R498" s="50" t="s">
        <v>1302</v>
      </c>
      <c r="T498" s="67" t="s">
        <v>1667</v>
      </c>
      <c r="U498" s="67" t="s">
        <v>1303</v>
      </c>
      <c r="V498" s="48">
        <v>0.0</v>
      </c>
      <c r="W498" s="68">
        <v>0.0</v>
      </c>
      <c r="X498" s="50" t="s">
        <v>1304</v>
      </c>
      <c r="Y498" s="50" t="s">
        <v>1305</v>
      </c>
    </row>
    <row r="499">
      <c r="A499" s="65">
        <f>ROW()-ROW(Table_Actions[N])</f>
        <v>263</v>
      </c>
      <c r="B499" s="54" t="s">
        <v>1668</v>
      </c>
      <c r="C499" s="62" t="b">
        <v>0</v>
      </c>
      <c r="D499" s="63" t="s">
        <v>1558</v>
      </c>
      <c r="E499" s="63" t="s">
        <v>361</v>
      </c>
      <c r="F499" s="63" t="s">
        <v>364</v>
      </c>
      <c r="G499" s="63" t="s">
        <v>732</v>
      </c>
      <c r="H499" s="63" t="s">
        <v>1294</v>
      </c>
      <c r="I499" s="66" t="s">
        <v>730</v>
      </c>
      <c r="J499" s="63" t="s">
        <v>1295</v>
      </c>
      <c r="K499" s="63" t="s">
        <v>777</v>
      </c>
      <c r="L499" s="63" t="s">
        <v>1296</v>
      </c>
      <c r="M499" s="63" t="s">
        <v>1297</v>
      </c>
      <c r="N499" s="63" t="s">
        <v>1298</v>
      </c>
      <c r="O499" s="63" t="s">
        <v>1299</v>
      </c>
      <c r="P499" s="63" t="s">
        <v>1300</v>
      </c>
      <c r="Q499" s="50" t="s">
        <v>1301</v>
      </c>
      <c r="R499" s="50" t="s">
        <v>1669</v>
      </c>
      <c r="S499" s="48" t="s">
        <v>1560</v>
      </c>
      <c r="T499" s="67" t="s">
        <v>1303</v>
      </c>
      <c r="U499" s="67" t="s">
        <v>1303</v>
      </c>
      <c r="V499" s="48">
        <v>0.0</v>
      </c>
      <c r="W499" s="68">
        <v>540.0</v>
      </c>
      <c r="X499" s="50" t="s">
        <v>1304</v>
      </c>
      <c r="Y499" s="50" t="s">
        <v>1305</v>
      </c>
    </row>
    <row r="500">
      <c r="A500" s="65">
        <f>ROW()-ROW(Table_Actions[N])</f>
        <v>264</v>
      </c>
      <c r="B500" s="54" t="s">
        <v>1202</v>
      </c>
      <c r="C500" s="62" t="b">
        <v>1</v>
      </c>
      <c r="D500" s="63" t="s">
        <v>1350</v>
      </c>
      <c r="E500" s="63" t="s">
        <v>361</v>
      </c>
      <c r="F500" s="63" t="s">
        <v>364</v>
      </c>
      <c r="G500" s="63" t="s">
        <v>732</v>
      </c>
      <c r="H500" s="63" t="s">
        <v>1294</v>
      </c>
      <c r="I500" s="66" t="s">
        <v>730</v>
      </c>
      <c r="J500" s="63" t="s">
        <v>1295</v>
      </c>
      <c r="K500" s="63" t="s">
        <v>731</v>
      </c>
      <c r="L500" s="63" t="s">
        <v>1670</v>
      </c>
      <c r="M500" s="63" t="s">
        <v>1297</v>
      </c>
      <c r="N500" s="63" t="s">
        <v>1298</v>
      </c>
      <c r="O500" s="63" t="s">
        <v>1299</v>
      </c>
      <c r="P500" s="63" t="s">
        <v>1300</v>
      </c>
      <c r="Q500" s="50" t="s">
        <v>1301</v>
      </c>
      <c r="R500" s="50" t="s">
        <v>1302</v>
      </c>
      <c r="T500" s="67" t="s">
        <v>1303</v>
      </c>
      <c r="U500" s="67" t="s">
        <v>1303</v>
      </c>
      <c r="V500" s="48">
        <v>0.0</v>
      </c>
      <c r="W500" s="68">
        <v>0.0</v>
      </c>
      <c r="X500" s="50" t="s">
        <v>1304</v>
      </c>
      <c r="Y500" s="50" t="s">
        <v>1305</v>
      </c>
    </row>
    <row r="501">
      <c r="A501" s="65">
        <f>ROW()-ROW(Table_Actions[N])</f>
        <v>265</v>
      </c>
      <c r="B501" s="54" t="s">
        <v>1671</v>
      </c>
      <c r="C501" s="62" t="b">
        <v>1</v>
      </c>
      <c r="D501" s="63" t="s">
        <v>1581</v>
      </c>
      <c r="E501" s="63" t="s">
        <v>361</v>
      </c>
      <c r="F501" s="63" t="s">
        <v>364</v>
      </c>
      <c r="G501" s="63" t="s">
        <v>732</v>
      </c>
      <c r="H501" s="63" t="s">
        <v>1294</v>
      </c>
      <c r="I501" s="66" t="s">
        <v>730</v>
      </c>
      <c r="J501" s="63" t="s">
        <v>1295</v>
      </c>
      <c r="K501" s="63" t="s">
        <v>731</v>
      </c>
      <c r="L501" s="63" t="s">
        <v>1296</v>
      </c>
      <c r="M501" s="63" t="s">
        <v>1297</v>
      </c>
      <c r="N501" s="63" t="s">
        <v>1298</v>
      </c>
      <c r="O501" s="63" t="s">
        <v>1299</v>
      </c>
      <c r="P501" s="63" t="s">
        <v>1300</v>
      </c>
      <c r="Q501" s="50" t="s">
        <v>1301</v>
      </c>
      <c r="R501" s="50" t="s">
        <v>1302</v>
      </c>
      <c r="S501" s="48" t="s">
        <v>1672</v>
      </c>
      <c r="T501" s="67" t="s">
        <v>1303</v>
      </c>
      <c r="U501" s="67" t="s">
        <v>1303</v>
      </c>
      <c r="V501" s="48">
        <v>0.0</v>
      </c>
      <c r="W501" s="68">
        <v>0.0</v>
      </c>
      <c r="X501" s="50" t="s">
        <v>1304</v>
      </c>
      <c r="Y501" s="50" t="s">
        <v>1305</v>
      </c>
    </row>
    <row r="502">
      <c r="A502" s="65">
        <f>ROW()-ROW(Table_Actions[N])</f>
        <v>266</v>
      </c>
      <c r="B502" s="54" t="s">
        <v>1673</v>
      </c>
      <c r="C502" s="62" t="b">
        <v>0</v>
      </c>
      <c r="D502" s="63" t="s">
        <v>1558</v>
      </c>
      <c r="E502" s="63" t="s">
        <v>361</v>
      </c>
      <c r="F502" s="63" t="s">
        <v>364</v>
      </c>
      <c r="G502" s="63" t="s">
        <v>732</v>
      </c>
      <c r="H502" s="63" t="s">
        <v>1294</v>
      </c>
      <c r="I502" s="66" t="s">
        <v>730</v>
      </c>
      <c r="J502" s="63" t="s">
        <v>1295</v>
      </c>
      <c r="K502" s="63" t="s">
        <v>777</v>
      </c>
      <c r="L502" s="63" t="s">
        <v>1296</v>
      </c>
      <c r="M502" s="63" t="s">
        <v>1297</v>
      </c>
      <c r="N502" s="63" t="s">
        <v>1298</v>
      </c>
      <c r="O502" s="63" t="s">
        <v>1299</v>
      </c>
      <c r="P502" s="63" t="s">
        <v>1300</v>
      </c>
      <c r="Q502" s="50" t="s">
        <v>1301</v>
      </c>
      <c r="R502" s="50" t="s">
        <v>1674</v>
      </c>
      <c r="S502" s="48" t="s">
        <v>1560</v>
      </c>
      <c r="T502" s="67" t="s">
        <v>1303</v>
      </c>
      <c r="U502" s="67" t="s">
        <v>1303</v>
      </c>
      <c r="V502" s="48">
        <v>0.0</v>
      </c>
      <c r="W502" s="68">
        <v>540.0</v>
      </c>
      <c r="X502" s="50" t="s">
        <v>1304</v>
      </c>
      <c r="Y502" s="50" t="s">
        <v>1305</v>
      </c>
    </row>
    <row r="503">
      <c r="A503" s="65">
        <f>ROW()-ROW(Table_Actions[N])</f>
        <v>267</v>
      </c>
      <c r="B503" s="54" t="s">
        <v>1204</v>
      </c>
      <c r="C503" s="62" t="b">
        <v>0</v>
      </c>
      <c r="D503" s="63" t="s">
        <v>1516</v>
      </c>
      <c r="E503" s="63" t="s">
        <v>361</v>
      </c>
      <c r="F503" s="63" t="s">
        <v>364</v>
      </c>
      <c r="G503" s="63" t="s">
        <v>732</v>
      </c>
      <c r="H503" s="63" t="s">
        <v>1294</v>
      </c>
      <c r="I503" s="66" t="s">
        <v>730</v>
      </c>
      <c r="J503" s="63" t="s">
        <v>1295</v>
      </c>
      <c r="K503" s="63" t="s">
        <v>731</v>
      </c>
      <c r="L503" s="63" t="s">
        <v>1296</v>
      </c>
      <c r="M503" s="63" t="s">
        <v>1297</v>
      </c>
      <c r="N503" s="63" t="s">
        <v>1298</v>
      </c>
      <c r="O503" s="63" t="s">
        <v>1299</v>
      </c>
      <c r="P503" s="63" t="s">
        <v>1300</v>
      </c>
      <c r="Q503" s="50" t="s">
        <v>1675</v>
      </c>
      <c r="R503" s="50" t="s">
        <v>1302</v>
      </c>
      <c r="T503" s="50" t="s">
        <v>1303</v>
      </c>
      <c r="U503" s="50" t="s">
        <v>1303</v>
      </c>
      <c r="V503" s="48">
        <v>0.0</v>
      </c>
      <c r="W503" s="68">
        <v>0.0</v>
      </c>
      <c r="X503" s="50" t="s">
        <v>1304</v>
      </c>
      <c r="Y503" s="50" t="s">
        <v>1305</v>
      </c>
    </row>
    <row r="504">
      <c r="A504" s="65">
        <f>ROW()-ROW(Table_Actions[N])</f>
        <v>268</v>
      </c>
      <c r="B504" s="54" t="s">
        <v>955</v>
      </c>
      <c r="C504" s="62" t="b">
        <v>0</v>
      </c>
      <c r="D504" s="63" t="s">
        <v>1350</v>
      </c>
      <c r="E504" s="63" t="s">
        <v>361</v>
      </c>
      <c r="F504" s="63" t="s">
        <v>364</v>
      </c>
      <c r="G504" s="63" t="s">
        <v>732</v>
      </c>
      <c r="H504" s="63" t="s">
        <v>1294</v>
      </c>
      <c r="I504" s="66" t="s">
        <v>730</v>
      </c>
      <c r="J504" s="63" t="s">
        <v>1295</v>
      </c>
      <c r="K504" s="63" t="s">
        <v>731</v>
      </c>
      <c r="L504" s="63" t="s">
        <v>1353</v>
      </c>
      <c r="M504" s="63" t="s">
        <v>1297</v>
      </c>
      <c r="N504" s="63" t="s">
        <v>1676</v>
      </c>
      <c r="O504" s="63" t="s">
        <v>1299</v>
      </c>
      <c r="P504" s="63" t="s">
        <v>1300</v>
      </c>
      <c r="Q504" s="50" t="s">
        <v>1301</v>
      </c>
      <c r="R504" s="50" t="s">
        <v>1302</v>
      </c>
      <c r="S504" s="48"/>
      <c r="T504" s="67" t="s">
        <v>1303</v>
      </c>
      <c r="U504" s="67" t="s">
        <v>1303</v>
      </c>
      <c r="V504" s="48">
        <v>0.0</v>
      </c>
      <c r="W504" s="68">
        <v>0.0</v>
      </c>
      <c r="X504" s="50" t="s">
        <v>1304</v>
      </c>
      <c r="Y504" s="50" t="s">
        <v>1305</v>
      </c>
    </row>
    <row r="505">
      <c r="A505" s="65">
        <f>ROW()-ROW(Table_Actions[N])</f>
        <v>269</v>
      </c>
      <c r="B505" s="54" t="s">
        <v>957</v>
      </c>
      <c r="C505" s="62" t="b">
        <v>0</v>
      </c>
      <c r="D505" s="63" t="s">
        <v>1350</v>
      </c>
      <c r="E505" s="63" t="s">
        <v>361</v>
      </c>
      <c r="F505" s="63" t="s">
        <v>364</v>
      </c>
      <c r="G505" s="63" t="s">
        <v>732</v>
      </c>
      <c r="H505" s="63" t="s">
        <v>1294</v>
      </c>
      <c r="I505" s="66" t="s">
        <v>730</v>
      </c>
      <c r="J505" s="63" t="s">
        <v>1295</v>
      </c>
      <c r="K505" s="63" t="s">
        <v>731</v>
      </c>
      <c r="L505" s="63" t="s">
        <v>1677</v>
      </c>
      <c r="M505" s="63" t="s">
        <v>1297</v>
      </c>
      <c r="N505" s="63" t="s">
        <v>1298</v>
      </c>
      <c r="O505" s="63" t="s">
        <v>1299</v>
      </c>
      <c r="P505" s="63" t="s">
        <v>1300</v>
      </c>
      <c r="Q505" s="50" t="s">
        <v>1301</v>
      </c>
      <c r="R505" s="50" t="s">
        <v>1302</v>
      </c>
      <c r="S505" s="48"/>
      <c r="T505" s="50" t="s">
        <v>1303</v>
      </c>
      <c r="U505" s="50" t="s">
        <v>1303</v>
      </c>
      <c r="V505" s="48">
        <v>0.0</v>
      </c>
      <c r="W505" s="68">
        <v>0.0</v>
      </c>
      <c r="X505" s="50" t="s">
        <v>1304</v>
      </c>
      <c r="Y505" s="50" t="s">
        <v>1305</v>
      </c>
    </row>
    <row r="506">
      <c r="A506" s="65">
        <f>ROW()-ROW(Table_Actions[N])</f>
        <v>270</v>
      </c>
      <c r="B506" s="54" t="s">
        <v>1678</v>
      </c>
      <c r="C506" s="62" t="b">
        <v>1</v>
      </c>
      <c r="D506" s="63" t="s">
        <v>1372</v>
      </c>
      <c r="E506" s="63" t="s">
        <v>581</v>
      </c>
      <c r="F506" s="63" t="s">
        <v>364</v>
      </c>
      <c r="G506" s="63" t="s">
        <v>732</v>
      </c>
      <c r="H506" s="63" t="s">
        <v>1294</v>
      </c>
      <c r="I506" s="66" t="s">
        <v>730</v>
      </c>
      <c r="J506" s="63" t="s">
        <v>1295</v>
      </c>
      <c r="K506" s="63" t="s">
        <v>731</v>
      </c>
      <c r="L506" s="63" t="s">
        <v>1296</v>
      </c>
      <c r="M506" s="63" t="s">
        <v>1297</v>
      </c>
      <c r="N506" s="63" t="s">
        <v>1298</v>
      </c>
      <c r="O506" s="63" t="s">
        <v>1521</v>
      </c>
      <c r="P506" s="63" t="s">
        <v>1300</v>
      </c>
      <c r="Q506" s="50" t="s">
        <v>1301</v>
      </c>
      <c r="R506" s="50" t="s">
        <v>1302</v>
      </c>
      <c r="T506" s="67" t="s">
        <v>1303</v>
      </c>
      <c r="U506" s="67" t="s">
        <v>1303</v>
      </c>
      <c r="V506" s="48">
        <v>0.0</v>
      </c>
      <c r="W506" s="68">
        <v>0.0</v>
      </c>
      <c r="X506" s="50" t="s">
        <v>1304</v>
      </c>
      <c r="Y506" s="50" t="s">
        <v>1305</v>
      </c>
    </row>
    <row r="507">
      <c r="A507" s="65">
        <f>ROW()-ROW(Table_Actions[N])</f>
        <v>271</v>
      </c>
      <c r="B507" s="54" t="s">
        <v>1679</v>
      </c>
      <c r="C507" s="62" t="b">
        <v>0</v>
      </c>
      <c r="D507" s="63" t="s">
        <v>1322</v>
      </c>
      <c r="E507" s="63" t="s">
        <v>581</v>
      </c>
      <c r="F507" s="63" t="s">
        <v>364</v>
      </c>
      <c r="G507" s="63" t="s">
        <v>732</v>
      </c>
      <c r="H507" s="63" t="s">
        <v>1294</v>
      </c>
      <c r="I507" s="66" t="s">
        <v>730</v>
      </c>
      <c r="J507" s="63" t="s">
        <v>1295</v>
      </c>
      <c r="K507" s="63" t="s">
        <v>731</v>
      </c>
      <c r="L507" s="63" t="s">
        <v>1296</v>
      </c>
      <c r="M507" s="63" t="s">
        <v>1297</v>
      </c>
      <c r="N507" s="63" t="s">
        <v>1298</v>
      </c>
      <c r="O507" s="63" t="s">
        <v>1299</v>
      </c>
      <c r="P507" s="63" t="s">
        <v>1300</v>
      </c>
      <c r="Q507" s="50" t="s">
        <v>1301</v>
      </c>
      <c r="R507" s="50" t="s">
        <v>1302</v>
      </c>
      <c r="S507" s="48"/>
      <c r="T507" s="67" t="s">
        <v>1303</v>
      </c>
      <c r="U507" s="67" t="s">
        <v>1303</v>
      </c>
      <c r="V507" s="48">
        <v>0.0</v>
      </c>
      <c r="W507" s="68">
        <v>0.0</v>
      </c>
      <c r="X507" s="50" t="s">
        <v>1304</v>
      </c>
      <c r="Y507" s="50" t="s">
        <v>1305</v>
      </c>
    </row>
    <row r="508">
      <c r="A508" s="65">
        <f>ROW()-ROW(Table_Actions[N])</f>
        <v>272</v>
      </c>
      <c r="B508" s="54" t="s">
        <v>1207</v>
      </c>
      <c r="C508" s="72" t="b">
        <v>0</v>
      </c>
      <c r="D508" s="63" t="s">
        <v>1318</v>
      </c>
      <c r="E508" s="55" t="s">
        <v>581</v>
      </c>
      <c r="F508" s="55" t="s">
        <v>364</v>
      </c>
      <c r="G508" s="55" t="s">
        <v>732</v>
      </c>
      <c r="H508" s="55" t="s">
        <v>1294</v>
      </c>
      <c r="I508" s="70" t="s">
        <v>730</v>
      </c>
      <c r="J508" s="55" t="s">
        <v>1295</v>
      </c>
      <c r="K508" s="55" t="s">
        <v>731</v>
      </c>
      <c r="L508" s="55" t="s">
        <v>1296</v>
      </c>
      <c r="M508" s="63" t="s">
        <v>1297</v>
      </c>
      <c r="N508" s="55" t="s">
        <v>1298</v>
      </c>
      <c r="O508" s="55" t="s">
        <v>1299</v>
      </c>
      <c r="P508" s="55" t="s">
        <v>1300</v>
      </c>
      <c r="Q508" s="55" t="s">
        <v>1301</v>
      </c>
      <c r="R508" s="55" t="s">
        <v>1302</v>
      </c>
      <c r="S508" s="75"/>
      <c r="T508" s="84" t="s">
        <v>1303</v>
      </c>
      <c r="U508" s="84" t="s">
        <v>1303</v>
      </c>
      <c r="V508" s="75">
        <v>0.0</v>
      </c>
      <c r="W508" s="85">
        <v>0.0</v>
      </c>
      <c r="X508" s="50" t="s">
        <v>1304</v>
      </c>
      <c r="Y508" s="55" t="s">
        <v>1305</v>
      </c>
    </row>
    <row r="509">
      <c r="A509" s="65">
        <f>ROW()-ROW(Table_Actions[N])</f>
        <v>273</v>
      </c>
      <c r="B509" s="54" t="s">
        <v>1680</v>
      </c>
      <c r="C509" s="62" t="b">
        <v>0</v>
      </c>
      <c r="D509" s="63" t="s">
        <v>1310</v>
      </c>
      <c r="E509" s="63" t="s">
        <v>361</v>
      </c>
      <c r="F509" s="63" t="s">
        <v>364</v>
      </c>
      <c r="G509" s="63" t="s">
        <v>732</v>
      </c>
      <c r="H509" s="63" t="s">
        <v>1294</v>
      </c>
      <c r="I509" s="66" t="s">
        <v>1681</v>
      </c>
      <c r="J509" s="63" t="s">
        <v>1295</v>
      </c>
      <c r="K509" s="63" t="s">
        <v>731</v>
      </c>
      <c r="L509" s="63" t="s">
        <v>1296</v>
      </c>
      <c r="M509" s="63" t="s">
        <v>1297</v>
      </c>
      <c r="N509" s="63" t="s">
        <v>1298</v>
      </c>
      <c r="O509" s="63" t="s">
        <v>1299</v>
      </c>
      <c r="P509" s="63" t="s">
        <v>1300</v>
      </c>
      <c r="Q509" s="50" t="s">
        <v>1301</v>
      </c>
      <c r="R509" s="50" t="s">
        <v>1302</v>
      </c>
      <c r="S509" s="48"/>
      <c r="T509" s="67" t="s">
        <v>1303</v>
      </c>
      <c r="U509" s="67" t="s">
        <v>1303</v>
      </c>
      <c r="V509" s="48">
        <v>0.0</v>
      </c>
      <c r="W509" s="68">
        <v>0.0</v>
      </c>
      <c r="X509" s="50" t="s">
        <v>1304</v>
      </c>
      <c r="Y509" s="50" t="s">
        <v>1305</v>
      </c>
    </row>
    <row r="510">
      <c r="A510" s="65">
        <f>ROW()-ROW(Table_Actions[N])</f>
        <v>274</v>
      </c>
      <c r="B510" s="54" t="s">
        <v>959</v>
      </c>
      <c r="C510" s="62" t="b">
        <v>0</v>
      </c>
      <c r="D510" s="63" t="s">
        <v>1350</v>
      </c>
      <c r="E510" s="63" t="s">
        <v>361</v>
      </c>
      <c r="F510" s="63" t="s">
        <v>364</v>
      </c>
      <c r="G510" s="63" t="s">
        <v>732</v>
      </c>
      <c r="H510" s="63" t="s">
        <v>1294</v>
      </c>
      <c r="I510" s="66" t="s">
        <v>730</v>
      </c>
      <c r="J510" s="63" t="s">
        <v>1295</v>
      </c>
      <c r="K510" s="63" t="s">
        <v>731</v>
      </c>
      <c r="L510" s="63" t="s">
        <v>1353</v>
      </c>
      <c r="M510" s="63" t="s">
        <v>1297</v>
      </c>
      <c r="N510" s="63" t="s">
        <v>1682</v>
      </c>
      <c r="O510" s="63" t="s">
        <v>1299</v>
      </c>
      <c r="P510" s="63" t="s">
        <v>1300</v>
      </c>
      <c r="Q510" s="50" t="s">
        <v>1301</v>
      </c>
      <c r="R510" s="50" t="s">
        <v>1302</v>
      </c>
      <c r="S510" s="48"/>
      <c r="T510" s="67" t="s">
        <v>1303</v>
      </c>
      <c r="U510" s="67" t="s">
        <v>1303</v>
      </c>
      <c r="V510" s="48">
        <v>0.0</v>
      </c>
      <c r="W510" s="68">
        <v>0.0</v>
      </c>
      <c r="X510" s="50" t="s">
        <v>1304</v>
      </c>
      <c r="Y510" s="50" t="s">
        <v>1305</v>
      </c>
    </row>
    <row r="511">
      <c r="A511" s="65">
        <f>ROW()-ROW(Table_Actions[N])</f>
        <v>275</v>
      </c>
      <c r="B511" s="54" t="s">
        <v>961</v>
      </c>
      <c r="C511" s="62" t="b">
        <v>0</v>
      </c>
      <c r="D511" s="63" t="s">
        <v>1350</v>
      </c>
      <c r="E511" s="63" t="s">
        <v>361</v>
      </c>
      <c r="F511" s="63" t="s">
        <v>364</v>
      </c>
      <c r="G511" s="63" t="s">
        <v>732</v>
      </c>
      <c r="H511" s="63" t="s">
        <v>1294</v>
      </c>
      <c r="I511" s="66" t="s">
        <v>730</v>
      </c>
      <c r="J511" s="63" t="s">
        <v>1295</v>
      </c>
      <c r="K511" s="63" t="s">
        <v>731</v>
      </c>
      <c r="L511" s="63" t="s">
        <v>1353</v>
      </c>
      <c r="M511" s="63" t="s">
        <v>1297</v>
      </c>
      <c r="N511" s="63" t="s">
        <v>1683</v>
      </c>
      <c r="O511" s="63" t="s">
        <v>1299</v>
      </c>
      <c r="P511" s="63" t="s">
        <v>1300</v>
      </c>
      <c r="Q511" s="50" t="s">
        <v>1301</v>
      </c>
      <c r="R511" s="50" t="s">
        <v>1302</v>
      </c>
      <c r="S511" s="48"/>
      <c r="T511" s="50" t="s">
        <v>1303</v>
      </c>
      <c r="U511" s="50" t="s">
        <v>1303</v>
      </c>
      <c r="V511" s="48">
        <v>0.0</v>
      </c>
      <c r="W511" s="68">
        <v>0.0</v>
      </c>
      <c r="X511" s="50" t="s">
        <v>1304</v>
      </c>
      <c r="Y511" s="50" t="s">
        <v>1305</v>
      </c>
    </row>
    <row r="512">
      <c r="A512" s="65">
        <f>ROW()-ROW(Table_Actions[N])</f>
        <v>276</v>
      </c>
      <c r="B512" s="54" t="s">
        <v>1210</v>
      </c>
      <c r="C512" s="62" t="b">
        <v>0</v>
      </c>
      <c r="D512" s="63" t="s">
        <v>1324</v>
      </c>
      <c r="E512" s="63" t="s">
        <v>588</v>
      </c>
      <c r="F512" s="63" t="s">
        <v>364</v>
      </c>
      <c r="G512" s="63" t="s">
        <v>732</v>
      </c>
      <c r="H512" s="63" t="s">
        <v>1294</v>
      </c>
      <c r="I512" s="66" t="s">
        <v>730</v>
      </c>
      <c r="J512" s="63" t="s">
        <v>1295</v>
      </c>
      <c r="K512" s="63" t="s">
        <v>731</v>
      </c>
      <c r="L512" s="63" t="s">
        <v>1296</v>
      </c>
      <c r="M512" s="63" t="s">
        <v>1297</v>
      </c>
      <c r="N512" s="63" t="s">
        <v>1298</v>
      </c>
      <c r="O512" s="63" t="s">
        <v>1299</v>
      </c>
      <c r="P512" s="63" t="s">
        <v>1300</v>
      </c>
      <c r="Q512" s="50" t="s">
        <v>1301</v>
      </c>
      <c r="R512" s="50" t="s">
        <v>1302</v>
      </c>
      <c r="S512" s="48"/>
      <c r="T512" s="50" t="s">
        <v>1303</v>
      </c>
      <c r="U512" s="50" t="s">
        <v>1303</v>
      </c>
      <c r="V512" s="48">
        <v>0.0</v>
      </c>
      <c r="W512" s="68">
        <v>0.0</v>
      </c>
      <c r="X512" s="50" t="s">
        <v>1304</v>
      </c>
      <c r="Y512" s="50" t="s">
        <v>1305</v>
      </c>
    </row>
    <row r="513">
      <c r="A513" s="65">
        <f>ROW()-ROW(Table_Actions[N])</f>
        <v>277</v>
      </c>
      <c r="B513" s="54" t="s">
        <v>1684</v>
      </c>
      <c r="C513" s="62" t="b">
        <v>0</v>
      </c>
      <c r="D513" s="63" t="s">
        <v>1326</v>
      </c>
      <c r="E513" s="63" t="s">
        <v>588</v>
      </c>
      <c r="F513" s="63" t="s">
        <v>364</v>
      </c>
      <c r="G513" s="63" t="s">
        <v>936</v>
      </c>
      <c r="H513" s="63" t="s">
        <v>1294</v>
      </c>
      <c r="I513" s="66" t="s">
        <v>730</v>
      </c>
      <c r="J513" s="63" t="s">
        <v>1295</v>
      </c>
      <c r="K513" s="63" t="s">
        <v>731</v>
      </c>
      <c r="L513" s="63" t="s">
        <v>1296</v>
      </c>
      <c r="M513" s="63" t="s">
        <v>1297</v>
      </c>
      <c r="N513" s="63" t="s">
        <v>1298</v>
      </c>
      <c r="O513" s="63" t="s">
        <v>1299</v>
      </c>
      <c r="P513" s="63" t="s">
        <v>1300</v>
      </c>
      <c r="Q513" s="50" t="s">
        <v>1301</v>
      </c>
      <c r="R513" s="50" t="s">
        <v>1302</v>
      </c>
      <c r="S513" s="48"/>
      <c r="T513" s="50" t="s">
        <v>1303</v>
      </c>
      <c r="U513" s="50" t="s">
        <v>1303</v>
      </c>
      <c r="V513" s="48">
        <v>0.0</v>
      </c>
      <c r="W513" s="68">
        <v>0.0</v>
      </c>
      <c r="X513" s="50" t="s">
        <v>1304</v>
      </c>
      <c r="Y513" s="50" t="s">
        <v>1305</v>
      </c>
    </row>
    <row r="514">
      <c r="A514" s="65">
        <f>ROW()-ROW(Table_Actions[N])</f>
        <v>278</v>
      </c>
      <c r="B514" s="54" t="s">
        <v>1685</v>
      </c>
      <c r="C514" s="62" t="b">
        <v>0</v>
      </c>
      <c r="D514" s="63" t="s">
        <v>1310</v>
      </c>
      <c r="E514" s="63" t="s">
        <v>361</v>
      </c>
      <c r="F514" s="63" t="s">
        <v>364</v>
      </c>
      <c r="G514" s="63" t="s">
        <v>732</v>
      </c>
      <c r="H514" s="63" t="s">
        <v>1294</v>
      </c>
      <c r="I514" s="66" t="s">
        <v>1209</v>
      </c>
      <c r="J514" s="63" t="s">
        <v>1295</v>
      </c>
      <c r="K514" s="63" t="s">
        <v>731</v>
      </c>
      <c r="L514" s="63" t="s">
        <v>1296</v>
      </c>
      <c r="M514" s="63" t="s">
        <v>1297</v>
      </c>
      <c r="N514" s="63" t="s">
        <v>1298</v>
      </c>
      <c r="O514" s="63" t="s">
        <v>1299</v>
      </c>
      <c r="P514" s="63" t="s">
        <v>1300</v>
      </c>
      <c r="Q514" s="50" t="s">
        <v>1301</v>
      </c>
      <c r="R514" s="50" t="s">
        <v>1302</v>
      </c>
      <c r="S514" s="48"/>
      <c r="T514" s="67" t="s">
        <v>1303</v>
      </c>
      <c r="U514" s="67" t="s">
        <v>1303</v>
      </c>
      <c r="V514" s="48">
        <v>0.0</v>
      </c>
      <c r="W514" s="68">
        <v>0.0</v>
      </c>
      <c r="X514" s="50" t="s">
        <v>1304</v>
      </c>
      <c r="Y514" s="50" t="s">
        <v>1305</v>
      </c>
    </row>
    <row r="515">
      <c r="A515" s="65">
        <f>ROW()-ROW(Table_Actions[N])</f>
        <v>279</v>
      </c>
      <c r="B515" s="54" t="s">
        <v>1686</v>
      </c>
      <c r="C515" s="62" t="b">
        <v>0</v>
      </c>
      <c r="D515" s="63" t="s">
        <v>1516</v>
      </c>
      <c r="E515" s="63" t="s">
        <v>361</v>
      </c>
      <c r="F515" s="63" t="s">
        <v>364</v>
      </c>
      <c r="G515" s="63" t="s">
        <v>732</v>
      </c>
      <c r="H515" s="63" t="s">
        <v>1294</v>
      </c>
      <c r="I515" s="66" t="s">
        <v>730</v>
      </c>
      <c r="J515" s="63" t="s">
        <v>1295</v>
      </c>
      <c r="K515" s="63" t="s">
        <v>731</v>
      </c>
      <c r="L515" s="63" t="s">
        <v>1296</v>
      </c>
      <c r="M515" s="63" t="s">
        <v>1297</v>
      </c>
      <c r="N515" s="63" t="s">
        <v>1298</v>
      </c>
      <c r="O515" s="63" t="s">
        <v>1299</v>
      </c>
      <c r="P515" s="63" t="s">
        <v>1300</v>
      </c>
      <c r="Q515" s="50" t="s">
        <v>1687</v>
      </c>
      <c r="R515" s="50" t="s">
        <v>1302</v>
      </c>
      <c r="S515" s="48"/>
      <c r="T515" s="50" t="s">
        <v>1303</v>
      </c>
      <c r="U515" s="50" t="s">
        <v>1303</v>
      </c>
      <c r="V515" s="48">
        <v>0.0</v>
      </c>
      <c r="W515" s="68">
        <v>0.0</v>
      </c>
      <c r="X515" s="50" t="s">
        <v>1304</v>
      </c>
      <c r="Y515" s="50" t="s">
        <v>1305</v>
      </c>
    </row>
    <row r="516">
      <c r="A516" s="65">
        <f>ROW()-ROW(Table_Actions[N])</f>
        <v>280</v>
      </c>
      <c r="B516" s="54" t="s">
        <v>1688</v>
      </c>
      <c r="C516" s="62" t="b">
        <v>1</v>
      </c>
      <c r="D516" s="63" t="s">
        <v>1372</v>
      </c>
      <c r="E516" s="63" t="s">
        <v>573</v>
      </c>
      <c r="F516" s="63" t="s">
        <v>364</v>
      </c>
      <c r="G516" s="63" t="s">
        <v>732</v>
      </c>
      <c r="H516" s="63" t="s">
        <v>1294</v>
      </c>
      <c r="I516" s="66" t="s">
        <v>730</v>
      </c>
      <c r="J516" s="63" t="s">
        <v>1295</v>
      </c>
      <c r="K516" s="63" t="s">
        <v>731</v>
      </c>
      <c r="L516" s="63" t="s">
        <v>1296</v>
      </c>
      <c r="M516" s="63" t="s">
        <v>1297</v>
      </c>
      <c r="N516" s="63" t="s">
        <v>1298</v>
      </c>
      <c r="O516" s="63" t="s">
        <v>1495</v>
      </c>
      <c r="P516" s="63" t="s">
        <v>1300</v>
      </c>
      <c r="Q516" s="50" t="s">
        <v>1301</v>
      </c>
      <c r="R516" s="50" t="s">
        <v>1302</v>
      </c>
      <c r="T516" s="67" t="s">
        <v>1303</v>
      </c>
      <c r="U516" s="67" t="s">
        <v>1303</v>
      </c>
      <c r="V516" s="48">
        <v>0.0</v>
      </c>
      <c r="W516" s="68">
        <v>0.0</v>
      </c>
      <c r="X516" s="50" t="s">
        <v>1304</v>
      </c>
      <c r="Y516" s="50" t="s">
        <v>1305</v>
      </c>
    </row>
    <row r="517">
      <c r="A517" s="65">
        <f>ROW()-ROW(Table_Actions[N])</f>
        <v>281</v>
      </c>
      <c r="B517" s="54" t="s">
        <v>1689</v>
      </c>
      <c r="C517" s="62" t="b">
        <v>0</v>
      </c>
      <c r="D517" s="63" t="s">
        <v>1310</v>
      </c>
      <c r="E517" s="63" t="s">
        <v>361</v>
      </c>
      <c r="F517" s="63" t="s">
        <v>364</v>
      </c>
      <c r="G517" s="63" t="s">
        <v>732</v>
      </c>
      <c r="H517" s="63" t="s">
        <v>1294</v>
      </c>
      <c r="I517" s="66" t="s">
        <v>1690</v>
      </c>
      <c r="J517" s="63" t="s">
        <v>1295</v>
      </c>
      <c r="K517" s="63" t="s">
        <v>731</v>
      </c>
      <c r="L517" s="63" t="s">
        <v>1296</v>
      </c>
      <c r="M517" s="63" t="s">
        <v>1297</v>
      </c>
      <c r="N517" s="63" t="s">
        <v>1298</v>
      </c>
      <c r="O517" s="63" t="s">
        <v>1299</v>
      </c>
      <c r="P517" s="63" t="s">
        <v>1300</v>
      </c>
      <c r="Q517" s="50" t="s">
        <v>1301</v>
      </c>
      <c r="R517" s="50" t="s">
        <v>1302</v>
      </c>
      <c r="S517" s="48"/>
      <c r="T517" s="67" t="s">
        <v>1303</v>
      </c>
      <c r="U517" s="67" t="s">
        <v>1303</v>
      </c>
      <c r="V517" s="48">
        <v>0.0</v>
      </c>
      <c r="W517" s="68">
        <v>0.0</v>
      </c>
      <c r="X517" s="50" t="s">
        <v>1304</v>
      </c>
      <c r="Y517" s="50" t="s">
        <v>1305</v>
      </c>
    </row>
    <row r="518">
      <c r="A518" s="65">
        <f>ROW()-ROW(Table_Actions[N])</f>
        <v>282</v>
      </c>
      <c r="B518" s="54" t="s">
        <v>1691</v>
      </c>
      <c r="C518" s="62" t="b">
        <v>0</v>
      </c>
      <c r="D518" s="63" t="s">
        <v>1504</v>
      </c>
      <c r="E518" s="63" t="s">
        <v>588</v>
      </c>
      <c r="F518" s="55" t="s">
        <v>364</v>
      </c>
      <c r="G518" s="55" t="s">
        <v>13</v>
      </c>
      <c r="H518" s="55" t="s">
        <v>1294</v>
      </c>
      <c r="I518" s="70" t="s">
        <v>730</v>
      </c>
      <c r="J518" s="55" t="s">
        <v>1295</v>
      </c>
      <c r="K518" s="55" t="s">
        <v>731</v>
      </c>
      <c r="L518" s="55" t="s">
        <v>1296</v>
      </c>
      <c r="M518" s="63" t="s">
        <v>1297</v>
      </c>
      <c r="N518" s="55" t="s">
        <v>1298</v>
      </c>
      <c r="O518" s="55" t="s">
        <v>1299</v>
      </c>
      <c r="P518" s="55" t="s">
        <v>1300</v>
      </c>
      <c r="Q518" s="55" t="s">
        <v>1301</v>
      </c>
      <c r="R518" s="55" t="s">
        <v>1302</v>
      </c>
      <c r="S518" s="75"/>
      <c r="T518" s="67" t="s">
        <v>1303</v>
      </c>
      <c r="U518" s="67" t="s">
        <v>1303</v>
      </c>
      <c r="V518" s="48">
        <v>0.0</v>
      </c>
      <c r="W518" s="68">
        <v>0.0</v>
      </c>
      <c r="X518" s="50" t="s">
        <v>1304</v>
      </c>
      <c r="Y518" s="55" t="s">
        <v>1305</v>
      </c>
    </row>
    <row r="519">
      <c r="A519" s="65">
        <f>ROW()-ROW(Table_Actions[N])</f>
        <v>283</v>
      </c>
      <c r="B519" s="54" t="s">
        <v>1692</v>
      </c>
      <c r="C519" s="62" t="b">
        <v>0</v>
      </c>
      <c r="D519" s="63" t="s">
        <v>1372</v>
      </c>
      <c r="E519" s="63" t="s">
        <v>573</v>
      </c>
      <c r="F519" s="63" t="s">
        <v>364</v>
      </c>
      <c r="G519" s="63" t="s">
        <v>732</v>
      </c>
      <c r="H519" s="63" t="s">
        <v>1294</v>
      </c>
      <c r="I519" s="66" t="s">
        <v>730</v>
      </c>
      <c r="J519" s="63" t="s">
        <v>1295</v>
      </c>
      <c r="K519" s="63" t="s">
        <v>731</v>
      </c>
      <c r="L519" s="63" t="s">
        <v>1296</v>
      </c>
      <c r="M519" s="63" t="s">
        <v>1297</v>
      </c>
      <c r="N519" s="63" t="s">
        <v>1298</v>
      </c>
      <c r="O519" s="63" t="s">
        <v>1375</v>
      </c>
      <c r="P519" s="63" t="s">
        <v>1300</v>
      </c>
      <c r="Q519" s="50" t="s">
        <v>1301</v>
      </c>
      <c r="R519" s="50" t="s">
        <v>1302</v>
      </c>
      <c r="T519" s="67" t="s">
        <v>1303</v>
      </c>
      <c r="U519" s="67" t="s">
        <v>1303</v>
      </c>
      <c r="V519" s="48">
        <v>0.0</v>
      </c>
      <c r="W519" s="68">
        <v>0.0</v>
      </c>
      <c r="X519" s="50" t="s">
        <v>1304</v>
      </c>
      <c r="Y519" s="50" t="s">
        <v>1305</v>
      </c>
    </row>
    <row r="520">
      <c r="A520" s="65">
        <f>ROW()-ROW(Table_Actions[N])</f>
        <v>284</v>
      </c>
      <c r="B520" s="54" t="s">
        <v>1693</v>
      </c>
      <c r="C520" s="62" t="b">
        <v>1</v>
      </c>
      <c r="D520" s="63" t="s">
        <v>1372</v>
      </c>
      <c r="E520" s="63" t="s">
        <v>562</v>
      </c>
      <c r="F520" s="63" t="s">
        <v>364</v>
      </c>
      <c r="G520" s="63" t="s">
        <v>732</v>
      </c>
      <c r="H520" s="63" t="s">
        <v>1294</v>
      </c>
      <c r="I520" s="66" t="s">
        <v>730</v>
      </c>
      <c r="J520" s="63" t="s">
        <v>1295</v>
      </c>
      <c r="K520" s="63" t="s">
        <v>731</v>
      </c>
      <c r="L520" s="63" t="s">
        <v>1296</v>
      </c>
      <c r="M520" s="63" t="s">
        <v>1297</v>
      </c>
      <c r="N520" s="63" t="s">
        <v>1298</v>
      </c>
      <c r="O520" s="63" t="s">
        <v>1694</v>
      </c>
      <c r="P520" s="63" t="s">
        <v>1300</v>
      </c>
      <c r="Q520" s="50" t="s">
        <v>1301</v>
      </c>
      <c r="R520" s="50" t="s">
        <v>1302</v>
      </c>
      <c r="T520" s="67" t="s">
        <v>1303</v>
      </c>
      <c r="U520" s="67" t="s">
        <v>1303</v>
      </c>
      <c r="V520" s="48">
        <v>0.0</v>
      </c>
      <c r="W520" s="68">
        <v>0.0</v>
      </c>
      <c r="X520" s="50" t="s">
        <v>1304</v>
      </c>
      <c r="Y520" s="50" t="s">
        <v>1305</v>
      </c>
    </row>
    <row r="521">
      <c r="A521" s="65">
        <f>ROW()-ROW(Table_Actions[N])</f>
        <v>285</v>
      </c>
      <c r="B521" s="54" t="s">
        <v>1695</v>
      </c>
      <c r="C521" s="62" t="b">
        <v>0</v>
      </c>
      <c r="D521" s="63" t="s">
        <v>1350</v>
      </c>
      <c r="E521" s="58" t="s">
        <v>361</v>
      </c>
      <c r="F521" s="58" t="s">
        <v>364</v>
      </c>
      <c r="G521" s="58" t="s">
        <v>732</v>
      </c>
      <c r="H521" s="58" t="s">
        <v>1294</v>
      </c>
      <c r="I521" s="77" t="s">
        <v>730</v>
      </c>
      <c r="J521" s="58" t="s">
        <v>1295</v>
      </c>
      <c r="K521" s="58" t="s">
        <v>731</v>
      </c>
      <c r="L521" s="58" t="s">
        <v>1353</v>
      </c>
      <c r="M521" s="63" t="s">
        <v>1297</v>
      </c>
      <c r="N521" s="78" t="s">
        <v>1696</v>
      </c>
      <c r="O521" s="58" t="s">
        <v>1299</v>
      </c>
      <c r="P521" s="58" t="s">
        <v>1300</v>
      </c>
      <c r="Q521" s="58" t="s">
        <v>1301</v>
      </c>
      <c r="R521" s="58" t="s">
        <v>1302</v>
      </c>
      <c r="S521" s="79"/>
      <c r="T521" s="67" t="s">
        <v>1303</v>
      </c>
      <c r="U521" s="67" t="s">
        <v>1303</v>
      </c>
      <c r="V521" s="48">
        <v>0.0</v>
      </c>
      <c r="W521" s="68">
        <v>0.0</v>
      </c>
      <c r="X521" s="50" t="s">
        <v>1304</v>
      </c>
      <c r="Y521" s="80" t="s">
        <v>1305</v>
      </c>
    </row>
    <row r="522">
      <c r="A522" s="65">
        <f>ROW()-ROW(Table_Actions[N])</f>
        <v>286</v>
      </c>
      <c r="B522" s="54" t="s">
        <v>1697</v>
      </c>
      <c r="C522" s="62" t="b">
        <v>0</v>
      </c>
      <c r="D522" s="63" t="s">
        <v>1310</v>
      </c>
      <c r="E522" s="63" t="s">
        <v>361</v>
      </c>
      <c r="F522" s="63" t="s">
        <v>364</v>
      </c>
      <c r="G522" s="63" t="s">
        <v>732</v>
      </c>
      <c r="H522" s="63" t="s">
        <v>1294</v>
      </c>
      <c r="I522" s="66" t="s">
        <v>1213</v>
      </c>
      <c r="J522" s="63" t="s">
        <v>1295</v>
      </c>
      <c r="K522" s="63" t="s">
        <v>731</v>
      </c>
      <c r="L522" s="63" t="s">
        <v>1296</v>
      </c>
      <c r="M522" s="63" t="s">
        <v>1297</v>
      </c>
      <c r="N522" s="63" t="s">
        <v>1298</v>
      </c>
      <c r="O522" s="63" t="s">
        <v>1299</v>
      </c>
      <c r="P522" s="63" t="s">
        <v>1300</v>
      </c>
      <c r="Q522" s="50" t="s">
        <v>1301</v>
      </c>
      <c r="R522" s="50" t="s">
        <v>1302</v>
      </c>
      <c r="T522" s="50" t="s">
        <v>1303</v>
      </c>
      <c r="U522" s="50" t="s">
        <v>1303</v>
      </c>
      <c r="V522" s="48">
        <v>0.0</v>
      </c>
      <c r="W522" s="68">
        <v>0.0</v>
      </c>
      <c r="X522" s="50" t="s">
        <v>1304</v>
      </c>
      <c r="Y522" s="50" t="s">
        <v>1305</v>
      </c>
    </row>
    <row r="523">
      <c r="A523" s="65">
        <f>ROW()-ROW(Table_Actions[N])</f>
        <v>287</v>
      </c>
      <c r="B523" s="54" t="s">
        <v>1698</v>
      </c>
      <c r="C523" s="62" t="b">
        <v>0</v>
      </c>
      <c r="D523" s="63" t="s">
        <v>1310</v>
      </c>
      <c r="E523" s="63" t="s">
        <v>361</v>
      </c>
      <c r="F523" s="63" t="s">
        <v>364</v>
      </c>
      <c r="G523" s="63" t="s">
        <v>732</v>
      </c>
      <c r="H523" s="63" t="s">
        <v>1294</v>
      </c>
      <c r="I523" s="66" t="s">
        <v>1212</v>
      </c>
      <c r="J523" s="63" t="s">
        <v>1295</v>
      </c>
      <c r="K523" s="63" t="s">
        <v>731</v>
      </c>
      <c r="L523" s="63" t="s">
        <v>1296</v>
      </c>
      <c r="M523" s="63" t="s">
        <v>1297</v>
      </c>
      <c r="N523" s="63" t="s">
        <v>1298</v>
      </c>
      <c r="O523" s="63" t="s">
        <v>1299</v>
      </c>
      <c r="P523" s="63" t="s">
        <v>1300</v>
      </c>
      <c r="Q523" s="50" t="s">
        <v>1301</v>
      </c>
      <c r="R523" s="50" t="s">
        <v>1302</v>
      </c>
      <c r="T523" s="50" t="s">
        <v>1303</v>
      </c>
      <c r="U523" s="50" t="s">
        <v>1303</v>
      </c>
      <c r="V523" s="48">
        <v>0.0</v>
      </c>
      <c r="W523" s="68">
        <v>0.0</v>
      </c>
      <c r="X523" s="50" t="s">
        <v>1304</v>
      </c>
      <c r="Y523" s="50" t="s">
        <v>1305</v>
      </c>
    </row>
    <row r="524">
      <c r="A524" s="65">
        <f>ROW()-ROW(Table_Actions[N])</f>
        <v>288</v>
      </c>
      <c r="B524" s="54" t="s">
        <v>1699</v>
      </c>
      <c r="C524" s="62" t="b">
        <v>0</v>
      </c>
      <c r="D524" s="63" t="s">
        <v>1350</v>
      </c>
      <c r="E524" s="58" t="s">
        <v>361</v>
      </c>
      <c r="F524" s="58" t="s">
        <v>364</v>
      </c>
      <c r="G524" s="58" t="s">
        <v>732</v>
      </c>
      <c r="H524" s="58" t="s">
        <v>1294</v>
      </c>
      <c r="I524" s="77" t="s">
        <v>730</v>
      </c>
      <c r="J524" s="58" t="s">
        <v>1295</v>
      </c>
      <c r="K524" s="58" t="s">
        <v>731</v>
      </c>
      <c r="L524" s="58" t="s">
        <v>1353</v>
      </c>
      <c r="M524" s="63" t="s">
        <v>1297</v>
      </c>
      <c r="N524" s="78" t="s">
        <v>1700</v>
      </c>
      <c r="O524" s="58" t="s">
        <v>1299</v>
      </c>
      <c r="P524" s="58" t="s">
        <v>1300</v>
      </c>
      <c r="Q524" s="58" t="s">
        <v>1301</v>
      </c>
      <c r="R524" s="58" t="s">
        <v>1302</v>
      </c>
      <c r="S524" s="79"/>
      <c r="T524" s="67" t="s">
        <v>1303</v>
      </c>
      <c r="U524" s="67" t="s">
        <v>1303</v>
      </c>
      <c r="V524" s="48">
        <v>0.0</v>
      </c>
      <c r="W524" s="68">
        <v>0.0</v>
      </c>
      <c r="X524" s="50" t="s">
        <v>1304</v>
      </c>
      <c r="Y524" s="80" t="s">
        <v>1305</v>
      </c>
    </row>
    <row r="525">
      <c r="A525" s="65">
        <f>ROW()-ROW(Table_Actions[N])</f>
        <v>289</v>
      </c>
      <c r="B525" s="54" t="s">
        <v>1216</v>
      </c>
      <c r="C525" s="62" t="b">
        <v>0</v>
      </c>
      <c r="D525" s="63" t="s">
        <v>1516</v>
      </c>
      <c r="E525" s="78" t="s">
        <v>361</v>
      </c>
      <c r="F525" s="78" t="s">
        <v>364</v>
      </c>
      <c r="G525" s="78" t="s">
        <v>732</v>
      </c>
      <c r="H525" s="78" t="s">
        <v>1294</v>
      </c>
      <c r="I525" s="82" t="s">
        <v>730</v>
      </c>
      <c r="J525" s="78" t="s">
        <v>1295</v>
      </c>
      <c r="K525" s="78" t="s">
        <v>731</v>
      </c>
      <c r="L525" s="78" t="s">
        <v>1296</v>
      </c>
      <c r="M525" s="63" t="s">
        <v>1297</v>
      </c>
      <c r="N525" s="78" t="s">
        <v>1298</v>
      </c>
      <c r="O525" s="78" t="s">
        <v>1299</v>
      </c>
      <c r="P525" s="78" t="s">
        <v>1300</v>
      </c>
      <c r="Q525" s="78" t="s">
        <v>1701</v>
      </c>
      <c r="R525" s="78" t="s">
        <v>1302</v>
      </c>
      <c r="S525" s="79"/>
      <c r="T525" s="67" t="s">
        <v>1702</v>
      </c>
      <c r="U525" s="50" t="s">
        <v>1303</v>
      </c>
      <c r="V525" s="48">
        <v>0.0</v>
      </c>
      <c r="W525" s="68">
        <v>0.0</v>
      </c>
      <c r="X525" s="50" t="s">
        <v>1304</v>
      </c>
      <c r="Y525" s="83" t="s">
        <v>1305</v>
      </c>
    </row>
    <row r="526">
      <c r="A526" s="65">
        <f>ROW()-ROW(Table_Actions[N])</f>
        <v>290</v>
      </c>
      <c r="B526" s="54" t="s">
        <v>1703</v>
      </c>
      <c r="C526" s="62" t="b">
        <v>1</v>
      </c>
      <c r="D526" s="63" t="s">
        <v>1372</v>
      </c>
      <c r="E526" s="63" t="s">
        <v>37</v>
      </c>
      <c r="F526" s="63" t="s">
        <v>364</v>
      </c>
      <c r="G526" s="63" t="s">
        <v>732</v>
      </c>
      <c r="H526" s="63" t="s">
        <v>1294</v>
      </c>
      <c r="I526" s="66" t="s">
        <v>730</v>
      </c>
      <c r="J526" s="63" t="s">
        <v>1295</v>
      </c>
      <c r="K526" s="63" t="s">
        <v>731</v>
      </c>
      <c r="L526" s="63" t="s">
        <v>1296</v>
      </c>
      <c r="M526" s="63" t="s">
        <v>1297</v>
      </c>
      <c r="N526" s="63" t="s">
        <v>1298</v>
      </c>
      <c r="O526" s="63" t="s">
        <v>1495</v>
      </c>
      <c r="P526" s="63" t="s">
        <v>1300</v>
      </c>
      <c r="Q526" s="50" t="s">
        <v>1301</v>
      </c>
      <c r="R526" s="50" t="s">
        <v>1302</v>
      </c>
      <c r="T526" s="67" t="s">
        <v>1303</v>
      </c>
      <c r="U526" s="67" t="s">
        <v>1303</v>
      </c>
      <c r="V526" s="48">
        <v>0.0</v>
      </c>
      <c r="W526" s="68">
        <v>0.0</v>
      </c>
      <c r="X526" s="50" t="s">
        <v>1304</v>
      </c>
      <c r="Y526" s="50" t="s">
        <v>1305</v>
      </c>
    </row>
    <row r="527">
      <c r="A527" s="65">
        <f>ROW()-ROW(Table_Actions[N])</f>
        <v>291</v>
      </c>
      <c r="B527" s="54" t="s">
        <v>1704</v>
      </c>
      <c r="C527" s="62" t="b">
        <v>1</v>
      </c>
      <c r="D527" s="63" t="s">
        <v>1564</v>
      </c>
      <c r="E527" s="63" t="s">
        <v>367</v>
      </c>
      <c r="F527" s="63" t="s">
        <v>364</v>
      </c>
      <c r="G527" s="63" t="s">
        <v>732</v>
      </c>
      <c r="H527" s="63" t="s">
        <v>1294</v>
      </c>
      <c r="I527" s="66" t="s">
        <v>730</v>
      </c>
      <c r="J527" s="63" t="s">
        <v>1295</v>
      </c>
      <c r="K527" s="63" t="s">
        <v>731</v>
      </c>
      <c r="L527" s="63" t="s">
        <v>1296</v>
      </c>
      <c r="M527" s="63" t="s">
        <v>1297</v>
      </c>
      <c r="N527" s="63" t="s">
        <v>1298</v>
      </c>
      <c r="O527" s="63" t="s">
        <v>1299</v>
      </c>
      <c r="P527" s="63" t="s">
        <v>1300</v>
      </c>
      <c r="Q527" s="50" t="s">
        <v>1301</v>
      </c>
      <c r="R527" s="50" t="s">
        <v>1302</v>
      </c>
      <c r="S527" s="48" t="s">
        <v>1705</v>
      </c>
      <c r="T527" s="67" t="s">
        <v>1303</v>
      </c>
      <c r="U527" s="67" t="s">
        <v>1303</v>
      </c>
      <c r="V527" s="48">
        <v>0.0</v>
      </c>
      <c r="W527" s="68">
        <v>0.0</v>
      </c>
      <c r="X527" s="50" t="s">
        <v>1304</v>
      </c>
      <c r="Y527" s="50" t="s">
        <v>1305</v>
      </c>
    </row>
    <row r="528">
      <c r="A528" s="65">
        <f>ROW()-ROW(Table_Actions[N])</f>
        <v>292</v>
      </c>
      <c r="B528" s="54" t="s">
        <v>1706</v>
      </c>
      <c r="C528" s="62" t="b">
        <v>1</v>
      </c>
      <c r="D528" s="63" t="s">
        <v>1350</v>
      </c>
      <c r="E528" s="63" t="s">
        <v>361</v>
      </c>
      <c r="F528" s="63" t="s">
        <v>364</v>
      </c>
      <c r="G528" s="63" t="s">
        <v>732</v>
      </c>
      <c r="H528" s="63" t="s">
        <v>1294</v>
      </c>
      <c r="I528" s="66" t="s">
        <v>730</v>
      </c>
      <c r="J528" s="63" t="s">
        <v>1295</v>
      </c>
      <c r="K528" s="63" t="s">
        <v>731</v>
      </c>
      <c r="L528" s="63" t="s">
        <v>35</v>
      </c>
      <c r="M528" s="63" t="s">
        <v>1297</v>
      </c>
      <c r="N528" s="63" t="s">
        <v>1298</v>
      </c>
      <c r="O528" s="63" t="s">
        <v>1299</v>
      </c>
      <c r="P528" s="63" t="s">
        <v>1300</v>
      </c>
      <c r="Q528" s="50" t="s">
        <v>1301</v>
      </c>
      <c r="R528" s="50" t="s">
        <v>1302</v>
      </c>
      <c r="T528" s="50" t="s">
        <v>1303</v>
      </c>
      <c r="U528" s="50" t="s">
        <v>1303</v>
      </c>
      <c r="V528" s="48">
        <v>0.0</v>
      </c>
      <c r="W528" s="68">
        <v>0.0</v>
      </c>
      <c r="X528" s="50" t="s">
        <v>1304</v>
      </c>
      <c r="Y528" s="50" t="s">
        <v>1305</v>
      </c>
    </row>
    <row r="529">
      <c r="A529" s="65">
        <f>ROW()-ROW(Table_Actions[N])</f>
        <v>293</v>
      </c>
      <c r="B529" s="54" t="s">
        <v>967</v>
      </c>
      <c r="C529" s="62" t="b">
        <v>0</v>
      </c>
      <c r="D529" s="63" t="s">
        <v>1350</v>
      </c>
      <c r="E529" s="63" t="s">
        <v>361</v>
      </c>
      <c r="F529" s="63" t="s">
        <v>364</v>
      </c>
      <c r="G529" s="63" t="s">
        <v>732</v>
      </c>
      <c r="H529" s="63" t="s">
        <v>1294</v>
      </c>
      <c r="I529" s="66" t="s">
        <v>730</v>
      </c>
      <c r="J529" s="63" t="s">
        <v>1295</v>
      </c>
      <c r="K529" s="63" t="s">
        <v>731</v>
      </c>
      <c r="L529" s="63" t="s">
        <v>1707</v>
      </c>
      <c r="M529" s="63" t="s">
        <v>1297</v>
      </c>
      <c r="N529" s="63" t="s">
        <v>1298</v>
      </c>
      <c r="O529" s="63" t="s">
        <v>1299</v>
      </c>
      <c r="P529" s="63" t="s">
        <v>1300</v>
      </c>
      <c r="Q529" s="50" t="s">
        <v>1301</v>
      </c>
      <c r="R529" s="50" t="s">
        <v>1302</v>
      </c>
      <c r="T529" s="50" t="s">
        <v>1303</v>
      </c>
      <c r="U529" s="50" t="s">
        <v>1303</v>
      </c>
      <c r="V529" s="48">
        <v>0.0</v>
      </c>
      <c r="W529" s="68">
        <v>0.0</v>
      </c>
      <c r="X529" s="50" t="s">
        <v>1304</v>
      </c>
      <c r="Y529" s="50" t="s">
        <v>1305</v>
      </c>
    </row>
    <row r="530">
      <c r="A530" s="65">
        <f>ROW()-ROW(Table_Actions[N])</f>
        <v>294</v>
      </c>
      <c r="B530" s="54" t="s">
        <v>968</v>
      </c>
      <c r="C530" s="62" t="b">
        <v>0</v>
      </c>
      <c r="D530" s="63" t="s">
        <v>1558</v>
      </c>
      <c r="E530" s="63" t="s">
        <v>361</v>
      </c>
      <c r="F530" s="63" t="s">
        <v>364</v>
      </c>
      <c r="G530" s="63" t="s">
        <v>732</v>
      </c>
      <c r="H530" s="63" t="s">
        <v>1294</v>
      </c>
      <c r="I530" s="66" t="s">
        <v>730</v>
      </c>
      <c r="J530" s="63" t="s">
        <v>1295</v>
      </c>
      <c r="K530" s="63" t="s">
        <v>731</v>
      </c>
      <c r="L530" s="63" t="s">
        <v>1296</v>
      </c>
      <c r="M530" s="63" t="s">
        <v>1297</v>
      </c>
      <c r="N530" s="63" t="s">
        <v>1298</v>
      </c>
      <c r="O530" s="63" t="s">
        <v>1299</v>
      </c>
      <c r="P530" s="63" t="s">
        <v>1300</v>
      </c>
      <c r="Q530" s="50" t="s">
        <v>1301</v>
      </c>
      <c r="R530" s="50" t="s">
        <v>15</v>
      </c>
      <c r="S530" s="48"/>
      <c r="T530" s="67" t="s">
        <v>1303</v>
      </c>
      <c r="U530" s="67" t="s">
        <v>1303</v>
      </c>
      <c r="V530" s="48">
        <v>0.0</v>
      </c>
      <c r="W530" s="68">
        <v>0.0</v>
      </c>
      <c r="X530" s="50" t="s">
        <v>1304</v>
      </c>
      <c r="Y530" s="50" t="s">
        <v>1305</v>
      </c>
    </row>
    <row r="531">
      <c r="A531" s="65">
        <f>ROW()-ROW(Table_Actions[N])</f>
        <v>295</v>
      </c>
      <c r="B531" s="54" t="s">
        <v>970</v>
      </c>
      <c r="C531" s="62" t="b">
        <v>0</v>
      </c>
      <c r="D531" s="63" t="s">
        <v>1387</v>
      </c>
      <c r="E531" s="63" t="s">
        <v>361</v>
      </c>
      <c r="F531" s="63" t="s">
        <v>364</v>
      </c>
      <c r="G531" s="63" t="s">
        <v>732</v>
      </c>
      <c r="H531" s="63" t="s">
        <v>1294</v>
      </c>
      <c r="I531" s="66" t="s">
        <v>730</v>
      </c>
      <c r="J531" s="63" t="s">
        <v>1295</v>
      </c>
      <c r="K531" s="63" t="s">
        <v>731</v>
      </c>
      <c r="L531" s="63" t="s">
        <v>1353</v>
      </c>
      <c r="M531" s="63" t="s">
        <v>1297</v>
      </c>
      <c r="N531" s="63" t="s">
        <v>1708</v>
      </c>
      <c r="O531" s="63" t="s">
        <v>1299</v>
      </c>
      <c r="P531" s="63" t="s">
        <v>1300</v>
      </c>
      <c r="Q531" s="50" t="s">
        <v>1301</v>
      </c>
      <c r="R531" s="50" t="s">
        <v>1302</v>
      </c>
      <c r="T531" s="50" t="s">
        <v>1303</v>
      </c>
      <c r="U531" s="50" t="s">
        <v>1303</v>
      </c>
      <c r="V531" s="48">
        <v>0.0</v>
      </c>
      <c r="W531" s="68">
        <v>0.0</v>
      </c>
      <c r="X531" s="50" t="s">
        <v>1304</v>
      </c>
      <c r="Y531" s="50" t="s">
        <v>1305</v>
      </c>
    </row>
    <row r="532">
      <c r="A532" s="65">
        <f>ROW()-ROW(Table_Actions[N])</f>
        <v>296</v>
      </c>
      <c r="B532" s="54" t="s">
        <v>972</v>
      </c>
      <c r="C532" s="62" t="b">
        <v>0</v>
      </c>
      <c r="D532" s="63" t="s">
        <v>1387</v>
      </c>
      <c r="E532" s="63" t="s">
        <v>361</v>
      </c>
      <c r="F532" s="63" t="s">
        <v>364</v>
      </c>
      <c r="G532" s="63" t="s">
        <v>732</v>
      </c>
      <c r="H532" s="63" t="s">
        <v>1294</v>
      </c>
      <c r="I532" s="66" t="s">
        <v>730</v>
      </c>
      <c r="J532" s="63" t="s">
        <v>1295</v>
      </c>
      <c r="K532" s="63" t="s">
        <v>731</v>
      </c>
      <c r="L532" s="63" t="s">
        <v>1353</v>
      </c>
      <c r="M532" s="63" t="s">
        <v>1297</v>
      </c>
      <c r="N532" s="63" t="s">
        <v>1709</v>
      </c>
      <c r="O532" s="63" t="s">
        <v>1299</v>
      </c>
      <c r="P532" s="63" t="s">
        <v>1300</v>
      </c>
      <c r="Q532" s="50" t="s">
        <v>1301</v>
      </c>
      <c r="R532" s="50" t="s">
        <v>1302</v>
      </c>
      <c r="T532" s="50" t="s">
        <v>1303</v>
      </c>
      <c r="U532" s="50" t="s">
        <v>1303</v>
      </c>
      <c r="V532" s="48">
        <v>0.0</v>
      </c>
      <c r="W532" s="68">
        <v>0.0</v>
      </c>
      <c r="X532" s="50" t="s">
        <v>1304</v>
      </c>
      <c r="Y532" s="50" t="s">
        <v>1305</v>
      </c>
    </row>
    <row r="533">
      <c r="A533" s="65">
        <f>ROW()-ROW(Table_Actions[N])</f>
        <v>297</v>
      </c>
      <c r="B533" s="54" t="s">
        <v>1710</v>
      </c>
      <c r="C533" s="62" t="b">
        <v>0</v>
      </c>
      <c r="D533" s="63" t="s">
        <v>1387</v>
      </c>
      <c r="E533" s="63" t="s">
        <v>361</v>
      </c>
      <c r="F533" s="63" t="s">
        <v>364</v>
      </c>
      <c r="G533" s="63" t="s">
        <v>732</v>
      </c>
      <c r="H533" s="63" t="s">
        <v>1294</v>
      </c>
      <c r="I533" s="66" t="s">
        <v>730</v>
      </c>
      <c r="J533" s="63" t="s">
        <v>1295</v>
      </c>
      <c r="K533" s="63" t="s">
        <v>731</v>
      </c>
      <c r="L533" s="63" t="s">
        <v>1353</v>
      </c>
      <c r="M533" s="63" t="s">
        <v>1297</v>
      </c>
      <c r="N533" s="63" t="s">
        <v>1711</v>
      </c>
      <c r="O533" s="63" t="s">
        <v>1299</v>
      </c>
      <c r="P533" s="63" t="s">
        <v>1300</v>
      </c>
      <c r="Q533" s="50" t="s">
        <v>1301</v>
      </c>
      <c r="R533" s="50" t="s">
        <v>1302</v>
      </c>
      <c r="T533" s="50" t="s">
        <v>1303</v>
      </c>
      <c r="U533" s="50" t="s">
        <v>1303</v>
      </c>
      <c r="V533" s="48">
        <v>0.0</v>
      </c>
      <c r="W533" s="68">
        <v>0.0</v>
      </c>
      <c r="X533" s="50" t="s">
        <v>1304</v>
      </c>
      <c r="Y533" s="50" t="s">
        <v>1305</v>
      </c>
    </row>
    <row r="534">
      <c r="A534" s="65">
        <f>ROW()-ROW(Table_Actions[N])</f>
        <v>298</v>
      </c>
      <c r="B534" s="54" t="s">
        <v>1712</v>
      </c>
      <c r="C534" s="62" t="b">
        <v>0</v>
      </c>
      <c r="D534" s="63" t="s">
        <v>1324</v>
      </c>
      <c r="E534" s="63" t="s">
        <v>608</v>
      </c>
      <c r="F534" s="63" t="s">
        <v>364</v>
      </c>
      <c r="G534" s="63" t="s">
        <v>732</v>
      </c>
      <c r="H534" s="63" t="s">
        <v>1294</v>
      </c>
      <c r="I534" s="66" t="s">
        <v>730</v>
      </c>
      <c r="J534" s="63" t="s">
        <v>1295</v>
      </c>
      <c r="K534" s="63" t="s">
        <v>731</v>
      </c>
      <c r="L534" s="63" t="s">
        <v>1296</v>
      </c>
      <c r="M534" s="63" t="s">
        <v>1297</v>
      </c>
      <c r="N534" s="63" t="s">
        <v>1298</v>
      </c>
      <c r="O534" s="63" t="s">
        <v>1299</v>
      </c>
      <c r="P534" s="63" t="s">
        <v>1300</v>
      </c>
      <c r="Q534" s="50" t="s">
        <v>1301</v>
      </c>
      <c r="R534" s="50" t="s">
        <v>1302</v>
      </c>
      <c r="T534" s="50" t="s">
        <v>1303</v>
      </c>
      <c r="U534" s="50" t="s">
        <v>1303</v>
      </c>
      <c r="V534" s="48">
        <v>0.0</v>
      </c>
      <c r="W534" s="68">
        <v>0.0</v>
      </c>
      <c r="X534" s="50" t="s">
        <v>1304</v>
      </c>
      <c r="Y534" s="50" t="s">
        <v>1305</v>
      </c>
    </row>
    <row r="535">
      <c r="A535" s="65">
        <f>ROW()-ROW(Table_Actions[N])</f>
        <v>299</v>
      </c>
      <c r="B535" s="54" t="s">
        <v>1713</v>
      </c>
      <c r="C535" s="62" t="b">
        <v>0</v>
      </c>
      <c r="D535" s="63" t="s">
        <v>1326</v>
      </c>
      <c r="E535" s="63" t="s">
        <v>608</v>
      </c>
      <c r="F535" s="63" t="s">
        <v>364</v>
      </c>
      <c r="G535" s="63" t="s">
        <v>13</v>
      </c>
      <c r="H535" s="63" t="s">
        <v>1294</v>
      </c>
      <c r="I535" s="66" t="s">
        <v>730</v>
      </c>
      <c r="J535" s="63" t="s">
        <v>1295</v>
      </c>
      <c r="K535" s="63" t="s">
        <v>731</v>
      </c>
      <c r="L535" s="63" t="s">
        <v>1296</v>
      </c>
      <c r="M535" s="63" t="s">
        <v>1297</v>
      </c>
      <c r="N535" s="63" t="s">
        <v>1298</v>
      </c>
      <c r="O535" s="63" t="s">
        <v>1299</v>
      </c>
      <c r="P535" s="63" t="s">
        <v>1300</v>
      </c>
      <c r="Q535" s="50" t="s">
        <v>1301</v>
      </c>
      <c r="R535" s="50" t="s">
        <v>1302</v>
      </c>
      <c r="T535" s="50" t="s">
        <v>1303</v>
      </c>
      <c r="U535" s="50" t="s">
        <v>1303</v>
      </c>
      <c r="V535" s="48">
        <v>0.0</v>
      </c>
      <c r="W535" s="68">
        <v>0.0</v>
      </c>
      <c r="X535" s="50" t="s">
        <v>1304</v>
      </c>
      <c r="Y535" s="50" t="s">
        <v>1305</v>
      </c>
    </row>
    <row r="536">
      <c r="A536" s="65">
        <f>ROW()-ROW(Table_Actions[N])</f>
        <v>300</v>
      </c>
      <c r="B536" s="54" t="s">
        <v>1220</v>
      </c>
      <c r="C536" s="62" t="b">
        <v>0</v>
      </c>
      <c r="D536" s="63" t="s">
        <v>1318</v>
      </c>
      <c r="E536" s="63" t="s">
        <v>608</v>
      </c>
      <c r="F536" s="63" t="s">
        <v>364</v>
      </c>
      <c r="G536" s="63" t="s">
        <v>732</v>
      </c>
      <c r="H536" s="63" t="s">
        <v>1294</v>
      </c>
      <c r="I536" s="66" t="s">
        <v>730</v>
      </c>
      <c r="J536" s="63" t="s">
        <v>1295</v>
      </c>
      <c r="K536" s="63" t="s">
        <v>731</v>
      </c>
      <c r="L536" s="63" t="s">
        <v>1296</v>
      </c>
      <c r="M536" s="63" t="s">
        <v>1297</v>
      </c>
      <c r="N536" s="63" t="s">
        <v>1298</v>
      </c>
      <c r="O536" s="63" t="s">
        <v>1299</v>
      </c>
      <c r="P536" s="63" t="s">
        <v>1300</v>
      </c>
      <c r="Q536" s="50" t="s">
        <v>1301</v>
      </c>
      <c r="R536" s="50" t="s">
        <v>1302</v>
      </c>
      <c r="T536" s="50" t="s">
        <v>1303</v>
      </c>
      <c r="U536" s="50" t="s">
        <v>1303</v>
      </c>
      <c r="V536" s="48">
        <v>0.0</v>
      </c>
      <c r="W536" s="68">
        <v>0.0</v>
      </c>
      <c r="X536" s="50" t="s">
        <v>1304</v>
      </c>
      <c r="Y536" s="50" t="s">
        <v>1305</v>
      </c>
    </row>
    <row r="537">
      <c r="A537" s="65">
        <f>ROW()-ROW(Table_Actions[N])</f>
        <v>301</v>
      </c>
      <c r="B537" s="54" t="s">
        <v>1714</v>
      </c>
      <c r="C537" s="62" t="b">
        <v>0</v>
      </c>
      <c r="D537" s="63" t="s">
        <v>1310</v>
      </c>
      <c r="E537" s="63" t="s">
        <v>361</v>
      </c>
      <c r="F537" s="63" t="s">
        <v>364</v>
      </c>
      <c r="G537" s="63" t="s">
        <v>732</v>
      </c>
      <c r="H537" s="63" t="s">
        <v>1294</v>
      </c>
      <c r="I537" s="66" t="s">
        <v>1715</v>
      </c>
      <c r="J537" s="63" t="s">
        <v>1295</v>
      </c>
      <c r="K537" s="63" t="s">
        <v>731</v>
      </c>
      <c r="L537" s="63" t="s">
        <v>1296</v>
      </c>
      <c r="M537" s="63" t="s">
        <v>1297</v>
      </c>
      <c r="N537" s="63" t="s">
        <v>1298</v>
      </c>
      <c r="O537" s="63" t="s">
        <v>1299</v>
      </c>
      <c r="P537" s="63" t="s">
        <v>1300</v>
      </c>
      <c r="Q537" s="50" t="s">
        <v>1301</v>
      </c>
      <c r="R537" s="50" t="s">
        <v>1302</v>
      </c>
      <c r="T537" s="50" t="s">
        <v>1303</v>
      </c>
      <c r="U537" s="50" t="s">
        <v>1303</v>
      </c>
      <c r="V537" s="48">
        <v>0.0</v>
      </c>
      <c r="W537" s="68">
        <v>0.0</v>
      </c>
      <c r="X537" s="50" t="s">
        <v>1304</v>
      </c>
      <c r="Y537" s="50" t="s">
        <v>1305</v>
      </c>
    </row>
    <row r="538">
      <c r="A538" s="65">
        <f>ROW()-ROW(Table_Actions[N])</f>
        <v>302</v>
      </c>
      <c r="B538" s="54" t="s">
        <v>1716</v>
      </c>
      <c r="C538" s="62" t="b">
        <v>0</v>
      </c>
      <c r="D538" s="63" t="s">
        <v>1324</v>
      </c>
      <c r="E538" s="63" t="s">
        <v>603</v>
      </c>
      <c r="F538" s="63" t="s">
        <v>364</v>
      </c>
      <c r="G538" s="63" t="s">
        <v>732</v>
      </c>
      <c r="H538" s="63" t="s">
        <v>1294</v>
      </c>
      <c r="I538" s="66" t="s">
        <v>730</v>
      </c>
      <c r="J538" s="63" t="s">
        <v>1295</v>
      </c>
      <c r="K538" s="63" t="s">
        <v>731</v>
      </c>
      <c r="L538" s="63" t="s">
        <v>1296</v>
      </c>
      <c r="M538" s="63" t="s">
        <v>1297</v>
      </c>
      <c r="N538" s="63" t="s">
        <v>1298</v>
      </c>
      <c r="O538" s="63" t="s">
        <v>1299</v>
      </c>
      <c r="P538" s="63" t="s">
        <v>1300</v>
      </c>
      <c r="Q538" s="50" t="s">
        <v>1301</v>
      </c>
      <c r="R538" s="50" t="s">
        <v>1302</v>
      </c>
      <c r="T538" s="50" t="s">
        <v>1303</v>
      </c>
      <c r="U538" s="50" t="s">
        <v>1303</v>
      </c>
      <c r="V538" s="48">
        <v>0.0</v>
      </c>
      <c r="W538" s="68">
        <v>0.0</v>
      </c>
      <c r="X538" s="50" t="s">
        <v>1304</v>
      </c>
      <c r="Y538" s="50" t="s">
        <v>1305</v>
      </c>
    </row>
    <row r="539">
      <c r="A539" s="65">
        <f>ROW()-ROW(Table_Actions[N])</f>
        <v>303</v>
      </c>
      <c r="B539" s="54" t="s">
        <v>1717</v>
      </c>
      <c r="C539" s="62" t="b">
        <v>0</v>
      </c>
      <c r="D539" s="63" t="s">
        <v>1326</v>
      </c>
      <c r="E539" s="63" t="s">
        <v>603</v>
      </c>
      <c r="F539" s="63" t="s">
        <v>364</v>
      </c>
      <c r="G539" s="63" t="s">
        <v>13</v>
      </c>
      <c r="H539" s="63" t="s">
        <v>1294</v>
      </c>
      <c r="I539" s="66" t="s">
        <v>730</v>
      </c>
      <c r="J539" s="63" t="s">
        <v>1295</v>
      </c>
      <c r="K539" s="63" t="s">
        <v>731</v>
      </c>
      <c r="L539" s="63" t="s">
        <v>1296</v>
      </c>
      <c r="M539" s="63" t="s">
        <v>1297</v>
      </c>
      <c r="N539" s="63" t="s">
        <v>1298</v>
      </c>
      <c r="O539" s="63" t="s">
        <v>1299</v>
      </c>
      <c r="P539" s="63" t="s">
        <v>1300</v>
      </c>
      <c r="Q539" s="50" t="s">
        <v>1301</v>
      </c>
      <c r="R539" s="50" t="s">
        <v>1302</v>
      </c>
      <c r="T539" s="50" t="s">
        <v>1303</v>
      </c>
      <c r="U539" s="50" t="s">
        <v>1303</v>
      </c>
      <c r="V539" s="48">
        <v>0.0</v>
      </c>
      <c r="W539" s="68">
        <v>0.0</v>
      </c>
      <c r="X539" s="50" t="s">
        <v>1304</v>
      </c>
      <c r="Y539" s="50" t="s">
        <v>1305</v>
      </c>
    </row>
    <row r="540">
      <c r="A540" s="65">
        <f>ROW()-ROW(Table_Actions[N])</f>
        <v>304</v>
      </c>
      <c r="B540" s="54" t="s">
        <v>1222</v>
      </c>
      <c r="C540" s="62" t="b">
        <v>0</v>
      </c>
      <c r="D540" s="63" t="s">
        <v>1318</v>
      </c>
      <c r="E540" s="63" t="s">
        <v>603</v>
      </c>
      <c r="F540" s="63" t="s">
        <v>364</v>
      </c>
      <c r="G540" s="63" t="s">
        <v>732</v>
      </c>
      <c r="H540" s="63" t="s">
        <v>1294</v>
      </c>
      <c r="I540" s="66" t="s">
        <v>730</v>
      </c>
      <c r="J540" s="63" t="s">
        <v>1295</v>
      </c>
      <c r="K540" s="63" t="s">
        <v>731</v>
      </c>
      <c r="L540" s="63" t="s">
        <v>1296</v>
      </c>
      <c r="M540" s="63" t="s">
        <v>1297</v>
      </c>
      <c r="N540" s="63" t="s">
        <v>1298</v>
      </c>
      <c r="O540" s="63" t="s">
        <v>1299</v>
      </c>
      <c r="P540" s="63" t="s">
        <v>1300</v>
      </c>
      <c r="Q540" s="50" t="s">
        <v>1301</v>
      </c>
      <c r="R540" s="50" t="s">
        <v>1302</v>
      </c>
      <c r="T540" s="50" t="s">
        <v>1303</v>
      </c>
      <c r="U540" s="50" t="s">
        <v>1303</v>
      </c>
      <c r="V540" s="48">
        <v>0.0</v>
      </c>
      <c r="W540" s="68">
        <v>0.0</v>
      </c>
      <c r="X540" s="50" t="s">
        <v>1304</v>
      </c>
      <c r="Y540" s="50" t="s">
        <v>1305</v>
      </c>
    </row>
    <row r="541">
      <c r="A541" s="65">
        <f>ROW()-ROW(Table_Actions[N])</f>
        <v>305</v>
      </c>
      <c r="B541" s="54" t="s">
        <v>1718</v>
      </c>
      <c r="C541" s="62" t="b">
        <v>0</v>
      </c>
      <c r="D541" s="63" t="s">
        <v>1310</v>
      </c>
      <c r="E541" s="63" t="s">
        <v>361</v>
      </c>
      <c r="F541" s="63" t="s">
        <v>364</v>
      </c>
      <c r="G541" s="63" t="s">
        <v>732</v>
      </c>
      <c r="H541" s="63" t="s">
        <v>1294</v>
      </c>
      <c r="I541" s="66" t="s">
        <v>1719</v>
      </c>
      <c r="J541" s="63" t="s">
        <v>1295</v>
      </c>
      <c r="K541" s="63" t="s">
        <v>731</v>
      </c>
      <c r="L541" s="63" t="s">
        <v>1296</v>
      </c>
      <c r="M541" s="63" t="s">
        <v>1297</v>
      </c>
      <c r="N541" s="63" t="s">
        <v>1298</v>
      </c>
      <c r="O541" s="63" t="s">
        <v>1299</v>
      </c>
      <c r="P541" s="63" t="s">
        <v>1300</v>
      </c>
      <c r="Q541" s="50" t="s">
        <v>1301</v>
      </c>
      <c r="R541" s="50" t="s">
        <v>1302</v>
      </c>
      <c r="T541" s="50" t="s">
        <v>1303</v>
      </c>
      <c r="U541" s="50" t="s">
        <v>1303</v>
      </c>
      <c r="V541" s="48">
        <v>0.0</v>
      </c>
      <c r="W541" s="68">
        <v>0.0</v>
      </c>
      <c r="X541" s="50" t="s">
        <v>1304</v>
      </c>
      <c r="Y541" s="50" t="s">
        <v>1305</v>
      </c>
    </row>
    <row r="542">
      <c r="A542" s="65">
        <f>ROW()-ROW(Table_Actions[N])</f>
        <v>306</v>
      </c>
      <c r="B542" s="54" t="s">
        <v>1720</v>
      </c>
      <c r="C542" s="62" t="b">
        <v>0</v>
      </c>
      <c r="D542" s="63" t="s">
        <v>1516</v>
      </c>
      <c r="E542" s="63" t="s">
        <v>361</v>
      </c>
      <c r="F542" s="63" t="s">
        <v>364</v>
      </c>
      <c r="G542" s="63" t="s">
        <v>732</v>
      </c>
      <c r="H542" s="63" t="s">
        <v>1294</v>
      </c>
      <c r="I542" s="66" t="s">
        <v>730</v>
      </c>
      <c r="J542" s="63" t="s">
        <v>1295</v>
      </c>
      <c r="K542" s="63" t="s">
        <v>731</v>
      </c>
      <c r="L542" s="63" t="s">
        <v>1296</v>
      </c>
      <c r="M542" s="63" t="s">
        <v>1297</v>
      </c>
      <c r="N542" s="63" t="s">
        <v>1298</v>
      </c>
      <c r="O542" s="63" t="s">
        <v>1299</v>
      </c>
      <c r="P542" s="63" t="s">
        <v>1300</v>
      </c>
      <c r="Q542" s="50" t="s">
        <v>1721</v>
      </c>
      <c r="R542" s="50" t="s">
        <v>1302</v>
      </c>
      <c r="T542" s="50" t="s">
        <v>1303</v>
      </c>
      <c r="U542" s="50" t="s">
        <v>1303</v>
      </c>
      <c r="V542" s="48">
        <v>0.0</v>
      </c>
      <c r="W542" s="68">
        <v>0.0</v>
      </c>
      <c r="X542" s="50" t="s">
        <v>1304</v>
      </c>
      <c r="Y542" s="50" t="s">
        <v>1305</v>
      </c>
    </row>
    <row r="543">
      <c r="A543" s="65">
        <f>ROW()-ROW(Table_Actions[N])</f>
        <v>307</v>
      </c>
      <c r="B543" s="54" t="s">
        <v>980</v>
      </c>
      <c r="C543" s="62" t="b">
        <v>0</v>
      </c>
      <c r="D543" s="63" t="s">
        <v>1350</v>
      </c>
      <c r="E543" s="63" t="s">
        <v>361</v>
      </c>
      <c r="F543" s="63" t="s">
        <v>364</v>
      </c>
      <c r="G543" s="63" t="s">
        <v>732</v>
      </c>
      <c r="H543" s="63" t="s">
        <v>1294</v>
      </c>
      <c r="I543" s="66" t="s">
        <v>730</v>
      </c>
      <c r="J543" s="63" t="s">
        <v>1295</v>
      </c>
      <c r="K543" s="63" t="s">
        <v>731</v>
      </c>
      <c r="L543" s="63" t="s">
        <v>1353</v>
      </c>
      <c r="M543" s="63" t="s">
        <v>1297</v>
      </c>
      <c r="N543" s="63" t="s">
        <v>1722</v>
      </c>
      <c r="O543" s="63" t="s">
        <v>1299</v>
      </c>
      <c r="P543" s="63" t="s">
        <v>1300</v>
      </c>
      <c r="Q543" s="50" t="s">
        <v>1301</v>
      </c>
      <c r="R543" s="50" t="s">
        <v>1302</v>
      </c>
      <c r="T543" s="50" t="s">
        <v>1303</v>
      </c>
      <c r="U543" s="50" t="s">
        <v>1303</v>
      </c>
      <c r="V543" s="48">
        <v>0.0</v>
      </c>
      <c r="W543" s="68">
        <v>0.0</v>
      </c>
      <c r="X543" s="50" t="s">
        <v>1304</v>
      </c>
      <c r="Y543" s="50" t="s">
        <v>1305</v>
      </c>
    </row>
    <row r="544">
      <c r="A544" s="65">
        <f>ROW()-ROW(Table_Actions[N])</f>
        <v>308</v>
      </c>
      <c r="B544" s="54" t="s">
        <v>983</v>
      </c>
      <c r="C544" s="62" t="b">
        <v>0</v>
      </c>
      <c r="D544" s="63" t="s">
        <v>1350</v>
      </c>
      <c r="E544" s="63" t="s">
        <v>361</v>
      </c>
      <c r="F544" s="63" t="s">
        <v>364</v>
      </c>
      <c r="G544" s="63" t="s">
        <v>732</v>
      </c>
      <c r="H544" s="63" t="s">
        <v>1294</v>
      </c>
      <c r="I544" s="66" t="s">
        <v>730</v>
      </c>
      <c r="J544" s="63" t="s">
        <v>1295</v>
      </c>
      <c r="K544" s="63" t="s">
        <v>731</v>
      </c>
      <c r="L544" s="63" t="s">
        <v>1353</v>
      </c>
      <c r="M544" s="63" t="s">
        <v>1297</v>
      </c>
      <c r="N544" s="63" t="s">
        <v>1723</v>
      </c>
      <c r="O544" s="63" t="s">
        <v>1299</v>
      </c>
      <c r="P544" s="63" t="s">
        <v>1300</v>
      </c>
      <c r="Q544" s="50" t="s">
        <v>1301</v>
      </c>
      <c r="R544" s="50" t="s">
        <v>1302</v>
      </c>
      <c r="T544" s="50" t="s">
        <v>1303</v>
      </c>
      <c r="U544" s="50" t="s">
        <v>1303</v>
      </c>
      <c r="V544" s="48">
        <v>0.0</v>
      </c>
      <c r="W544" s="68">
        <v>0.0</v>
      </c>
      <c r="X544" s="50" t="s">
        <v>1304</v>
      </c>
      <c r="Y544" s="50" t="s">
        <v>1305</v>
      </c>
    </row>
    <row r="545">
      <c r="A545" s="65">
        <f>ROW()-ROW(Table_Actions[N])</f>
        <v>309</v>
      </c>
      <c r="B545" s="54" t="s">
        <v>1724</v>
      </c>
      <c r="C545" s="62" t="b">
        <v>1</v>
      </c>
      <c r="D545" s="63" t="s">
        <v>1372</v>
      </c>
      <c r="E545" s="63" t="s">
        <v>367</v>
      </c>
      <c r="F545" s="63" t="s">
        <v>364</v>
      </c>
      <c r="G545" s="63" t="s">
        <v>732</v>
      </c>
      <c r="H545" s="63" t="s">
        <v>1294</v>
      </c>
      <c r="I545" s="66" t="s">
        <v>730</v>
      </c>
      <c r="J545" s="63" t="s">
        <v>1295</v>
      </c>
      <c r="K545" s="63" t="s">
        <v>731</v>
      </c>
      <c r="L545" s="63" t="s">
        <v>1296</v>
      </c>
      <c r="M545" s="63" t="s">
        <v>1297</v>
      </c>
      <c r="N545" s="63" t="s">
        <v>1298</v>
      </c>
      <c r="O545" s="63" t="s">
        <v>1725</v>
      </c>
      <c r="P545" s="63" t="s">
        <v>1300</v>
      </c>
      <c r="Q545" s="50" t="s">
        <v>1301</v>
      </c>
      <c r="R545" s="50" t="s">
        <v>1302</v>
      </c>
      <c r="T545" s="67" t="s">
        <v>1303</v>
      </c>
      <c r="U545" s="67" t="s">
        <v>1303</v>
      </c>
      <c r="V545" s="48">
        <v>0.0</v>
      </c>
      <c r="W545" s="68">
        <v>0.0</v>
      </c>
      <c r="X545" s="50" t="s">
        <v>1304</v>
      </c>
      <c r="Y545" s="50" t="s">
        <v>1305</v>
      </c>
    </row>
    <row r="546">
      <c r="A546" s="65">
        <f>ROW()-ROW(Table_Actions[N])</f>
        <v>310</v>
      </c>
      <c r="B546" s="54" t="s">
        <v>1726</v>
      </c>
      <c r="C546" s="62" t="b">
        <v>1</v>
      </c>
      <c r="D546" s="63" t="s">
        <v>1564</v>
      </c>
      <c r="E546" s="63" t="s">
        <v>367</v>
      </c>
      <c r="F546" s="63" t="s">
        <v>364</v>
      </c>
      <c r="G546" s="63" t="s">
        <v>732</v>
      </c>
      <c r="H546" s="63" t="s">
        <v>1294</v>
      </c>
      <c r="I546" s="66" t="s">
        <v>730</v>
      </c>
      <c r="J546" s="63" t="s">
        <v>1295</v>
      </c>
      <c r="K546" s="63" t="s">
        <v>731</v>
      </c>
      <c r="L546" s="63" t="s">
        <v>1296</v>
      </c>
      <c r="M546" s="63" t="s">
        <v>1297</v>
      </c>
      <c r="N546" s="63" t="s">
        <v>1298</v>
      </c>
      <c r="O546" s="63" t="s">
        <v>1299</v>
      </c>
      <c r="P546" s="63" t="s">
        <v>1300</v>
      </c>
      <c r="Q546" s="50" t="s">
        <v>1301</v>
      </c>
      <c r="R546" s="50" t="s">
        <v>1302</v>
      </c>
      <c r="S546" s="48" t="s">
        <v>1727</v>
      </c>
      <c r="T546" s="67" t="s">
        <v>1303</v>
      </c>
      <c r="U546" s="67" t="s">
        <v>1303</v>
      </c>
      <c r="V546" s="48">
        <v>0.0</v>
      </c>
      <c r="W546" s="68">
        <v>0.0</v>
      </c>
      <c r="X546" s="50" t="s">
        <v>1304</v>
      </c>
      <c r="Y546" s="50" t="s">
        <v>1305</v>
      </c>
    </row>
    <row r="547">
      <c r="A547" s="65">
        <f>ROW()-ROW(Table_Actions[N])</f>
        <v>311</v>
      </c>
      <c r="B547" s="54" t="s">
        <v>1728</v>
      </c>
      <c r="C547" s="62" t="b">
        <v>1</v>
      </c>
      <c r="D547" s="63" t="s">
        <v>1729</v>
      </c>
      <c r="E547" s="63" t="s">
        <v>361</v>
      </c>
      <c r="F547" s="63" t="s">
        <v>364</v>
      </c>
      <c r="G547" s="63" t="s">
        <v>732</v>
      </c>
      <c r="H547" s="63" t="s">
        <v>1294</v>
      </c>
      <c r="I547" s="66" t="s">
        <v>730</v>
      </c>
      <c r="J547" s="63" t="s">
        <v>1295</v>
      </c>
      <c r="K547" s="63" t="s">
        <v>731</v>
      </c>
      <c r="L547" s="63" t="s">
        <v>1296</v>
      </c>
      <c r="M547" s="63" t="s">
        <v>1297</v>
      </c>
      <c r="N547" s="63" t="s">
        <v>1298</v>
      </c>
      <c r="O547" s="63" t="s">
        <v>1299</v>
      </c>
      <c r="P547" s="63" t="s">
        <v>1300</v>
      </c>
      <c r="Q547" s="50" t="s">
        <v>1301</v>
      </c>
      <c r="R547" s="50" t="s">
        <v>1302</v>
      </c>
      <c r="S547" s="48"/>
      <c r="T547" s="67" t="s">
        <v>1303</v>
      </c>
      <c r="U547" s="67" t="s">
        <v>1303</v>
      </c>
      <c r="V547" s="48">
        <v>2000.0</v>
      </c>
      <c r="W547" s="68">
        <v>0.0</v>
      </c>
      <c r="X547" s="50" t="s">
        <v>1304</v>
      </c>
      <c r="Y547" s="50" t="s">
        <v>1305</v>
      </c>
    </row>
    <row r="548">
      <c r="A548" s="65">
        <f>ROW()-ROW(Table_Actions[N])</f>
        <v>312</v>
      </c>
      <c r="B548" s="54" t="s">
        <v>1730</v>
      </c>
      <c r="C548" s="62" t="b">
        <v>0</v>
      </c>
      <c r="D548" s="63" t="s">
        <v>1516</v>
      </c>
      <c r="E548" s="63" t="s">
        <v>361</v>
      </c>
      <c r="F548" s="63" t="s">
        <v>364</v>
      </c>
      <c r="G548" s="63" t="s">
        <v>732</v>
      </c>
      <c r="H548" s="63" t="s">
        <v>1294</v>
      </c>
      <c r="I548" s="66" t="s">
        <v>730</v>
      </c>
      <c r="J548" s="63" t="s">
        <v>1295</v>
      </c>
      <c r="K548" s="63" t="s">
        <v>731</v>
      </c>
      <c r="L548" s="63" t="s">
        <v>1296</v>
      </c>
      <c r="M548" s="63" t="s">
        <v>1297</v>
      </c>
      <c r="N548" s="63" t="s">
        <v>1298</v>
      </c>
      <c r="O548" s="63" t="s">
        <v>1299</v>
      </c>
      <c r="P548" s="63" t="s">
        <v>1300</v>
      </c>
      <c r="Q548" s="50" t="s">
        <v>1731</v>
      </c>
      <c r="R548" s="50" t="s">
        <v>1302</v>
      </c>
      <c r="S548" s="48"/>
      <c r="T548" s="50" t="s">
        <v>1303</v>
      </c>
      <c r="U548" s="50" t="s">
        <v>1303</v>
      </c>
      <c r="V548" s="48">
        <v>0.0</v>
      </c>
      <c r="W548" s="68">
        <v>0.0</v>
      </c>
      <c r="X548" s="50" t="s">
        <v>1304</v>
      </c>
      <c r="Y548" s="50" t="s">
        <v>1305</v>
      </c>
    </row>
    <row r="549">
      <c r="A549" s="65">
        <f>ROW()-ROW(Table_Actions[N])</f>
        <v>313</v>
      </c>
      <c r="B549" s="54" t="s">
        <v>1732</v>
      </c>
      <c r="C549" s="62" t="b">
        <v>0</v>
      </c>
      <c r="D549" s="63" t="s">
        <v>1350</v>
      </c>
      <c r="E549" s="63" t="s">
        <v>361</v>
      </c>
      <c r="F549" s="63" t="s">
        <v>364</v>
      </c>
      <c r="G549" s="63" t="s">
        <v>732</v>
      </c>
      <c r="H549" s="63" t="s">
        <v>1294</v>
      </c>
      <c r="I549" s="66" t="s">
        <v>730</v>
      </c>
      <c r="J549" s="63" t="s">
        <v>1295</v>
      </c>
      <c r="K549" s="63" t="s">
        <v>731</v>
      </c>
      <c r="L549" s="63" t="s">
        <v>1353</v>
      </c>
      <c r="M549" s="63" t="s">
        <v>1297</v>
      </c>
      <c r="N549" s="63" t="s">
        <v>1733</v>
      </c>
      <c r="O549" s="63" t="s">
        <v>1299</v>
      </c>
      <c r="P549" s="63" t="s">
        <v>1300</v>
      </c>
      <c r="Q549" s="50" t="s">
        <v>1301</v>
      </c>
      <c r="R549" s="50" t="s">
        <v>1302</v>
      </c>
      <c r="T549" s="50" t="s">
        <v>1303</v>
      </c>
      <c r="U549" s="50" t="s">
        <v>1303</v>
      </c>
      <c r="V549" s="48">
        <v>0.0</v>
      </c>
      <c r="W549" s="68">
        <v>0.0</v>
      </c>
      <c r="X549" s="50" t="s">
        <v>1304</v>
      </c>
      <c r="Y549" s="50" t="s">
        <v>1305</v>
      </c>
    </row>
    <row r="550">
      <c r="A550" s="65">
        <f>ROW()-ROW(Table_Actions[N])</f>
        <v>314</v>
      </c>
      <c r="B550" s="54" t="s">
        <v>1734</v>
      </c>
      <c r="C550" s="62" t="b">
        <v>0</v>
      </c>
      <c r="D550" s="63" t="s">
        <v>1310</v>
      </c>
      <c r="E550" s="63" t="s">
        <v>361</v>
      </c>
      <c r="F550" s="63" t="s">
        <v>364</v>
      </c>
      <c r="G550" s="63" t="s">
        <v>732</v>
      </c>
      <c r="H550" s="63" t="s">
        <v>1294</v>
      </c>
      <c r="I550" s="66" t="s">
        <v>1226</v>
      </c>
      <c r="J550" s="63" t="s">
        <v>1295</v>
      </c>
      <c r="K550" s="63" t="s">
        <v>731</v>
      </c>
      <c r="L550" s="63" t="s">
        <v>1296</v>
      </c>
      <c r="M550" s="63" t="s">
        <v>1297</v>
      </c>
      <c r="N550" s="63" t="s">
        <v>1298</v>
      </c>
      <c r="O550" s="63" t="s">
        <v>1299</v>
      </c>
      <c r="P550" s="63" t="s">
        <v>1300</v>
      </c>
      <c r="Q550" s="50" t="s">
        <v>1301</v>
      </c>
      <c r="R550" s="50" t="s">
        <v>1302</v>
      </c>
      <c r="T550" s="50" t="s">
        <v>1303</v>
      </c>
      <c r="U550" s="50" t="s">
        <v>1303</v>
      </c>
      <c r="V550" s="48">
        <v>0.0</v>
      </c>
      <c r="W550" s="68">
        <v>0.0</v>
      </c>
      <c r="X550" s="50" t="s">
        <v>1304</v>
      </c>
      <c r="Y550" s="50" t="s">
        <v>1305</v>
      </c>
    </row>
    <row r="551">
      <c r="A551" s="65">
        <f>ROW()-ROW(Table_Actions[N])</f>
        <v>315</v>
      </c>
      <c r="B551" s="54" t="s">
        <v>1224</v>
      </c>
      <c r="C551" s="62" t="b">
        <v>0</v>
      </c>
      <c r="D551" s="63" t="s">
        <v>1318</v>
      </c>
      <c r="E551" s="63" t="s">
        <v>612</v>
      </c>
      <c r="F551" s="63" t="s">
        <v>364</v>
      </c>
      <c r="G551" s="63" t="s">
        <v>732</v>
      </c>
      <c r="H551" s="63" t="s">
        <v>1294</v>
      </c>
      <c r="I551" s="66" t="s">
        <v>730</v>
      </c>
      <c r="J551" s="63" t="s">
        <v>1295</v>
      </c>
      <c r="K551" s="63" t="s">
        <v>731</v>
      </c>
      <c r="L551" s="63" t="s">
        <v>1296</v>
      </c>
      <c r="M551" s="63" t="s">
        <v>1297</v>
      </c>
      <c r="N551" s="63" t="s">
        <v>1298</v>
      </c>
      <c r="O551" s="63" t="s">
        <v>1299</v>
      </c>
      <c r="P551" s="63" t="s">
        <v>1300</v>
      </c>
      <c r="Q551" s="50" t="s">
        <v>1301</v>
      </c>
      <c r="R551" s="50" t="s">
        <v>1302</v>
      </c>
      <c r="T551" s="50" t="s">
        <v>1303</v>
      </c>
      <c r="U551" s="50" t="s">
        <v>1303</v>
      </c>
      <c r="V551" s="48">
        <v>0.0</v>
      </c>
      <c r="W551" s="68">
        <v>0.0</v>
      </c>
      <c r="X551" s="50" t="s">
        <v>1304</v>
      </c>
      <c r="Y551" s="50" t="s">
        <v>1305</v>
      </c>
    </row>
    <row r="552">
      <c r="A552" s="65">
        <f>ROW()-ROW(Table_Actions[N])</f>
        <v>316</v>
      </c>
      <c r="B552" s="54" t="s">
        <v>1227</v>
      </c>
      <c r="C552" s="62" t="b">
        <v>0</v>
      </c>
      <c r="D552" s="63" t="s">
        <v>1318</v>
      </c>
      <c r="E552" s="63" t="s">
        <v>615</v>
      </c>
      <c r="F552" s="63" t="s">
        <v>364</v>
      </c>
      <c r="G552" s="63" t="s">
        <v>732</v>
      </c>
      <c r="H552" s="63" t="s">
        <v>1294</v>
      </c>
      <c r="I552" s="66" t="s">
        <v>730</v>
      </c>
      <c r="J552" s="63" t="s">
        <v>1295</v>
      </c>
      <c r="K552" s="63" t="s">
        <v>731</v>
      </c>
      <c r="L552" s="63" t="s">
        <v>1296</v>
      </c>
      <c r="M552" s="63" t="s">
        <v>1297</v>
      </c>
      <c r="N552" s="63" t="s">
        <v>1298</v>
      </c>
      <c r="O552" s="63" t="s">
        <v>1299</v>
      </c>
      <c r="P552" s="63" t="s">
        <v>1300</v>
      </c>
      <c r="Q552" s="50" t="s">
        <v>1301</v>
      </c>
      <c r="R552" s="50" t="s">
        <v>1302</v>
      </c>
      <c r="T552" s="50" t="s">
        <v>1303</v>
      </c>
      <c r="U552" s="50" t="s">
        <v>1303</v>
      </c>
      <c r="V552" s="48">
        <v>0.0</v>
      </c>
      <c r="W552" s="68">
        <v>0.0</v>
      </c>
      <c r="X552" s="50" t="s">
        <v>1304</v>
      </c>
      <c r="Y552" s="50" t="s">
        <v>1305</v>
      </c>
    </row>
    <row r="553">
      <c r="A553" s="65">
        <f>ROW()-ROW(Table_Actions[N])</f>
        <v>317</v>
      </c>
      <c r="B553" s="54" t="s">
        <v>1735</v>
      </c>
      <c r="C553" s="62" t="b">
        <v>0</v>
      </c>
      <c r="D553" s="63" t="s">
        <v>1324</v>
      </c>
      <c r="E553" s="63" t="s">
        <v>612</v>
      </c>
      <c r="F553" s="63" t="s">
        <v>364</v>
      </c>
      <c r="G553" s="63" t="s">
        <v>732</v>
      </c>
      <c r="H553" s="63" t="s">
        <v>1294</v>
      </c>
      <c r="I553" s="66" t="s">
        <v>730</v>
      </c>
      <c r="J553" s="63" t="s">
        <v>1295</v>
      </c>
      <c r="K553" s="63" t="s">
        <v>731</v>
      </c>
      <c r="L553" s="63" t="s">
        <v>1296</v>
      </c>
      <c r="M553" s="63" t="s">
        <v>1297</v>
      </c>
      <c r="N553" s="63" t="s">
        <v>1298</v>
      </c>
      <c r="O553" s="63" t="s">
        <v>1299</v>
      </c>
      <c r="P553" s="63" t="s">
        <v>1300</v>
      </c>
      <c r="Q553" s="50" t="s">
        <v>1301</v>
      </c>
      <c r="R553" s="50" t="s">
        <v>1302</v>
      </c>
      <c r="T553" s="50" t="s">
        <v>1303</v>
      </c>
      <c r="U553" s="50" t="s">
        <v>1303</v>
      </c>
      <c r="V553" s="48">
        <v>0.0</v>
      </c>
      <c r="W553" s="68">
        <v>0.0</v>
      </c>
      <c r="X553" s="50" t="s">
        <v>1304</v>
      </c>
      <c r="Y553" s="50" t="s">
        <v>1305</v>
      </c>
    </row>
    <row r="554">
      <c r="A554" s="65">
        <f>ROW()-ROW(Table_Actions[N])</f>
        <v>318</v>
      </c>
      <c r="B554" s="54" t="s">
        <v>987</v>
      </c>
      <c r="C554" s="62" t="b">
        <v>0</v>
      </c>
      <c r="D554" s="63" t="s">
        <v>1350</v>
      </c>
      <c r="E554" s="63" t="s">
        <v>361</v>
      </c>
      <c r="F554" s="63" t="s">
        <v>364</v>
      </c>
      <c r="G554" s="63" t="s">
        <v>732</v>
      </c>
      <c r="H554" s="63" t="s">
        <v>1294</v>
      </c>
      <c r="I554" s="66" t="s">
        <v>730</v>
      </c>
      <c r="J554" s="63" t="s">
        <v>1295</v>
      </c>
      <c r="K554" s="63" t="s">
        <v>731</v>
      </c>
      <c r="L554" s="63" t="s">
        <v>1353</v>
      </c>
      <c r="M554" s="63" t="s">
        <v>1297</v>
      </c>
      <c r="N554" s="63" t="s">
        <v>1736</v>
      </c>
      <c r="O554" s="63" t="s">
        <v>1299</v>
      </c>
      <c r="P554" s="63" t="s">
        <v>1300</v>
      </c>
      <c r="Q554" s="50" t="s">
        <v>1301</v>
      </c>
      <c r="R554" s="50" t="s">
        <v>1302</v>
      </c>
      <c r="T554" s="50" t="s">
        <v>1303</v>
      </c>
      <c r="U554" s="50" t="s">
        <v>1303</v>
      </c>
      <c r="V554" s="48">
        <v>0.0</v>
      </c>
      <c r="W554" s="68">
        <v>0.0</v>
      </c>
      <c r="X554" s="50" t="s">
        <v>1304</v>
      </c>
      <c r="Y554" s="50" t="s">
        <v>1305</v>
      </c>
    </row>
    <row r="555">
      <c r="A555" s="65">
        <f>ROW()-ROW(Table_Actions[N])</f>
        <v>319</v>
      </c>
      <c r="B555" s="54" t="s">
        <v>988</v>
      </c>
      <c r="C555" s="62" t="b">
        <v>0</v>
      </c>
      <c r="D555" s="63" t="s">
        <v>1350</v>
      </c>
      <c r="E555" s="63" t="s">
        <v>361</v>
      </c>
      <c r="F555" s="63" t="s">
        <v>364</v>
      </c>
      <c r="G555" s="63" t="s">
        <v>732</v>
      </c>
      <c r="H555" s="63" t="s">
        <v>1294</v>
      </c>
      <c r="I555" s="66" t="s">
        <v>730</v>
      </c>
      <c r="J555" s="63" t="s">
        <v>1295</v>
      </c>
      <c r="K555" s="63" t="s">
        <v>731</v>
      </c>
      <c r="L555" s="63" t="s">
        <v>1353</v>
      </c>
      <c r="M555" s="63" t="s">
        <v>1297</v>
      </c>
      <c r="N555" s="63" t="s">
        <v>1737</v>
      </c>
      <c r="O555" s="63" t="s">
        <v>1299</v>
      </c>
      <c r="P555" s="63" t="s">
        <v>1300</v>
      </c>
      <c r="Q555" s="50" t="s">
        <v>1301</v>
      </c>
      <c r="R555" s="50" t="s">
        <v>1302</v>
      </c>
      <c r="T555" s="50" t="s">
        <v>1303</v>
      </c>
      <c r="U555" s="50" t="s">
        <v>1303</v>
      </c>
      <c r="V555" s="48">
        <v>0.0</v>
      </c>
      <c r="W555" s="68">
        <v>0.0</v>
      </c>
      <c r="X555" s="50" t="s">
        <v>1304</v>
      </c>
      <c r="Y555" s="50" t="s">
        <v>1305</v>
      </c>
    </row>
    <row r="556">
      <c r="A556" s="65">
        <f>ROW()-ROW(Table_Actions[N])</f>
        <v>320</v>
      </c>
      <c r="B556" s="54" t="s">
        <v>1230</v>
      </c>
      <c r="C556" s="62" t="b">
        <v>0</v>
      </c>
      <c r="D556" s="63" t="s">
        <v>1324</v>
      </c>
      <c r="E556" s="63" t="s">
        <v>621</v>
      </c>
      <c r="F556" s="63" t="s">
        <v>364</v>
      </c>
      <c r="G556" s="63" t="s">
        <v>732</v>
      </c>
      <c r="H556" s="63" t="s">
        <v>1294</v>
      </c>
      <c r="I556" s="66" t="s">
        <v>730</v>
      </c>
      <c r="J556" s="63" t="s">
        <v>1295</v>
      </c>
      <c r="K556" s="63" t="s">
        <v>731</v>
      </c>
      <c r="L556" s="63" t="s">
        <v>1296</v>
      </c>
      <c r="M556" s="63" t="s">
        <v>1297</v>
      </c>
      <c r="N556" s="63" t="s">
        <v>1298</v>
      </c>
      <c r="O556" s="63" t="s">
        <v>1299</v>
      </c>
      <c r="P556" s="63" t="s">
        <v>1300</v>
      </c>
      <c r="Q556" s="50" t="s">
        <v>1301</v>
      </c>
      <c r="R556" s="50" t="s">
        <v>1302</v>
      </c>
      <c r="T556" s="50" t="s">
        <v>1303</v>
      </c>
      <c r="U556" s="50" t="s">
        <v>1303</v>
      </c>
      <c r="V556" s="48">
        <v>0.0</v>
      </c>
      <c r="W556" s="68">
        <v>0.0</v>
      </c>
      <c r="X556" s="50" t="s">
        <v>1304</v>
      </c>
      <c r="Y556" s="50" t="s">
        <v>1305</v>
      </c>
    </row>
    <row r="557">
      <c r="A557" s="65">
        <f>ROW()-ROW(Table_Actions[N])</f>
        <v>321</v>
      </c>
      <c r="B557" s="54" t="s">
        <v>1738</v>
      </c>
      <c r="C557" s="62" t="b">
        <v>0</v>
      </c>
      <c r="D557" s="63" t="s">
        <v>1326</v>
      </c>
      <c r="E557" s="63" t="s">
        <v>621</v>
      </c>
      <c r="F557" s="63" t="s">
        <v>364</v>
      </c>
      <c r="G557" s="63" t="s">
        <v>13</v>
      </c>
      <c r="H557" s="63" t="s">
        <v>1294</v>
      </c>
      <c r="I557" s="66" t="s">
        <v>730</v>
      </c>
      <c r="J557" s="63" t="s">
        <v>1295</v>
      </c>
      <c r="K557" s="63" t="s">
        <v>731</v>
      </c>
      <c r="L557" s="63" t="s">
        <v>1296</v>
      </c>
      <c r="M557" s="63" t="s">
        <v>1297</v>
      </c>
      <c r="N557" s="63" t="s">
        <v>1298</v>
      </c>
      <c r="O557" s="63" t="s">
        <v>1299</v>
      </c>
      <c r="P557" s="63" t="s">
        <v>1300</v>
      </c>
      <c r="Q557" s="50" t="s">
        <v>1301</v>
      </c>
      <c r="R557" s="50" t="s">
        <v>1302</v>
      </c>
      <c r="T557" s="50" t="s">
        <v>1303</v>
      </c>
      <c r="U557" s="50" t="s">
        <v>1303</v>
      </c>
      <c r="V557" s="48">
        <v>0.0</v>
      </c>
      <c r="W557" s="68">
        <v>0.0</v>
      </c>
      <c r="X557" s="50" t="s">
        <v>1304</v>
      </c>
      <c r="Y557" s="50" t="s">
        <v>1305</v>
      </c>
    </row>
    <row r="558">
      <c r="A558" s="65">
        <f>ROW()-ROW(Table_Actions[N])</f>
        <v>322</v>
      </c>
      <c r="B558" s="54" t="s">
        <v>990</v>
      </c>
      <c r="C558" s="62" t="b">
        <v>0</v>
      </c>
      <c r="D558" s="63" t="s">
        <v>1350</v>
      </c>
      <c r="E558" s="63" t="s">
        <v>361</v>
      </c>
      <c r="F558" s="63" t="s">
        <v>364</v>
      </c>
      <c r="G558" s="63" t="s">
        <v>732</v>
      </c>
      <c r="H558" s="63" t="s">
        <v>1294</v>
      </c>
      <c r="I558" s="66" t="s">
        <v>730</v>
      </c>
      <c r="J558" s="63" t="s">
        <v>1295</v>
      </c>
      <c r="K558" s="63" t="s">
        <v>731</v>
      </c>
      <c r="L558" s="63" t="s">
        <v>1353</v>
      </c>
      <c r="M558" s="63" t="s">
        <v>1297</v>
      </c>
      <c r="N558" s="63" t="s">
        <v>1739</v>
      </c>
      <c r="O558" s="63" t="s">
        <v>1299</v>
      </c>
      <c r="P558" s="63" t="s">
        <v>1300</v>
      </c>
      <c r="Q558" s="50" t="s">
        <v>1301</v>
      </c>
      <c r="R558" s="50" t="s">
        <v>1302</v>
      </c>
      <c r="T558" s="50" t="s">
        <v>1303</v>
      </c>
      <c r="U558" s="50" t="s">
        <v>1303</v>
      </c>
      <c r="V558" s="48">
        <v>0.0</v>
      </c>
      <c r="W558" s="68">
        <v>0.0</v>
      </c>
      <c r="X558" s="50" t="s">
        <v>1304</v>
      </c>
      <c r="Y558" s="50" t="s">
        <v>1305</v>
      </c>
    </row>
    <row r="559">
      <c r="A559" s="65">
        <f>ROW()-ROW(Table_Actions[N])</f>
        <v>323</v>
      </c>
      <c r="B559" s="54" t="s">
        <v>1233</v>
      </c>
      <c r="C559" s="62" t="b">
        <v>0</v>
      </c>
      <c r="D559" s="63" t="s">
        <v>1324</v>
      </c>
      <c r="E559" s="63" t="s">
        <v>627</v>
      </c>
      <c r="F559" s="63" t="s">
        <v>364</v>
      </c>
      <c r="G559" s="63" t="s">
        <v>732</v>
      </c>
      <c r="H559" s="63" t="s">
        <v>1294</v>
      </c>
      <c r="I559" s="66" t="s">
        <v>730</v>
      </c>
      <c r="J559" s="63" t="s">
        <v>1295</v>
      </c>
      <c r="K559" s="63" t="s">
        <v>731</v>
      </c>
      <c r="L559" s="63" t="s">
        <v>1296</v>
      </c>
      <c r="M559" s="63" t="s">
        <v>1297</v>
      </c>
      <c r="N559" s="63" t="s">
        <v>1298</v>
      </c>
      <c r="O559" s="63" t="s">
        <v>1299</v>
      </c>
      <c r="P559" s="63" t="s">
        <v>1300</v>
      </c>
      <c r="Q559" s="50" t="s">
        <v>1301</v>
      </c>
      <c r="R559" s="50" t="s">
        <v>1302</v>
      </c>
      <c r="T559" s="50" t="s">
        <v>1303</v>
      </c>
      <c r="U559" s="50" t="s">
        <v>1303</v>
      </c>
      <c r="V559" s="48">
        <v>0.0</v>
      </c>
      <c r="W559" s="68">
        <v>0.0</v>
      </c>
      <c r="X559" s="50" t="s">
        <v>1304</v>
      </c>
      <c r="Y559" s="50" t="s">
        <v>1305</v>
      </c>
    </row>
    <row r="560">
      <c r="A560" s="65">
        <f>ROW()-ROW(Table_Actions[N])</f>
        <v>324</v>
      </c>
      <c r="B560" s="54" t="s">
        <v>1740</v>
      </c>
      <c r="C560" s="62" t="b">
        <v>0</v>
      </c>
      <c r="D560" s="63" t="s">
        <v>1326</v>
      </c>
      <c r="E560" s="63" t="s">
        <v>627</v>
      </c>
      <c r="F560" s="63" t="s">
        <v>364</v>
      </c>
      <c r="G560" s="63" t="s">
        <v>13</v>
      </c>
      <c r="H560" s="63" t="s">
        <v>1294</v>
      </c>
      <c r="I560" s="66" t="s">
        <v>730</v>
      </c>
      <c r="J560" s="63" t="s">
        <v>1295</v>
      </c>
      <c r="K560" s="63" t="s">
        <v>731</v>
      </c>
      <c r="L560" s="63" t="s">
        <v>1296</v>
      </c>
      <c r="M560" s="63" t="s">
        <v>1297</v>
      </c>
      <c r="N560" s="63" t="s">
        <v>1298</v>
      </c>
      <c r="O560" s="63" t="s">
        <v>1299</v>
      </c>
      <c r="P560" s="63" t="s">
        <v>1300</v>
      </c>
      <c r="Q560" s="50" t="s">
        <v>1301</v>
      </c>
      <c r="R560" s="50" t="s">
        <v>1302</v>
      </c>
      <c r="T560" s="50" t="s">
        <v>1303</v>
      </c>
      <c r="U560" s="50" t="s">
        <v>1303</v>
      </c>
      <c r="V560" s="48">
        <v>0.0</v>
      </c>
      <c r="W560" s="68">
        <v>0.0</v>
      </c>
      <c r="X560" s="50" t="s">
        <v>1304</v>
      </c>
      <c r="Y560" s="50" t="s">
        <v>1305</v>
      </c>
    </row>
    <row r="561">
      <c r="A561" s="65">
        <f>ROW()-ROW(Table_Actions[N])</f>
        <v>325</v>
      </c>
      <c r="B561" s="54" t="s">
        <v>991</v>
      </c>
      <c r="C561" s="62" t="b">
        <v>0</v>
      </c>
      <c r="D561" s="63" t="s">
        <v>1350</v>
      </c>
      <c r="E561" s="63" t="s">
        <v>361</v>
      </c>
      <c r="F561" s="63" t="s">
        <v>364</v>
      </c>
      <c r="G561" s="63" t="s">
        <v>732</v>
      </c>
      <c r="H561" s="63" t="s">
        <v>1294</v>
      </c>
      <c r="I561" s="66" t="s">
        <v>730</v>
      </c>
      <c r="J561" s="63" t="s">
        <v>1295</v>
      </c>
      <c r="K561" s="63" t="s">
        <v>731</v>
      </c>
      <c r="L561" s="63" t="s">
        <v>1353</v>
      </c>
      <c r="M561" s="63" t="s">
        <v>1297</v>
      </c>
      <c r="N561" s="63" t="s">
        <v>1741</v>
      </c>
      <c r="O561" s="63" t="s">
        <v>1299</v>
      </c>
      <c r="P561" s="63" t="s">
        <v>1300</v>
      </c>
      <c r="Q561" s="50" t="s">
        <v>1301</v>
      </c>
      <c r="R561" s="50" t="s">
        <v>1302</v>
      </c>
      <c r="T561" s="50" t="s">
        <v>1303</v>
      </c>
      <c r="U561" s="50" t="s">
        <v>1303</v>
      </c>
      <c r="V561" s="48">
        <v>0.0</v>
      </c>
      <c r="W561" s="68">
        <v>0.0</v>
      </c>
      <c r="X561" s="50" t="s">
        <v>1304</v>
      </c>
      <c r="Y561" s="50" t="s">
        <v>1305</v>
      </c>
    </row>
    <row r="562">
      <c r="A562" s="65">
        <f>ROW()-ROW(Table_Actions[N])</f>
        <v>326</v>
      </c>
      <c r="B562" s="54" t="s">
        <v>1742</v>
      </c>
      <c r="C562" s="62" t="b">
        <v>0</v>
      </c>
      <c r="D562" s="63" t="s">
        <v>1326</v>
      </c>
      <c r="E562" s="63" t="s">
        <v>632</v>
      </c>
      <c r="F562" s="63" t="s">
        <v>364</v>
      </c>
      <c r="G562" s="63" t="s">
        <v>13</v>
      </c>
      <c r="H562" s="63" t="s">
        <v>1294</v>
      </c>
      <c r="I562" s="66" t="s">
        <v>730</v>
      </c>
      <c r="J562" s="63" t="s">
        <v>1295</v>
      </c>
      <c r="K562" s="63" t="s">
        <v>731</v>
      </c>
      <c r="L562" s="63" t="s">
        <v>1296</v>
      </c>
      <c r="M562" s="63" t="s">
        <v>1297</v>
      </c>
      <c r="N562" s="63" t="s">
        <v>1298</v>
      </c>
      <c r="O562" s="63" t="s">
        <v>1299</v>
      </c>
      <c r="P562" s="63" t="s">
        <v>1300</v>
      </c>
      <c r="Q562" s="50" t="s">
        <v>1301</v>
      </c>
      <c r="R562" s="50" t="s">
        <v>1302</v>
      </c>
      <c r="T562" s="50" t="s">
        <v>1303</v>
      </c>
      <c r="U562" s="50" t="s">
        <v>1303</v>
      </c>
      <c r="V562" s="48">
        <v>0.0</v>
      </c>
      <c r="W562" s="68">
        <v>0.0</v>
      </c>
      <c r="X562" s="50" t="s">
        <v>1304</v>
      </c>
      <c r="Y562" s="50" t="s">
        <v>1305</v>
      </c>
    </row>
    <row r="563">
      <c r="A563" s="65">
        <f>ROW()-ROW(Table_Actions[N])</f>
        <v>327</v>
      </c>
      <c r="B563" s="54" t="s">
        <v>1743</v>
      </c>
      <c r="C563" s="62" t="b">
        <v>0</v>
      </c>
      <c r="D563" s="63" t="s">
        <v>1504</v>
      </c>
      <c r="E563" s="63" t="s">
        <v>603</v>
      </c>
      <c r="F563" s="63" t="s">
        <v>364</v>
      </c>
      <c r="G563" s="63" t="s">
        <v>732</v>
      </c>
      <c r="H563" s="63" t="s">
        <v>1294</v>
      </c>
      <c r="I563" s="66" t="s">
        <v>730</v>
      </c>
      <c r="J563" s="63" t="s">
        <v>1295</v>
      </c>
      <c r="K563" s="63" t="s">
        <v>731</v>
      </c>
      <c r="L563" s="63" t="s">
        <v>1296</v>
      </c>
      <c r="M563" s="63" t="s">
        <v>1297</v>
      </c>
      <c r="N563" s="63" t="s">
        <v>1298</v>
      </c>
      <c r="O563" s="63" t="s">
        <v>1299</v>
      </c>
      <c r="P563" s="63" t="s">
        <v>1300</v>
      </c>
      <c r="Q563" s="50" t="s">
        <v>1301</v>
      </c>
      <c r="R563" s="50" t="s">
        <v>1302</v>
      </c>
      <c r="S563" s="48"/>
      <c r="T563" s="67" t="s">
        <v>1303</v>
      </c>
      <c r="U563" s="67" t="s">
        <v>1303</v>
      </c>
      <c r="V563" s="48">
        <v>0.0</v>
      </c>
      <c r="W563" s="68">
        <v>0.0</v>
      </c>
      <c r="X563" s="50" t="s">
        <v>1304</v>
      </c>
      <c r="Y563" s="50" t="s">
        <v>1305</v>
      </c>
    </row>
    <row r="564">
      <c r="A564" s="65">
        <f>ROW()-ROW(Table_Actions[N])</f>
        <v>328</v>
      </c>
      <c r="B564" s="54" t="s">
        <v>1744</v>
      </c>
      <c r="C564" s="62" t="b">
        <v>1</v>
      </c>
      <c r="D564" s="63" t="s">
        <v>1350</v>
      </c>
      <c r="E564" s="63" t="s">
        <v>361</v>
      </c>
      <c r="F564" s="63" t="s">
        <v>364</v>
      </c>
      <c r="G564" s="63" t="s">
        <v>732</v>
      </c>
      <c r="H564" s="63" t="s">
        <v>1294</v>
      </c>
      <c r="I564" s="66" t="s">
        <v>730</v>
      </c>
      <c r="J564" s="63" t="s">
        <v>1295</v>
      </c>
      <c r="K564" s="63" t="s">
        <v>731</v>
      </c>
      <c r="L564" s="63" t="s">
        <v>1745</v>
      </c>
      <c r="M564" s="63" t="s">
        <v>1297</v>
      </c>
      <c r="N564" s="63" t="s">
        <v>1298</v>
      </c>
      <c r="O564" s="63" t="s">
        <v>1299</v>
      </c>
      <c r="P564" s="63" t="s">
        <v>1300</v>
      </c>
      <c r="Q564" s="50" t="s">
        <v>1301</v>
      </c>
      <c r="R564" s="50" t="s">
        <v>1302</v>
      </c>
      <c r="S564" s="48"/>
      <c r="T564" s="50" t="s">
        <v>1303</v>
      </c>
      <c r="U564" s="50" t="s">
        <v>1303</v>
      </c>
      <c r="V564" s="48">
        <v>0.0</v>
      </c>
      <c r="W564" s="68">
        <v>0.0</v>
      </c>
      <c r="X564" s="50" t="s">
        <v>1304</v>
      </c>
      <c r="Y564" s="50" t="s">
        <v>1305</v>
      </c>
    </row>
    <row r="565">
      <c r="A565" s="65">
        <f>ROW()-ROW(Table_Actions[N])</f>
        <v>329</v>
      </c>
      <c r="B565" s="54" t="s">
        <v>1746</v>
      </c>
      <c r="C565" s="62" t="b">
        <v>1</v>
      </c>
      <c r="D565" s="63" t="s">
        <v>1372</v>
      </c>
      <c r="E565" s="63" t="s">
        <v>367</v>
      </c>
      <c r="F565" s="63" t="s">
        <v>364</v>
      </c>
      <c r="G565" s="63" t="s">
        <v>732</v>
      </c>
      <c r="H565" s="63" t="s">
        <v>1294</v>
      </c>
      <c r="I565" s="66" t="s">
        <v>730</v>
      </c>
      <c r="J565" s="63" t="s">
        <v>1295</v>
      </c>
      <c r="K565" s="63" t="s">
        <v>731</v>
      </c>
      <c r="L565" s="63" t="s">
        <v>1296</v>
      </c>
      <c r="M565" s="63" t="s">
        <v>1297</v>
      </c>
      <c r="N565" s="63" t="s">
        <v>1298</v>
      </c>
      <c r="O565" s="63" t="s">
        <v>1747</v>
      </c>
      <c r="P565" s="63" t="s">
        <v>1300</v>
      </c>
      <c r="Q565" s="50" t="s">
        <v>1301</v>
      </c>
      <c r="R565" s="50" t="s">
        <v>1302</v>
      </c>
      <c r="T565" s="67" t="s">
        <v>1303</v>
      </c>
      <c r="U565" s="67" t="s">
        <v>1303</v>
      </c>
      <c r="V565" s="48">
        <v>0.0</v>
      </c>
      <c r="W565" s="68">
        <v>0.0</v>
      </c>
      <c r="X565" s="50" t="s">
        <v>1304</v>
      </c>
      <c r="Y565" s="50" t="s">
        <v>1305</v>
      </c>
    </row>
    <row r="566">
      <c r="A566" s="65">
        <f>ROW()-ROW(Table_Actions[N])</f>
        <v>330</v>
      </c>
      <c r="B566" s="54" t="s">
        <v>1748</v>
      </c>
      <c r="C566" s="62" t="b">
        <v>0</v>
      </c>
      <c r="D566" s="63" t="s">
        <v>1516</v>
      </c>
      <c r="E566" s="63" t="s">
        <v>361</v>
      </c>
      <c r="F566" s="63" t="s">
        <v>364</v>
      </c>
      <c r="G566" s="63" t="s">
        <v>732</v>
      </c>
      <c r="H566" s="63" t="s">
        <v>1294</v>
      </c>
      <c r="I566" s="66" t="s">
        <v>730</v>
      </c>
      <c r="J566" s="63" t="s">
        <v>1295</v>
      </c>
      <c r="K566" s="63" t="s">
        <v>731</v>
      </c>
      <c r="L566" s="63" t="s">
        <v>1296</v>
      </c>
      <c r="M566" s="63" t="s">
        <v>1297</v>
      </c>
      <c r="N566" s="63" t="s">
        <v>1298</v>
      </c>
      <c r="O566" s="63" t="s">
        <v>1299</v>
      </c>
      <c r="P566" s="63" t="s">
        <v>1300</v>
      </c>
      <c r="Q566" s="50" t="s">
        <v>1749</v>
      </c>
      <c r="R566" s="50" t="s">
        <v>1302</v>
      </c>
      <c r="T566" s="50" t="s">
        <v>1303</v>
      </c>
      <c r="U566" s="50" t="s">
        <v>1303</v>
      </c>
      <c r="V566" s="48">
        <v>0.0</v>
      </c>
      <c r="W566" s="68">
        <v>0.0</v>
      </c>
      <c r="X566" s="50" t="s">
        <v>1304</v>
      </c>
      <c r="Y566" s="50" t="s">
        <v>1305</v>
      </c>
    </row>
    <row r="567">
      <c r="A567" s="65">
        <f>ROW()-ROW(Table_Actions[N])</f>
        <v>331</v>
      </c>
      <c r="B567" s="54" t="s">
        <v>1750</v>
      </c>
      <c r="C567" s="62" t="b">
        <v>0</v>
      </c>
      <c r="D567" s="63" t="s">
        <v>1516</v>
      </c>
      <c r="E567" s="63" t="s">
        <v>361</v>
      </c>
      <c r="F567" s="63" t="s">
        <v>364</v>
      </c>
      <c r="G567" s="63" t="s">
        <v>732</v>
      </c>
      <c r="H567" s="63" t="s">
        <v>1294</v>
      </c>
      <c r="I567" s="66" t="s">
        <v>730</v>
      </c>
      <c r="J567" s="63" t="s">
        <v>1295</v>
      </c>
      <c r="K567" s="63" t="s">
        <v>731</v>
      </c>
      <c r="L567" s="63" t="s">
        <v>1296</v>
      </c>
      <c r="M567" s="63" t="s">
        <v>1297</v>
      </c>
      <c r="N567" s="63" t="s">
        <v>1298</v>
      </c>
      <c r="O567" s="63" t="s">
        <v>1299</v>
      </c>
      <c r="P567" s="63" t="s">
        <v>1300</v>
      </c>
      <c r="Q567" s="50" t="s">
        <v>1751</v>
      </c>
      <c r="R567" s="50" t="s">
        <v>1302</v>
      </c>
      <c r="T567" s="50" t="s">
        <v>1303</v>
      </c>
      <c r="U567" s="50" t="s">
        <v>1303</v>
      </c>
      <c r="V567" s="48">
        <v>0.0</v>
      </c>
      <c r="W567" s="68">
        <v>0.0</v>
      </c>
      <c r="X567" s="50" t="s">
        <v>1304</v>
      </c>
      <c r="Y567" s="50" t="s">
        <v>1305</v>
      </c>
    </row>
    <row r="568">
      <c r="A568" s="65">
        <f>ROW()-ROW(Table_Actions[N])</f>
        <v>332</v>
      </c>
      <c r="B568" s="54" t="s">
        <v>1752</v>
      </c>
      <c r="C568" s="62" t="b">
        <v>1</v>
      </c>
      <c r="D568" s="63" t="s">
        <v>1729</v>
      </c>
      <c r="E568" s="63" t="s">
        <v>361</v>
      </c>
      <c r="F568" s="63" t="s">
        <v>364</v>
      </c>
      <c r="G568" s="63" t="s">
        <v>732</v>
      </c>
      <c r="H568" s="63" t="s">
        <v>1294</v>
      </c>
      <c r="I568" s="66" t="s">
        <v>730</v>
      </c>
      <c r="J568" s="63" t="s">
        <v>1295</v>
      </c>
      <c r="K568" s="63" t="s">
        <v>731</v>
      </c>
      <c r="L568" s="63" t="s">
        <v>1296</v>
      </c>
      <c r="M568" s="63" t="s">
        <v>1297</v>
      </c>
      <c r="N568" s="63" t="s">
        <v>1298</v>
      </c>
      <c r="O568" s="63" t="s">
        <v>1299</v>
      </c>
      <c r="P568" s="63" t="s">
        <v>1300</v>
      </c>
      <c r="Q568" s="50" t="s">
        <v>1301</v>
      </c>
      <c r="R568" s="50" t="s">
        <v>1302</v>
      </c>
      <c r="S568" s="48"/>
      <c r="T568" s="67" t="s">
        <v>1303</v>
      </c>
      <c r="U568" s="67" t="s">
        <v>1303</v>
      </c>
      <c r="V568" s="48">
        <v>6000.0</v>
      </c>
      <c r="W568" s="68">
        <v>0.0</v>
      </c>
      <c r="X568" s="50" t="s">
        <v>1304</v>
      </c>
      <c r="Y568" s="50" t="s">
        <v>1305</v>
      </c>
    </row>
    <row r="569">
      <c r="A569" s="65">
        <f>ROW()-ROW(Table_Actions[N])</f>
        <v>333</v>
      </c>
      <c r="B569" s="54" t="s">
        <v>1753</v>
      </c>
      <c r="C569" s="62" t="b">
        <v>1</v>
      </c>
      <c r="D569" s="63" t="s">
        <v>1729</v>
      </c>
      <c r="E569" s="63" t="s">
        <v>361</v>
      </c>
      <c r="F569" s="63" t="s">
        <v>364</v>
      </c>
      <c r="G569" s="63" t="s">
        <v>732</v>
      </c>
      <c r="H569" s="63" t="s">
        <v>1294</v>
      </c>
      <c r="I569" s="66" t="s">
        <v>730</v>
      </c>
      <c r="J569" s="63" t="s">
        <v>1295</v>
      </c>
      <c r="K569" s="63" t="s">
        <v>731</v>
      </c>
      <c r="L569" s="63" t="s">
        <v>1296</v>
      </c>
      <c r="M569" s="63" t="s">
        <v>1297</v>
      </c>
      <c r="N569" s="63" t="s">
        <v>1298</v>
      </c>
      <c r="O569" s="63" t="s">
        <v>1299</v>
      </c>
      <c r="P569" s="63" t="s">
        <v>1300</v>
      </c>
      <c r="Q569" s="50" t="s">
        <v>1301</v>
      </c>
      <c r="R569" s="50" t="s">
        <v>1302</v>
      </c>
      <c r="S569" s="48"/>
      <c r="T569" s="67" t="s">
        <v>1303</v>
      </c>
      <c r="U569" s="67" t="s">
        <v>1303</v>
      </c>
      <c r="V569" s="48">
        <v>500.0</v>
      </c>
      <c r="W569" s="68">
        <v>0.0</v>
      </c>
      <c r="X569" s="50" t="s">
        <v>1304</v>
      </c>
      <c r="Y569" s="50" t="s">
        <v>1305</v>
      </c>
    </row>
    <row r="570">
      <c r="A570" s="65">
        <f>ROW()-ROW(Table_Actions[N])</f>
        <v>334</v>
      </c>
      <c r="B570" s="54" t="s">
        <v>1236</v>
      </c>
      <c r="C570" s="62" t="b">
        <v>0</v>
      </c>
      <c r="D570" s="63" t="s">
        <v>1754</v>
      </c>
      <c r="E570" s="63" t="s">
        <v>643</v>
      </c>
      <c r="F570" s="63" t="s">
        <v>364</v>
      </c>
      <c r="G570" s="63" t="s">
        <v>732</v>
      </c>
      <c r="H570" s="63" t="s">
        <v>1294</v>
      </c>
      <c r="I570" s="66" t="s">
        <v>730</v>
      </c>
      <c r="J570" s="63" t="s">
        <v>1295</v>
      </c>
      <c r="K570" s="63" t="s">
        <v>731</v>
      </c>
      <c r="L570" s="63" t="s">
        <v>1296</v>
      </c>
      <c r="M570" s="63" t="s">
        <v>1297</v>
      </c>
      <c r="N570" s="63" t="s">
        <v>1298</v>
      </c>
      <c r="O570" s="63" t="s">
        <v>1299</v>
      </c>
      <c r="P570" s="63" t="s">
        <v>1300</v>
      </c>
      <c r="Q570" s="50" t="s">
        <v>1301</v>
      </c>
      <c r="R570" s="50" t="s">
        <v>1302</v>
      </c>
      <c r="S570" s="48"/>
      <c r="T570" s="67" t="s">
        <v>1702</v>
      </c>
      <c r="U570" s="67" t="s">
        <v>1303</v>
      </c>
      <c r="V570" s="48">
        <v>0.0</v>
      </c>
      <c r="W570" s="68">
        <v>0.0</v>
      </c>
      <c r="X570" s="50" t="s">
        <v>1304</v>
      </c>
      <c r="Y570" s="50" t="s">
        <v>1305</v>
      </c>
    </row>
    <row r="571">
      <c r="A571" s="65">
        <f>ROW()-ROW(Table_Actions[N])</f>
        <v>335</v>
      </c>
      <c r="B571" s="54" t="s">
        <v>999</v>
      </c>
      <c r="C571" s="62" t="b">
        <v>0</v>
      </c>
      <c r="D571" s="63" t="s">
        <v>1350</v>
      </c>
      <c r="E571" s="63" t="s">
        <v>361</v>
      </c>
      <c r="F571" s="63" t="s">
        <v>364</v>
      </c>
      <c r="G571" s="63" t="s">
        <v>732</v>
      </c>
      <c r="H571" s="63" t="s">
        <v>1294</v>
      </c>
      <c r="I571" s="66" t="s">
        <v>730</v>
      </c>
      <c r="J571" s="63" t="s">
        <v>1295</v>
      </c>
      <c r="K571" s="63" t="s">
        <v>731</v>
      </c>
      <c r="L571" s="63" t="s">
        <v>1353</v>
      </c>
      <c r="M571" s="63" t="s">
        <v>1297</v>
      </c>
      <c r="N571" s="63" t="s">
        <v>1755</v>
      </c>
      <c r="O571" s="63" t="s">
        <v>1299</v>
      </c>
      <c r="P571" s="63" t="s">
        <v>1300</v>
      </c>
      <c r="Q571" s="50" t="s">
        <v>1301</v>
      </c>
      <c r="R571" s="50" t="s">
        <v>1302</v>
      </c>
      <c r="S571" s="48"/>
      <c r="T571" s="50" t="s">
        <v>1303</v>
      </c>
      <c r="U571" s="50" t="s">
        <v>1303</v>
      </c>
      <c r="V571" s="48">
        <v>0.0</v>
      </c>
      <c r="W571" s="68">
        <v>0.0</v>
      </c>
      <c r="X571" s="50" t="s">
        <v>1304</v>
      </c>
      <c r="Y571" s="50" t="s">
        <v>1305</v>
      </c>
    </row>
    <row r="572">
      <c r="A572" s="65">
        <f>ROW()-ROW(Table_Actions[N])</f>
        <v>336</v>
      </c>
      <c r="B572" s="54" t="s">
        <v>1756</v>
      </c>
      <c r="C572" s="62" t="b">
        <v>0</v>
      </c>
      <c r="D572" s="63" t="s">
        <v>1326</v>
      </c>
      <c r="E572" s="63" t="s">
        <v>639</v>
      </c>
      <c r="F572" s="63" t="s">
        <v>364</v>
      </c>
      <c r="G572" s="63" t="s">
        <v>13</v>
      </c>
      <c r="H572" s="63" t="s">
        <v>1294</v>
      </c>
      <c r="I572" s="66" t="s">
        <v>730</v>
      </c>
      <c r="J572" s="63" t="s">
        <v>1295</v>
      </c>
      <c r="K572" s="63" t="s">
        <v>731</v>
      </c>
      <c r="L572" s="63" t="s">
        <v>1296</v>
      </c>
      <c r="M572" s="63" t="s">
        <v>1297</v>
      </c>
      <c r="N572" s="63" t="s">
        <v>1298</v>
      </c>
      <c r="O572" s="63" t="s">
        <v>1299</v>
      </c>
      <c r="P572" s="63" t="s">
        <v>1300</v>
      </c>
      <c r="Q572" s="50" t="s">
        <v>1301</v>
      </c>
      <c r="R572" s="50" t="s">
        <v>1302</v>
      </c>
      <c r="S572" s="48"/>
      <c r="T572" s="50" t="s">
        <v>1303</v>
      </c>
      <c r="U572" s="50" t="s">
        <v>1303</v>
      </c>
      <c r="V572" s="48">
        <v>0.0</v>
      </c>
      <c r="W572" s="68">
        <v>0.0</v>
      </c>
      <c r="X572" s="50" t="s">
        <v>1304</v>
      </c>
      <c r="Y572" s="50" t="s">
        <v>1305</v>
      </c>
    </row>
    <row r="573">
      <c r="A573" s="65">
        <f>ROW()-ROW(Table_Actions[N])</f>
        <v>337</v>
      </c>
      <c r="B573" s="54" t="s">
        <v>1757</v>
      </c>
      <c r="C573" s="62" t="b">
        <v>0</v>
      </c>
      <c r="D573" s="63" t="s">
        <v>1504</v>
      </c>
      <c r="E573" s="63" t="s">
        <v>608</v>
      </c>
      <c r="F573" s="63" t="s">
        <v>364</v>
      </c>
      <c r="G573" s="63" t="s">
        <v>732</v>
      </c>
      <c r="H573" s="63" t="s">
        <v>1294</v>
      </c>
      <c r="I573" s="66" t="s">
        <v>730</v>
      </c>
      <c r="J573" s="63" t="s">
        <v>1295</v>
      </c>
      <c r="K573" s="63" t="s">
        <v>731</v>
      </c>
      <c r="L573" s="63" t="s">
        <v>1296</v>
      </c>
      <c r="M573" s="63" t="s">
        <v>1297</v>
      </c>
      <c r="N573" s="63" t="s">
        <v>1298</v>
      </c>
      <c r="O573" s="63" t="s">
        <v>1299</v>
      </c>
      <c r="P573" s="63" t="s">
        <v>1300</v>
      </c>
      <c r="Q573" s="50" t="s">
        <v>1301</v>
      </c>
      <c r="R573" s="50" t="s">
        <v>1302</v>
      </c>
      <c r="S573" s="48"/>
      <c r="T573" s="67" t="s">
        <v>1303</v>
      </c>
      <c r="U573" s="67" t="s">
        <v>1303</v>
      </c>
      <c r="V573" s="48">
        <v>0.0</v>
      </c>
      <c r="W573" s="68">
        <v>0.0</v>
      </c>
      <c r="X573" s="50" t="s">
        <v>1304</v>
      </c>
      <c r="Y573" s="50" t="s">
        <v>1305</v>
      </c>
    </row>
    <row r="574">
      <c r="A574" s="65">
        <f>ROW()-ROW(Table_Actions[N])</f>
        <v>338</v>
      </c>
      <c r="B574" s="54" t="s">
        <v>1758</v>
      </c>
      <c r="C574" s="62" t="b">
        <v>0</v>
      </c>
      <c r="D574" s="63" t="s">
        <v>1310</v>
      </c>
      <c r="E574" s="63" t="s">
        <v>361</v>
      </c>
      <c r="F574" s="63" t="s">
        <v>364</v>
      </c>
      <c r="G574" s="63" t="s">
        <v>732</v>
      </c>
      <c r="H574" s="63" t="s">
        <v>1294</v>
      </c>
      <c r="I574" s="66" t="s">
        <v>1759</v>
      </c>
      <c r="J574" s="63" t="s">
        <v>1295</v>
      </c>
      <c r="K574" s="63" t="s">
        <v>731</v>
      </c>
      <c r="L574" s="63" t="s">
        <v>1296</v>
      </c>
      <c r="M574" s="63" t="s">
        <v>1297</v>
      </c>
      <c r="N574" s="63" t="s">
        <v>1298</v>
      </c>
      <c r="O574" s="63" t="s">
        <v>1299</v>
      </c>
      <c r="P574" s="63" t="s">
        <v>1300</v>
      </c>
      <c r="Q574" s="50" t="s">
        <v>1301</v>
      </c>
      <c r="R574" s="50" t="s">
        <v>1302</v>
      </c>
      <c r="S574" s="48"/>
      <c r="T574" s="50" t="s">
        <v>1303</v>
      </c>
      <c r="U574" s="50" t="s">
        <v>1303</v>
      </c>
      <c r="V574" s="48">
        <v>0.0</v>
      </c>
      <c r="W574" s="68">
        <v>0.0</v>
      </c>
      <c r="X574" s="50" t="s">
        <v>1304</v>
      </c>
      <c r="Y574" s="50" t="s">
        <v>1305</v>
      </c>
    </row>
    <row r="575">
      <c r="A575" s="65">
        <f>ROW()-ROW(Table_Actions[N])</f>
        <v>339</v>
      </c>
      <c r="B575" s="54" t="s">
        <v>1760</v>
      </c>
      <c r="C575" s="62" t="b">
        <v>1</v>
      </c>
      <c r="D575" s="63" t="s">
        <v>1564</v>
      </c>
      <c r="E575" s="63" t="s">
        <v>367</v>
      </c>
      <c r="F575" s="63" t="s">
        <v>364</v>
      </c>
      <c r="G575" s="63" t="s">
        <v>732</v>
      </c>
      <c r="H575" s="63" t="s">
        <v>1294</v>
      </c>
      <c r="I575" s="66" t="s">
        <v>730</v>
      </c>
      <c r="J575" s="63" t="s">
        <v>1295</v>
      </c>
      <c r="K575" s="63" t="s">
        <v>731</v>
      </c>
      <c r="L575" s="63" t="s">
        <v>1296</v>
      </c>
      <c r="M575" s="63" t="s">
        <v>1297</v>
      </c>
      <c r="N575" s="63" t="s">
        <v>1298</v>
      </c>
      <c r="O575" s="63" t="s">
        <v>1299</v>
      </c>
      <c r="P575" s="63" t="s">
        <v>1300</v>
      </c>
      <c r="Q575" s="50" t="s">
        <v>1301</v>
      </c>
      <c r="R575" s="50" t="s">
        <v>1302</v>
      </c>
      <c r="S575" s="48" t="s">
        <v>1761</v>
      </c>
      <c r="T575" s="67" t="s">
        <v>1303</v>
      </c>
      <c r="U575" s="67" t="s">
        <v>1303</v>
      </c>
      <c r="V575" s="48">
        <v>0.0</v>
      </c>
      <c r="W575" s="68">
        <v>0.0</v>
      </c>
      <c r="X575" s="50" t="s">
        <v>1304</v>
      </c>
      <c r="Y575" s="50" t="s">
        <v>1305</v>
      </c>
    </row>
    <row r="576">
      <c r="A576" s="65">
        <f>ROW()-ROW(Table_Actions[N])</f>
        <v>340</v>
      </c>
      <c r="B576" s="54" t="s">
        <v>1762</v>
      </c>
      <c r="C576" s="62" t="b">
        <v>1</v>
      </c>
      <c r="D576" s="63" t="s">
        <v>1372</v>
      </c>
      <c r="E576" s="63" t="s">
        <v>643</v>
      </c>
      <c r="F576" s="63" t="s">
        <v>364</v>
      </c>
      <c r="G576" s="63" t="s">
        <v>732</v>
      </c>
      <c r="H576" s="63" t="s">
        <v>1294</v>
      </c>
      <c r="I576" s="66" t="s">
        <v>730</v>
      </c>
      <c r="J576" s="63" t="s">
        <v>1295</v>
      </c>
      <c r="K576" s="63" t="s">
        <v>731</v>
      </c>
      <c r="L576" s="63" t="s">
        <v>1296</v>
      </c>
      <c r="M576" s="63" t="s">
        <v>1297</v>
      </c>
      <c r="N576" s="63" t="s">
        <v>1298</v>
      </c>
      <c r="O576" s="63" t="s">
        <v>1521</v>
      </c>
      <c r="P576" s="63" t="s">
        <v>1300</v>
      </c>
      <c r="Q576" s="50" t="s">
        <v>1301</v>
      </c>
      <c r="R576" s="50" t="s">
        <v>1302</v>
      </c>
      <c r="T576" s="67" t="s">
        <v>1303</v>
      </c>
      <c r="U576" s="67" t="s">
        <v>1303</v>
      </c>
      <c r="V576" s="48">
        <v>0.0</v>
      </c>
      <c r="W576" s="68">
        <v>0.0</v>
      </c>
      <c r="X576" s="50" t="s">
        <v>1304</v>
      </c>
      <c r="Y576" s="50" t="s">
        <v>1305</v>
      </c>
    </row>
    <row r="577">
      <c r="A577" s="65">
        <f>ROW()-ROW(Table_Actions[N])</f>
        <v>341</v>
      </c>
      <c r="B577" s="54" t="s">
        <v>1763</v>
      </c>
      <c r="C577" s="62" t="b">
        <v>1</v>
      </c>
      <c r="D577" s="63" t="s">
        <v>1350</v>
      </c>
      <c r="E577" s="63" t="s">
        <v>361</v>
      </c>
      <c r="F577" s="63" t="s">
        <v>364</v>
      </c>
      <c r="G577" s="63" t="s">
        <v>732</v>
      </c>
      <c r="H577" s="63" t="s">
        <v>1294</v>
      </c>
      <c r="I577" s="66" t="s">
        <v>730</v>
      </c>
      <c r="J577" s="63" t="s">
        <v>1295</v>
      </c>
      <c r="K577" s="63" t="s">
        <v>731</v>
      </c>
      <c r="L577" s="63" t="s">
        <v>1764</v>
      </c>
      <c r="M577" s="63" t="s">
        <v>1297</v>
      </c>
      <c r="N577" s="63" t="s">
        <v>1298</v>
      </c>
      <c r="O577" s="63" t="s">
        <v>1299</v>
      </c>
      <c r="P577" s="63" t="s">
        <v>1300</v>
      </c>
      <c r="Q577" s="50" t="s">
        <v>1301</v>
      </c>
      <c r="R577" s="50" t="s">
        <v>1302</v>
      </c>
      <c r="T577" s="50" t="s">
        <v>1303</v>
      </c>
      <c r="U577" s="50" t="s">
        <v>1303</v>
      </c>
      <c r="V577" s="48">
        <v>0.0</v>
      </c>
      <c r="W577" s="68">
        <v>0.0</v>
      </c>
      <c r="X577" s="50" t="s">
        <v>1304</v>
      </c>
      <c r="Y577" s="50" t="s">
        <v>1305</v>
      </c>
    </row>
    <row r="578">
      <c r="A578" s="65">
        <f>ROW()-ROW(Table_Actions[N])</f>
        <v>342</v>
      </c>
      <c r="B578" s="54" t="s">
        <v>1765</v>
      </c>
      <c r="C578" s="62" t="b">
        <v>0</v>
      </c>
      <c r="D578" s="63" t="s">
        <v>1310</v>
      </c>
      <c r="E578" s="63" t="s">
        <v>361</v>
      </c>
      <c r="F578" s="63" t="s">
        <v>364</v>
      </c>
      <c r="G578" s="63" t="s">
        <v>732</v>
      </c>
      <c r="H578" s="63" t="s">
        <v>1294</v>
      </c>
      <c r="I578" s="66" t="s">
        <v>1238</v>
      </c>
      <c r="J578" s="63" t="s">
        <v>1295</v>
      </c>
      <c r="K578" s="63" t="s">
        <v>731</v>
      </c>
      <c r="L578" s="63" t="s">
        <v>1296</v>
      </c>
      <c r="M578" s="63" t="s">
        <v>1297</v>
      </c>
      <c r="N578" s="63" t="s">
        <v>1298</v>
      </c>
      <c r="O578" s="63" t="s">
        <v>1299</v>
      </c>
      <c r="P578" s="63" t="s">
        <v>1300</v>
      </c>
      <c r="Q578" s="50" t="s">
        <v>1301</v>
      </c>
      <c r="R578" s="50" t="s">
        <v>1302</v>
      </c>
      <c r="T578" s="50" t="s">
        <v>1303</v>
      </c>
      <c r="U578" s="50" t="s">
        <v>1303</v>
      </c>
      <c r="V578" s="48">
        <v>0.0</v>
      </c>
      <c r="W578" s="68">
        <v>0.0</v>
      </c>
      <c r="X578" s="50" t="s">
        <v>1304</v>
      </c>
      <c r="Y578" s="50" t="s">
        <v>1305</v>
      </c>
    </row>
    <row r="579">
      <c r="A579" s="65">
        <f>ROW()-ROW(Table_Actions[N])</f>
        <v>343</v>
      </c>
      <c r="B579" s="54" t="s">
        <v>1239</v>
      </c>
      <c r="C579" s="62" t="b">
        <v>0</v>
      </c>
      <c r="D579" s="63" t="s">
        <v>1324</v>
      </c>
      <c r="E579" s="63" t="s">
        <v>643</v>
      </c>
      <c r="F579" s="63" t="s">
        <v>364</v>
      </c>
      <c r="G579" s="63" t="s">
        <v>732</v>
      </c>
      <c r="H579" s="63" t="s">
        <v>1294</v>
      </c>
      <c r="I579" s="66" t="s">
        <v>730</v>
      </c>
      <c r="J579" s="63" t="s">
        <v>1295</v>
      </c>
      <c r="K579" s="63" t="s">
        <v>731</v>
      </c>
      <c r="L579" s="63" t="s">
        <v>1296</v>
      </c>
      <c r="M579" s="63" t="s">
        <v>1297</v>
      </c>
      <c r="N579" s="63" t="s">
        <v>1298</v>
      </c>
      <c r="O579" s="63" t="s">
        <v>1299</v>
      </c>
      <c r="P579" s="63" t="s">
        <v>1300</v>
      </c>
      <c r="Q579" s="50" t="s">
        <v>1301</v>
      </c>
      <c r="R579" s="50" t="s">
        <v>1302</v>
      </c>
      <c r="T579" s="50" t="s">
        <v>1303</v>
      </c>
      <c r="U579" s="50" t="s">
        <v>1303</v>
      </c>
      <c r="V579" s="48">
        <v>0.0</v>
      </c>
      <c r="W579" s="68">
        <v>0.0</v>
      </c>
      <c r="X579" s="50" t="s">
        <v>1304</v>
      </c>
      <c r="Y579" s="50" t="s">
        <v>1305</v>
      </c>
    </row>
    <row r="580">
      <c r="A580" s="65">
        <f>ROW()-ROW(Table_Actions[N])</f>
        <v>344</v>
      </c>
      <c r="B580" s="54" t="s">
        <v>1766</v>
      </c>
      <c r="C580" s="62" t="b">
        <v>0</v>
      </c>
      <c r="D580" s="63" t="s">
        <v>1350</v>
      </c>
      <c r="E580" s="63" t="s">
        <v>361</v>
      </c>
      <c r="F580" s="63" t="s">
        <v>364</v>
      </c>
      <c r="G580" s="63" t="s">
        <v>732</v>
      </c>
      <c r="H580" s="63" t="s">
        <v>1294</v>
      </c>
      <c r="I580" s="66" t="s">
        <v>730</v>
      </c>
      <c r="J580" s="63" t="s">
        <v>1295</v>
      </c>
      <c r="K580" s="63" t="s">
        <v>731</v>
      </c>
      <c r="L580" s="63" t="s">
        <v>1353</v>
      </c>
      <c r="M580" s="63" t="s">
        <v>1297</v>
      </c>
      <c r="N580" s="63" t="s">
        <v>1767</v>
      </c>
      <c r="O580" s="63" t="s">
        <v>1299</v>
      </c>
      <c r="P580" s="63" t="s">
        <v>1300</v>
      </c>
      <c r="Q580" s="50" t="s">
        <v>1301</v>
      </c>
      <c r="R580" s="50" t="s">
        <v>1302</v>
      </c>
      <c r="T580" s="50" t="s">
        <v>1303</v>
      </c>
      <c r="U580" s="50" t="s">
        <v>1303</v>
      </c>
      <c r="V580" s="48">
        <v>0.0</v>
      </c>
      <c r="W580" s="68">
        <v>0.0</v>
      </c>
      <c r="X580" s="50" t="s">
        <v>1304</v>
      </c>
      <c r="Y580" s="50" t="s">
        <v>1305</v>
      </c>
    </row>
    <row r="581">
      <c r="A581" s="65">
        <f>ROW()-ROW(Table_Actions[N])</f>
        <v>345</v>
      </c>
      <c r="B581" s="54" t="s">
        <v>1241</v>
      </c>
      <c r="C581" s="62" t="b">
        <v>0</v>
      </c>
      <c r="D581" s="63" t="s">
        <v>1318</v>
      </c>
      <c r="E581" s="63" t="s">
        <v>644</v>
      </c>
      <c r="F581" s="63" t="s">
        <v>364</v>
      </c>
      <c r="G581" s="63" t="s">
        <v>732</v>
      </c>
      <c r="H581" s="63" t="s">
        <v>1294</v>
      </c>
      <c r="I581" s="66" t="s">
        <v>730</v>
      </c>
      <c r="J581" s="63" t="s">
        <v>1295</v>
      </c>
      <c r="K581" s="63" t="s">
        <v>731</v>
      </c>
      <c r="L581" s="63" t="s">
        <v>1296</v>
      </c>
      <c r="M581" s="63" t="s">
        <v>1297</v>
      </c>
      <c r="N581" s="63" t="s">
        <v>1298</v>
      </c>
      <c r="O581" s="63" t="s">
        <v>1299</v>
      </c>
      <c r="P581" s="63" t="s">
        <v>1300</v>
      </c>
      <c r="Q581" s="50" t="s">
        <v>1301</v>
      </c>
      <c r="R581" s="50" t="s">
        <v>1302</v>
      </c>
      <c r="T581" s="50" t="s">
        <v>1303</v>
      </c>
      <c r="U581" s="50" t="s">
        <v>1303</v>
      </c>
      <c r="V581" s="48">
        <v>0.0</v>
      </c>
      <c r="W581" s="68">
        <v>0.0</v>
      </c>
      <c r="X581" s="50" t="s">
        <v>1304</v>
      </c>
      <c r="Y581" s="50" t="s">
        <v>1305</v>
      </c>
    </row>
    <row r="582">
      <c r="A582" s="65">
        <f>ROW()-ROW(Table_Actions[N])</f>
        <v>346</v>
      </c>
      <c r="B582" s="54" t="s">
        <v>1001</v>
      </c>
      <c r="C582" s="62" t="b">
        <v>0</v>
      </c>
      <c r="D582" s="63" t="s">
        <v>1350</v>
      </c>
      <c r="E582" s="63" t="s">
        <v>361</v>
      </c>
      <c r="F582" s="63" t="s">
        <v>364</v>
      </c>
      <c r="G582" s="63" t="s">
        <v>732</v>
      </c>
      <c r="H582" s="63" t="s">
        <v>1294</v>
      </c>
      <c r="I582" s="66" t="s">
        <v>730</v>
      </c>
      <c r="J582" s="63" t="s">
        <v>1295</v>
      </c>
      <c r="K582" s="63" t="s">
        <v>731</v>
      </c>
      <c r="L582" s="63" t="s">
        <v>1353</v>
      </c>
      <c r="M582" s="63" t="s">
        <v>1297</v>
      </c>
      <c r="N582" s="63" t="s">
        <v>1768</v>
      </c>
      <c r="O582" s="63" t="s">
        <v>1299</v>
      </c>
      <c r="P582" s="63" t="s">
        <v>1300</v>
      </c>
      <c r="Q582" s="50" t="s">
        <v>1301</v>
      </c>
      <c r="R582" s="50" t="s">
        <v>1302</v>
      </c>
      <c r="T582" s="50" t="s">
        <v>1303</v>
      </c>
      <c r="U582" s="50" t="s">
        <v>1303</v>
      </c>
      <c r="V582" s="48">
        <v>0.0</v>
      </c>
      <c r="W582" s="68">
        <v>0.0</v>
      </c>
      <c r="X582" s="50" t="s">
        <v>1304</v>
      </c>
      <c r="Y582" s="50" t="s">
        <v>1305</v>
      </c>
    </row>
    <row r="583">
      <c r="A583" s="65">
        <f>ROW()-ROW(Table_Actions[N])</f>
        <v>347</v>
      </c>
      <c r="B583" s="54" t="s">
        <v>1003</v>
      </c>
      <c r="C583" s="62" t="b">
        <v>0</v>
      </c>
      <c r="D583" s="63" t="s">
        <v>1350</v>
      </c>
      <c r="E583" s="63" t="s">
        <v>361</v>
      </c>
      <c r="F583" s="63" t="s">
        <v>364</v>
      </c>
      <c r="G583" s="63" t="s">
        <v>732</v>
      </c>
      <c r="H583" s="63" t="s">
        <v>1294</v>
      </c>
      <c r="I583" s="66" t="s">
        <v>730</v>
      </c>
      <c r="J583" s="63" t="s">
        <v>1295</v>
      </c>
      <c r="K583" s="63" t="s">
        <v>731</v>
      </c>
      <c r="L583" s="63" t="s">
        <v>1353</v>
      </c>
      <c r="M583" s="63" t="s">
        <v>1297</v>
      </c>
      <c r="N583" s="63" t="s">
        <v>1769</v>
      </c>
      <c r="O583" s="63" t="s">
        <v>1299</v>
      </c>
      <c r="P583" s="63" t="s">
        <v>1300</v>
      </c>
      <c r="Q583" s="50" t="s">
        <v>1301</v>
      </c>
      <c r="R583" s="50" t="s">
        <v>1302</v>
      </c>
      <c r="T583" s="50" t="s">
        <v>1303</v>
      </c>
      <c r="U583" s="50" t="s">
        <v>1303</v>
      </c>
      <c r="V583" s="48">
        <v>0.0</v>
      </c>
      <c r="W583" s="68">
        <v>0.0</v>
      </c>
      <c r="X583" s="50" t="s">
        <v>1304</v>
      </c>
      <c r="Y583" s="50" t="s">
        <v>1305</v>
      </c>
    </row>
    <row r="584">
      <c r="A584" s="65">
        <f>ROW()-ROW(Table_Actions[N])</f>
        <v>348</v>
      </c>
      <c r="B584" s="54" t="s">
        <v>1770</v>
      </c>
      <c r="C584" s="62" t="b">
        <v>1</v>
      </c>
      <c r="D584" s="63" t="s">
        <v>1581</v>
      </c>
      <c r="E584" s="63" t="s">
        <v>361</v>
      </c>
      <c r="F584" s="63" t="s">
        <v>364</v>
      </c>
      <c r="G584" s="63" t="s">
        <v>732</v>
      </c>
      <c r="H584" s="63" t="s">
        <v>1294</v>
      </c>
      <c r="I584" s="66" t="s">
        <v>730</v>
      </c>
      <c r="J584" s="63" t="s">
        <v>1295</v>
      </c>
      <c r="K584" s="63" t="s">
        <v>731</v>
      </c>
      <c r="L584" s="63" t="s">
        <v>1296</v>
      </c>
      <c r="M584" s="63" t="s">
        <v>1297</v>
      </c>
      <c r="N584" s="63" t="s">
        <v>1298</v>
      </c>
      <c r="O584" s="63" t="s">
        <v>1299</v>
      </c>
      <c r="P584" s="63" t="s">
        <v>1300</v>
      </c>
      <c r="Q584" s="50" t="s">
        <v>1301</v>
      </c>
      <c r="R584" s="50" t="s">
        <v>1302</v>
      </c>
      <c r="S584" s="48" t="s">
        <v>1771</v>
      </c>
      <c r="T584" s="67" t="s">
        <v>1303</v>
      </c>
      <c r="U584" s="67" t="s">
        <v>1303</v>
      </c>
      <c r="V584" s="48">
        <v>0.0</v>
      </c>
      <c r="W584" s="68">
        <v>0.0</v>
      </c>
      <c r="X584" s="50" t="s">
        <v>1304</v>
      </c>
      <c r="Y584" s="50" t="s">
        <v>1305</v>
      </c>
    </row>
    <row r="585">
      <c r="A585" s="65">
        <f>ROW()-ROW(Table_Actions[N])</f>
        <v>349</v>
      </c>
      <c r="B585" s="54" t="s">
        <v>1772</v>
      </c>
      <c r="C585" s="62" t="b">
        <v>1</v>
      </c>
      <c r="D585" s="63" t="s">
        <v>1773</v>
      </c>
      <c r="E585" s="63" t="s">
        <v>361</v>
      </c>
      <c r="F585" s="63" t="s">
        <v>364</v>
      </c>
      <c r="G585" s="63" t="s">
        <v>732</v>
      </c>
      <c r="H585" s="63" t="s">
        <v>1294</v>
      </c>
      <c r="I585" s="66" t="s">
        <v>730</v>
      </c>
      <c r="J585" s="63" t="s">
        <v>1295</v>
      </c>
      <c r="K585" s="63" t="s">
        <v>731</v>
      </c>
      <c r="L585" s="63" t="s">
        <v>1296</v>
      </c>
      <c r="M585" s="63" t="s">
        <v>1297</v>
      </c>
      <c r="N585" s="63" t="s">
        <v>1298</v>
      </c>
      <c r="O585" s="63" t="s">
        <v>1299</v>
      </c>
      <c r="P585" s="63" t="s">
        <v>1774</v>
      </c>
      <c r="Q585" s="50" t="s">
        <v>1301</v>
      </c>
      <c r="R585" s="50" t="s">
        <v>1302</v>
      </c>
      <c r="T585" s="67" t="s">
        <v>1303</v>
      </c>
      <c r="U585" s="67" t="s">
        <v>1303</v>
      </c>
      <c r="V585" s="48">
        <v>0.0</v>
      </c>
      <c r="W585" s="68">
        <v>0.0</v>
      </c>
      <c r="X585" s="50" t="s">
        <v>1304</v>
      </c>
      <c r="Y585" s="50" t="s">
        <v>1305</v>
      </c>
    </row>
    <row r="586">
      <c r="A586" s="65">
        <f>ROW()-ROW(Table_Actions[N])</f>
        <v>350</v>
      </c>
      <c r="B586" s="54" t="s">
        <v>1775</v>
      </c>
      <c r="C586" s="62" t="b">
        <v>1</v>
      </c>
      <c r="D586" s="63" t="s">
        <v>1372</v>
      </c>
      <c r="E586" s="63" t="s">
        <v>627</v>
      </c>
      <c r="F586" s="63" t="s">
        <v>364</v>
      </c>
      <c r="G586" s="63" t="s">
        <v>732</v>
      </c>
      <c r="H586" s="63" t="s">
        <v>1294</v>
      </c>
      <c r="I586" s="66" t="s">
        <v>730</v>
      </c>
      <c r="J586" s="63" t="s">
        <v>1295</v>
      </c>
      <c r="K586" s="63" t="s">
        <v>731</v>
      </c>
      <c r="L586" s="63" t="s">
        <v>1296</v>
      </c>
      <c r="M586" s="63" t="s">
        <v>1297</v>
      </c>
      <c r="N586" s="63" t="s">
        <v>1298</v>
      </c>
      <c r="O586" s="63" t="s">
        <v>1521</v>
      </c>
      <c r="P586" s="63" t="s">
        <v>1300</v>
      </c>
      <c r="Q586" s="50" t="s">
        <v>1301</v>
      </c>
      <c r="R586" s="50" t="s">
        <v>1302</v>
      </c>
      <c r="T586" s="67" t="s">
        <v>1303</v>
      </c>
      <c r="U586" s="67" t="s">
        <v>1303</v>
      </c>
      <c r="V586" s="48">
        <v>0.0</v>
      </c>
      <c r="W586" s="68">
        <v>0.0</v>
      </c>
      <c r="X586" s="50" t="s">
        <v>1304</v>
      </c>
      <c r="Y586" s="50" t="s">
        <v>1305</v>
      </c>
    </row>
    <row r="587">
      <c r="A587" s="65">
        <f>ROW()-ROW(Table_Actions[N])</f>
        <v>351</v>
      </c>
      <c r="B587" s="54" t="s">
        <v>1776</v>
      </c>
      <c r="C587" s="62" t="b">
        <v>0</v>
      </c>
      <c r="D587" s="63" t="s">
        <v>1350</v>
      </c>
      <c r="E587" s="63" t="s">
        <v>361</v>
      </c>
      <c r="F587" s="63" t="s">
        <v>364</v>
      </c>
      <c r="G587" s="63" t="s">
        <v>732</v>
      </c>
      <c r="H587" s="63" t="s">
        <v>1294</v>
      </c>
      <c r="I587" s="66" t="s">
        <v>730</v>
      </c>
      <c r="J587" s="63" t="s">
        <v>1295</v>
      </c>
      <c r="K587" s="63" t="s">
        <v>731</v>
      </c>
      <c r="L587" s="63" t="s">
        <v>1353</v>
      </c>
      <c r="M587" s="63" t="s">
        <v>1297</v>
      </c>
      <c r="N587" s="63" t="s">
        <v>1777</v>
      </c>
      <c r="O587" s="63" t="s">
        <v>1299</v>
      </c>
      <c r="P587" s="63" t="s">
        <v>1300</v>
      </c>
      <c r="Q587" s="50" t="s">
        <v>1301</v>
      </c>
      <c r="R587" s="50" t="s">
        <v>1302</v>
      </c>
      <c r="T587" s="50" t="s">
        <v>1303</v>
      </c>
      <c r="U587" s="50" t="s">
        <v>1303</v>
      </c>
      <c r="V587" s="48">
        <v>0.0</v>
      </c>
      <c r="W587" s="68">
        <v>0.0</v>
      </c>
      <c r="X587" s="50" t="s">
        <v>1304</v>
      </c>
      <c r="Y587" s="50" t="s">
        <v>1305</v>
      </c>
    </row>
    <row r="588">
      <c r="A588" s="65">
        <f>ROW()-ROW(Table_Actions[N])</f>
        <v>352</v>
      </c>
      <c r="B588" s="54" t="s">
        <v>1778</v>
      </c>
      <c r="C588" s="62" t="b">
        <v>0</v>
      </c>
      <c r="D588" s="63" t="s">
        <v>1310</v>
      </c>
      <c r="E588" s="63" t="s">
        <v>361</v>
      </c>
      <c r="F588" s="63" t="s">
        <v>364</v>
      </c>
      <c r="G588" s="63" t="s">
        <v>732</v>
      </c>
      <c r="H588" s="63" t="s">
        <v>1294</v>
      </c>
      <c r="I588" s="66" t="s">
        <v>1232</v>
      </c>
      <c r="J588" s="63" t="s">
        <v>1295</v>
      </c>
      <c r="K588" s="63" t="s">
        <v>731</v>
      </c>
      <c r="L588" s="63" t="s">
        <v>1296</v>
      </c>
      <c r="M588" s="63" t="s">
        <v>1297</v>
      </c>
      <c r="N588" s="63" t="s">
        <v>1298</v>
      </c>
      <c r="O588" s="63" t="s">
        <v>1299</v>
      </c>
      <c r="P588" s="63" t="s">
        <v>1300</v>
      </c>
      <c r="Q588" s="50" t="s">
        <v>1301</v>
      </c>
      <c r="R588" s="50" t="s">
        <v>1302</v>
      </c>
      <c r="T588" s="50" t="s">
        <v>1303</v>
      </c>
      <c r="U588" s="50" t="s">
        <v>1303</v>
      </c>
      <c r="V588" s="48">
        <v>0.0</v>
      </c>
      <c r="W588" s="68">
        <v>0.0</v>
      </c>
      <c r="X588" s="50" t="s">
        <v>1304</v>
      </c>
      <c r="Y588" s="50" t="s">
        <v>1305</v>
      </c>
    </row>
    <row r="589">
      <c r="A589" s="65">
        <f>ROW()-ROW(Table_Actions[N])</f>
        <v>353</v>
      </c>
      <c r="B589" s="54" t="s">
        <v>1243</v>
      </c>
      <c r="C589" s="62" t="b">
        <v>0</v>
      </c>
      <c r="D589" s="63" t="s">
        <v>1324</v>
      </c>
      <c r="E589" s="63" t="s">
        <v>627</v>
      </c>
      <c r="F589" s="63" t="s">
        <v>364</v>
      </c>
      <c r="G589" s="63" t="s">
        <v>732</v>
      </c>
      <c r="H589" s="63" t="s">
        <v>1294</v>
      </c>
      <c r="I589" s="66" t="s">
        <v>730</v>
      </c>
      <c r="J589" s="63" t="s">
        <v>1295</v>
      </c>
      <c r="K589" s="63" t="s">
        <v>731</v>
      </c>
      <c r="L589" s="63" t="s">
        <v>1296</v>
      </c>
      <c r="M589" s="63" t="s">
        <v>1297</v>
      </c>
      <c r="N589" s="63" t="s">
        <v>1298</v>
      </c>
      <c r="O589" s="63" t="s">
        <v>1299</v>
      </c>
      <c r="P589" s="63" t="s">
        <v>1300</v>
      </c>
      <c r="Q589" s="50" t="s">
        <v>1301</v>
      </c>
      <c r="R589" s="50" t="s">
        <v>1302</v>
      </c>
      <c r="T589" s="50" t="s">
        <v>1303</v>
      </c>
      <c r="U589" s="50" t="s">
        <v>1303</v>
      </c>
      <c r="V589" s="48">
        <v>0.0</v>
      </c>
      <c r="W589" s="68">
        <v>0.0</v>
      </c>
      <c r="X589" s="50" t="s">
        <v>1304</v>
      </c>
      <c r="Y589" s="50" t="s">
        <v>1305</v>
      </c>
    </row>
    <row r="590">
      <c r="A590" s="65">
        <f>ROW()-ROW(Table_Actions[N])</f>
        <v>354</v>
      </c>
      <c r="B590" s="54" t="s">
        <v>1779</v>
      </c>
      <c r="C590" s="62" t="b">
        <v>0</v>
      </c>
      <c r="D590" s="63" t="s">
        <v>1326</v>
      </c>
      <c r="E590" s="63" t="s">
        <v>627</v>
      </c>
      <c r="F590" s="63" t="s">
        <v>364</v>
      </c>
      <c r="G590" s="63" t="s">
        <v>13</v>
      </c>
      <c r="H590" s="63" t="s">
        <v>1294</v>
      </c>
      <c r="I590" s="66" t="s">
        <v>730</v>
      </c>
      <c r="J590" s="63" t="s">
        <v>1295</v>
      </c>
      <c r="K590" s="63" t="s">
        <v>731</v>
      </c>
      <c r="L590" s="63" t="s">
        <v>1296</v>
      </c>
      <c r="M590" s="63" t="s">
        <v>1297</v>
      </c>
      <c r="N590" s="63" t="s">
        <v>1298</v>
      </c>
      <c r="O590" s="63" t="s">
        <v>1299</v>
      </c>
      <c r="P590" s="63" t="s">
        <v>1300</v>
      </c>
      <c r="Q590" s="50" t="s">
        <v>1301</v>
      </c>
      <c r="R590" s="50" t="s">
        <v>1302</v>
      </c>
      <c r="T590" s="50" t="s">
        <v>1303</v>
      </c>
      <c r="U590" s="50" t="s">
        <v>1303</v>
      </c>
      <c r="V590" s="48">
        <v>0.0</v>
      </c>
      <c r="W590" s="68">
        <v>0.0</v>
      </c>
      <c r="X590" s="50" t="s">
        <v>1304</v>
      </c>
      <c r="Y590" s="50" t="s">
        <v>1305</v>
      </c>
    </row>
    <row r="591">
      <c r="A591" s="65">
        <f>ROW()-ROW(Table_Actions[N])</f>
        <v>355</v>
      </c>
      <c r="B591" s="54" t="s">
        <v>1780</v>
      </c>
      <c r="C591" s="62" t="b">
        <v>0</v>
      </c>
      <c r="D591" s="63" t="s">
        <v>1516</v>
      </c>
      <c r="E591" s="63" t="s">
        <v>361</v>
      </c>
      <c r="F591" s="63" t="s">
        <v>364</v>
      </c>
      <c r="G591" s="63" t="s">
        <v>732</v>
      </c>
      <c r="H591" s="63" t="s">
        <v>1294</v>
      </c>
      <c r="I591" s="66" t="s">
        <v>730</v>
      </c>
      <c r="J591" s="63" t="s">
        <v>1295</v>
      </c>
      <c r="K591" s="63" t="s">
        <v>731</v>
      </c>
      <c r="L591" s="63" t="s">
        <v>1296</v>
      </c>
      <c r="M591" s="63" t="s">
        <v>1297</v>
      </c>
      <c r="N591" s="63" t="s">
        <v>1298</v>
      </c>
      <c r="O591" s="63" t="s">
        <v>1299</v>
      </c>
      <c r="P591" s="63" t="s">
        <v>1300</v>
      </c>
      <c r="Q591" s="50" t="s">
        <v>1781</v>
      </c>
      <c r="R591" s="50" t="s">
        <v>1302</v>
      </c>
      <c r="T591" s="50" t="s">
        <v>1303</v>
      </c>
      <c r="U591" s="50" t="s">
        <v>1303</v>
      </c>
      <c r="V591" s="48">
        <v>0.0</v>
      </c>
      <c r="W591" s="68">
        <v>0.0</v>
      </c>
      <c r="X591" s="50" t="s">
        <v>1304</v>
      </c>
      <c r="Y591" s="50" t="s">
        <v>1305</v>
      </c>
    </row>
    <row r="592">
      <c r="A592" s="65">
        <f>ROW()-ROW(Table_Actions[N])</f>
        <v>356</v>
      </c>
      <c r="B592" s="54" t="s">
        <v>1245</v>
      </c>
      <c r="C592" s="62" t="b">
        <v>0</v>
      </c>
      <c r="D592" s="63" t="s">
        <v>1754</v>
      </c>
      <c r="E592" s="63" t="s">
        <v>647</v>
      </c>
      <c r="F592" s="63" t="s">
        <v>364</v>
      </c>
      <c r="G592" s="63" t="s">
        <v>732</v>
      </c>
      <c r="H592" s="63" t="s">
        <v>1294</v>
      </c>
      <c r="I592" s="66" t="s">
        <v>730</v>
      </c>
      <c r="J592" s="63" t="s">
        <v>1295</v>
      </c>
      <c r="K592" s="63" t="s">
        <v>731</v>
      </c>
      <c r="L592" s="63" t="s">
        <v>1296</v>
      </c>
      <c r="M592" s="63" t="s">
        <v>1297</v>
      </c>
      <c r="N592" s="63" t="s">
        <v>1298</v>
      </c>
      <c r="O592" s="63" t="s">
        <v>1299</v>
      </c>
      <c r="P592" s="63" t="s">
        <v>1300</v>
      </c>
      <c r="Q592" s="50" t="s">
        <v>1301</v>
      </c>
      <c r="R592" s="50" t="s">
        <v>1302</v>
      </c>
      <c r="S592" s="48"/>
      <c r="T592" s="67" t="s">
        <v>1702</v>
      </c>
      <c r="U592" s="67" t="s">
        <v>1303</v>
      </c>
      <c r="V592" s="48">
        <v>0.0</v>
      </c>
      <c r="W592" s="68">
        <v>0.0</v>
      </c>
      <c r="X592" s="50" t="s">
        <v>1304</v>
      </c>
      <c r="Y592" s="50" t="s">
        <v>1305</v>
      </c>
    </row>
    <row r="593">
      <c r="A593" s="65">
        <f>ROW()-ROW(Table_Actions[N])</f>
        <v>357</v>
      </c>
      <c r="B593" s="54" t="s">
        <v>1782</v>
      </c>
      <c r="C593" s="62" t="b">
        <v>1</v>
      </c>
      <c r="D593" s="63" t="s">
        <v>1372</v>
      </c>
      <c r="E593" s="63" t="s">
        <v>647</v>
      </c>
      <c r="F593" s="63" t="s">
        <v>364</v>
      </c>
      <c r="G593" s="63" t="s">
        <v>732</v>
      </c>
      <c r="H593" s="63" t="s">
        <v>1294</v>
      </c>
      <c r="I593" s="66" t="s">
        <v>730</v>
      </c>
      <c r="J593" s="63" t="s">
        <v>1295</v>
      </c>
      <c r="K593" s="63" t="s">
        <v>731</v>
      </c>
      <c r="L593" s="63" t="s">
        <v>1296</v>
      </c>
      <c r="M593" s="63" t="s">
        <v>1297</v>
      </c>
      <c r="N593" s="63" t="s">
        <v>1298</v>
      </c>
      <c r="O593" s="63" t="s">
        <v>1521</v>
      </c>
      <c r="P593" s="63" t="s">
        <v>1300</v>
      </c>
      <c r="Q593" s="50" t="s">
        <v>1301</v>
      </c>
      <c r="R593" s="50" t="s">
        <v>1302</v>
      </c>
      <c r="T593" s="67" t="s">
        <v>1303</v>
      </c>
      <c r="U593" s="67" t="s">
        <v>1303</v>
      </c>
      <c r="V593" s="48">
        <v>0.0</v>
      </c>
      <c r="W593" s="68">
        <v>0.0</v>
      </c>
      <c r="X593" s="50" t="s">
        <v>1304</v>
      </c>
      <c r="Y593" s="50" t="s">
        <v>1305</v>
      </c>
    </row>
    <row r="594">
      <c r="A594" s="65">
        <f>ROW()-ROW(Table_Actions[N])</f>
        <v>358</v>
      </c>
      <c r="B594" s="54" t="s">
        <v>1783</v>
      </c>
      <c r="C594" s="62" t="b">
        <v>0</v>
      </c>
      <c r="D594" s="63" t="s">
        <v>1312</v>
      </c>
      <c r="E594" s="63" t="s">
        <v>361</v>
      </c>
      <c r="F594" s="63" t="s">
        <v>364</v>
      </c>
      <c r="G594" s="63" t="s">
        <v>732</v>
      </c>
      <c r="H594" s="63" t="s">
        <v>1784</v>
      </c>
      <c r="I594" s="66" t="s">
        <v>730</v>
      </c>
      <c r="J594" s="63" t="s">
        <v>1295</v>
      </c>
      <c r="K594" s="63" t="s">
        <v>731</v>
      </c>
      <c r="L594" s="63" t="s">
        <v>1296</v>
      </c>
      <c r="M594" s="63" t="s">
        <v>1297</v>
      </c>
      <c r="N594" s="63" t="s">
        <v>1298</v>
      </c>
      <c r="O594" s="63" t="s">
        <v>1299</v>
      </c>
      <c r="P594" s="63" t="s">
        <v>1300</v>
      </c>
      <c r="Q594" s="50" t="s">
        <v>1301</v>
      </c>
      <c r="R594" s="50" t="s">
        <v>1302</v>
      </c>
      <c r="S594" s="48"/>
      <c r="T594" s="67" t="s">
        <v>1303</v>
      </c>
      <c r="U594" s="67" t="s">
        <v>1303</v>
      </c>
      <c r="V594" s="48">
        <v>0.0</v>
      </c>
      <c r="W594" s="68">
        <v>0.0</v>
      </c>
      <c r="X594" s="50" t="s">
        <v>1304</v>
      </c>
      <c r="Y594" s="50" t="s">
        <v>1305</v>
      </c>
    </row>
    <row r="595">
      <c r="A595" s="65">
        <f>ROW()-ROW(Table_Actions[N])</f>
        <v>359</v>
      </c>
      <c r="B595" s="54" t="s">
        <v>1785</v>
      </c>
      <c r="C595" s="62" t="b">
        <v>0</v>
      </c>
      <c r="D595" s="63" t="s">
        <v>1312</v>
      </c>
      <c r="E595" s="63" t="s">
        <v>361</v>
      </c>
      <c r="F595" s="63" t="s">
        <v>364</v>
      </c>
      <c r="G595" s="63" t="s">
        <v>732</v>
      </c>
      <c r="H595" s="63" t="s">
        <v>1786</v>
      </c>
      <c r="I595" s="66" t="s">
        <v>730</v>
      </c>
      <c r="J595" s="63" t="s">
        <v>1295</v>
      </c>
      <c r="K595" s="63" t="s">
        <v>731</v>
      </c>
      <c r="L595" s="63" t="s">
        <v>1296</v>
      </c>
      <c r="M595" s="63" t="s">
        <v>1297</v>
      </c>
      <c r="N595" s="63" t="s">
        <v>1298</v>
      </c>
      <c r="O595" s="63" t="s">
        <v>1299</v>
      </c>
      <c r="P595" s="63" t="s">
        <v>1300</v>
      </c>
      <c r="Q595" s="50" t="s">
        <v>1301</v>
      </c>
      <c r="R595" s="50" t="s">
        <v>1302</v>
      </c>
      <c r="S595" s="48"/>
      <c r="T595" s="67" t="s">
        <v>1303</v>
      </c>
      <c r="U595" s="67" t="s">
        <v>1303</v>
      </c>
      <c r="V595" s="48">
        <v>0.0</v>
      </c>
      <c r="W595" s="68">
        <v>0.0</v>
      </c>
      <c r="X595" s="50" t="s">
        <v>1304</v>
      </c>
      <c r="Y595" s="50" t="s">
        <v>1305</v>
      </c>
    </row>
    <row r="596">
      <c r="A596" s="65">
        <f>ROW()-ROW(Table_Actions[N])</f>
        <v>360</v>
      </c>
      <c r="B596" s="54" t="s">
        <v>1787</v>
      </c>
      <c r="C596" s="62" t="b">
        <v>0</v>
      </c>
      <c r="D596" s="63" t="s">
        <v>1312</v>
      </c>
      <c r="E596" s="63" t="s">
        <v>361</v>
      </c>
      <c r="F596" s="63" t="s">
        <v>364</v>
      </c>
      <c r="G596" s="63" t="s">
        <v>732</v>
      </c>
      <c r="H596" s="63" t="s">
        <v>1788</v>
      </c>
      <c r="I596" s="66" t="s">
        <v>730</v>
      </c>
      <c r="J596" s="63" t="s">
        <v>1295</v>
      </c>
      <c r="K596" s="63" t="s">
        <v>731</v>
      </c>
      <c r="L596" s="63" t="s">
        <v>1296</v>
      </c>
      <c r="M596" s="63" t="s">
        <v>1297</v>
      </c>
      <c r="N596" s="63" t="s">
        <v>1298</v>
      </c>
      <c r="O596" s="63" t="s">
        <v>1299</v>
      </c>
      <c r="P596" s="63" t="s">
        <v>1300</v>
      </c>
      <c r="Q596" s="50" t="s">
        <v>1301</v>
      </c>
      <c r="R596" s="50" t="s">
        <v>1302</v>
      </c>
      <c r="S596" s="48"/>
      <c r="T596" s="67" t="s">
        <v>1303</v>
      </c>
      <c r="U596" s="67" t="s">
        <v>1303</v>
      </c>
      <c r="V596" s="48">
        <v>0.0</v>
      </c>
      <c r="W596" s="68">
        <v>0.0</v>
      </c>
      <c r="X596" s="50" t="s">
        <v>1304</v>
      </c>
      <c r="Y596" s="50" t="s">
        <v>1305</v>
      </c>
    </row>
    <row r="597">
      <c r="A597" s="65">
        <f>ROW()-ROW(Table_Actions[N])</f>
        <v>361</v>
      </c>
      <c r="B597" s="54" t="s">
        <v>1789</v>
      </c>
      <c r="C597" s="62" t="b">
        <v>0</v>
      </c>
      <c r="D597" s="63" t="s">
        <v>1310</v>
      </c>
      <c r="E597" s="63" t="s">
        <v>361</v>
      </c>
      <c r="F597" s="63" t="s">
        <v>364</v>
      </c>
      <c r="G597" s="63" t="s">
        <v>732</v>
      </c>
      <c r="H597" s="63" t="s">
        <v>1294</v>
      </c>
      <c r="I597" s="66" t="s">
        <v>1790</v>
      </c>
      <c r="J597" s="63" t="s">
        <v>1295</v>
      </c>
      <c r="K597" s="63" t="s">
        <v>731</v>
      </c>
      <c r="L597" s="63" t="s">
        <v>1296</v>
      </c>
      <c r="M597" s="63" t="s">
        <v>1297</v>
      </c>
      <c r="N597" s="63" t="s">
        <v>1298</v>
      </c>
      <c r="O597" s="63" t="s">
        <v>1299</v>
      </c>
      <c r="P597" s="63" t="s">
        <v>1300</v>
      </c>
      <c r="Q597" s="50" t="s">
        <v>1301</v>
      </c>
      <c r="R597" s="50" t="s">
        <v>1302</v>
      </c>
      <c r="S597" s="48"/>
      <c r="T597" s="50" t="s">
        <v>1303</v>
      </c>
      <c r="U597" s="50" t="s">
        <v>1303</v>
      </c>
      <c r="V597" s="48">
        <v>0.0</v>
      </c>
      <c r="W597" s="68">
        <v>0.0</v>
      </c>
      <c r="X597" s="50" t="s">
        <v>1304</v>
      </c>
      <c r="Y597" s="50" t="s">
        <v>1305</v>
      </c>
    </row>
    <row r="598">
      <c r="A598" s="65">
        <f>ROW()-ROW(Table_Actions[N])</f>
        <v>362</v>
      </c>
      <c r="B598" s="54" t="s">
        <v>1791</v>
      </c>
      <c r="C598" s="62" t="b">
        <v>0</v>
      </c>
      <c r="D598" s="63" t="s">
        <v>1350</v>
      </c>
      <c r="E598" s="63" t="s">
        <v>361</v>
      </c>
      <c r="F598" s="63" t="s">
        <v>364</v>
      </c>
      <c r="G598" s="63" t="s">
        <v>732</v>
      </c>
      <c r="H598" s="63" t="s">
        <v>1294</v>
      </c>
      <c r="I598" s="66" t="s">
        <v>730</v>
      </c>
      <c r="J598" s="63" t="s">
        <v>1295</v>
      </c>
      <c r="K598" s="63" t="s">
        <v>731</v>
      </c>
      <c r="L598" s="63" t="s">
        <v>1353</v>
      </c>
      <c r="M598" s="63" t="s">
        <v>1297</v>
      </c>
      <c r="N598" s="63" t="s">
        <v>1792</v>
      </c>
      <c r="O598" s="63" t="s">
        <v>1299</v>
      </c>
      <c r="P598" s="63" t="s">
        <v>1300</v>
      </c>
      <c r="Q598" s="50" t="s">
        <v>1301</v>
      </c>
      <c r="R598" s="50" t="s">
        <v>1302</v>
      </c>
      <c r="S598" s="48"/>
      <c r="T598" s="50" t="s">
        <v>1303</v>
      </c>
      <c r="U598" s="50" t="s">
        <v>1303</v>
      </c>
      <c r="V598" s="48">
        <v>0.0</v>
      </c>
      <c r="W598" s="68">
        <v>0.0</v>
      </c>
      <c r="X598" s="50" t="s">
        <v>1304</v>
      </c>
      <c r="Y598" s="50" t="s">
        <v>1305</v>
      </c>
    </row>
    <row r="599">
      <c r="A599" s="65">
        <f>ROW()-ROW(Table_Actions[N])</f>
        <v>363</v>
      </c>
      <c r="B599" s="54" t="s">
        <v>1793</v>
      </c>
      <c r="C599" s="62" t="b">
        <v>0</v>
      </c>
      <c r="D599" s="63" t="s">
        <v>1310</v>
      </c>
      <c r="E599" s="63" t="s">
        <v>361</v>
      </c>
      <c r="F599" s="63" t="s">
        <v>364</v>
      </c>
      <c r="G599" s="63" t="s">
        <v>732</v>
      </c>
      <c r="H599" s="63" t="s">
        <v>1294</v>
      </c>
      <c r="I599" s="66" t="s">
        <v>1008</v>
      </c>
      <c r="J599" s="63" t="s">
        <v>1295</v>
      </c>
      <c r="K599" s="63" t="s">
        <v>731</v>
      </c>
      <c r="L599" s="63" t="s">
        <v>1296</v>
      </c>
      <c r="M599" s="63" t="s">
        <v>1297</v>
      </c>
      <c r="N599" s="63" t="s">
        <v>1298</v>
      </c>
      <c r="O599" s="63" t="s">
        <v>1299</v>
      </c>
      <c r="P599" s="63" t="s">
        <v>1300</v>
      </c>
      <c r="Q599" s="50" t="s">
        <v>1301</v>
      </c>
      <c r="R599" s="50" t="s">
        <v>1302</v>
      </c>
      <c r="S599" s="48"/>
      <c r="T599" s="50" t="s">
        <v>1303</v>
      </c>
      <c r="U599" s="50" t="s">
        <v>1303</v>
      </c>
      <c r="V599" s="48">
        <v>0.0</v>
      </c>
      <c r="W599" s="68">
        <v>0.0</v>
      </c>
      <c r="X599" s="50" t="s">
        <v>1304</v>
      </c>
      <c r="Y599" s="50" t="s">
        <v>1305</v>
      </c>
    </row>
    <row r="600">
      <c r="A600" s="65">
        <f>ROW()-ROW(Table_Actions[N])</f>
        <v>364</v>
      </c>
      <c r="B600" s="54" t="s">
        <v>1794</v>
      </c>
      <c r="C600" s="62" t="b">
        <v>0</v>
      </c>
      <c r="D600" s="63" t="s">
        <v>1312</v>
      </c>
      <c r="E600" s="63" t="s">
        <v>361</v>
      </c>
      <c r="F600" s="63" t="s">
        <v>364</v>
      </c>
      <c r="G600" s="63" t="s">
        <v>732</v>
      </c>
      <c r="H600" s="63" t="s">
        <v>1795</v>
      </c>
      <c r="I600" s="66" t="s">
        <v>730</v>
      </c>
      <c r="J600" s="63" t="s">
        <v>1295</v>
      </c>
      <c r="K600" s="63" t="s">
        <v>731</v>
      </c>
      <c r="L600" s="63" t="s">
        <v>1296</v>
      </c>
      <c r="M600" s="63" t="s">
        <v>1297</v>
      </c>
      <c r="N600" s="63" t="s">
        <v>1298</v>
      </c>
      <c r="O600" s="63" t="s">
        <v>1299</v>
      </c>
      <c r="P600" s="63" t="s">
        <v>1300</v>
      </c>
      <c r="Q600" s="50" t="s">
        <v>1301</v>
      </c>
      <c r="R600" s="50" t="s">
        <v>1302</v>
      </c>
      <c r="S600" s="48"/>
      <c r="T600" s="67" t="s">
        <v>1303</v>
      </c>
      <c r="U600" s="67" t="s">
        <v>1303</v>
      </c>
      <c r="V600" s="48">
        <v>0.0</v>
      </c>
      <c r="W600" s="68">
        <v>0.0</v>
      </c>
      <c r="X600" s="50" t="s">
        <v>1304</v>
      </c>
      <c r="Y600" s="50" t="s">
        <v>1305</v>
      </c>
    </row>
    <row r="601">
      <c r="A601" s="65">
        <f>ROW()-ROW(Table_Actions[N])</f>
        <v>365</v>
      </c>
      <c r="B601" s="54" t="s">
        <v>1796</v>
      </c>
      <c r="C601" s="62" t="b">
        <v>0</v>
      </c>
      <c r="D601" s="63" t="s">
        <v>1310</v>
      </c>
      <c r="E601" s="63" t="s">
        <v>361</v>
      </c>
      <c r="F601" s="63" t="s">
        <v>364</v>
      </c>
      <c r="G601" s="63" t="s">
        <v>732</v>
      </c>
      <c r="H601" s="63" t="s">
        <v>1294</v>
      </c>
      <c r="I601" s="66" t="s">
        <v>1013</v>
      </c>
      <c r="J601" s="63" t="s">
        <v>1295</v>
      </c>
      <c r="K601" s="63" t="s">
        <v>731</v>
      </c>
      <c r="L601" s="63" t="s">
        <v>1296</v>
      </c>
      <c r="M601" s="63" t="s">
        <v>1297</v>
      </c>
      <c r="N601" s="63" t="s">
        <v>1298</v>
      </c>
      <c r="O601" s="63" t="s">
        <v>1299</v>
      </c>
      <c r="P601" s="63" t="s">
        <v>1300</v>
      </c>
      <c r="Q601" s="50" t="s">
        <v>1301</v>
      </c>
      <c r="R601" s="50" t="s">
        <v>1302</v>
      </c>
      <c r="T601" s="50" t="s">
        <v>1303</v>
      </c>
      <c r="U601" s="50" t="s">
        <v>1303</v>
      </c>
      <c r="V601" s="48">
        <v>0.0</v>
      </c>
      <c r="W601" s="68">
        <v>0.0</v>
      </c>
      <c r="X601" s="50" t="s">
        <v>1304</v>
      </c>
      <c r="Y601" s="50" t="s">
        <v>1305</v>
      </c>
    </row>
    <row r="602">
      <c r="A602" s="65">
        <f>ROW()-ROW(Table_Actions[N])</f>
        <v>366</v>
      </c>
      <c r="B602" s="54" t="s">
        <v>1797</v>
      </c>
      <c r="C602" s="62" t="b">
        <v>0</v>
      </c>
      <c r="D602" s="63" t="s">
        <v>1350</v>
      </c>
      <c r="E602" s="63" t="s">
        <v>361</v>
      </c>
      <c r="F602" s="63" t="s">
        <v>364</v>
      </c>
      <c r="G602" s="63" t="s">
        <v>732</v>
      </c>
      <c r="H602" s="63" t="s">
        <v>1294</v>
      </c>
      <c r="I602" s="66" t="s">
        <v>730</v>
      </c>
      <c r="J602" s="63" t="s">
        <v>1295</v>
      </c>
      <c r="K602" s="63" t="s">
        <v>731</v>
      </c>
      <c r="L602" s="63" t="s">
        <v>1353</v>
      </c>
      <c r="M602" s="63" t="s">
        <v>1297</v>
      </c>
      <c r="N602" s="63" t="s">
        <v>1798</v>
      </c>
      <c r="O602" s="63" t="s">
        <v>1299</v>
      </c>
      <c r="P602" s="63" t="s">
        <v>1300</v>
      </c>
      <c r="Q602" s="50" t="s">
        <v>1301</v>
      </c>
      <c r="R602" s="50" t="s">
        <v>1302</v>
      </c>
      <c r="S602" s="48"/>
      <c r="T602" s="50" t="s">
        <v>1303</v>
      </c>
      <c r="U602" s="50" t="s">
        <v>1303</v>
      </c>
      <c r="V602" s="48">
        <v>0.0</v>
      </c>
      <c r="W602" s="68">
        <v>0.0</v>
      </c>
      <c r="X602" s="50" t="s">
        <v>1304</v>
      </c>
      <c r="Y602" s="50" t="s">
        <v>1305</v>
      </c>
    </row>
    <row r="603">
      <c r="A603" s="65">
        <f>ROW()-ROW(Table_Actions[N])</f>
        <v>367</v>
      </c>
      <c r="B603" s="54" t="s">
        <v>1799</v>
      </c>
      <c r="C603" s="62" t="b">
        <v>0</v>
      </c>
      <c r="D603" s="63" t="s">
        <v>1350</v>
      </c>
      <c r="E603" s="63" t="s">
        <v>361</v>
      </c>
      <c r="F603" s="63" t="s">
        <v>364</v>
      </c>
      <c r="G603" s="63" t="s">
        <v>732</v>
      </c>
      <c r="H603" s="63" t="s">
        <v>1294</v>
      </c>
      <c r="I603" s="66" t="s">
        <v>730</v>
      </c>
      <c r="J603" s="63" t="s">
        <v>1295</v>
      </c>
      <c r="K603" s="63" t="s">
        <v>731</v>
      </c>
      <c r="L603" s="63" t="s">
        <v>1353</v>
      </c>
      <c r="M603" s="63" t="s">
        <v>1297</v>
      </c>
      <c r="N603" s="63" t="s">
        <v>1800</v>
      </c>
      <c r="O603" s="63" t="s">
        <v>1299</v>
      </c>
      <c r="P603" s="63" t="s">
        <v>1300</v>
      </c>
      <c r="Q603" s="50" t="s">
        <v>1301</v>
      </c>
      <c r="R603" s="50" t="s">
        <v>1302</v>
      </c>
      <c r="S603" s="48"/>
      <c r="T603" s="50" t="s">
        <v>1303</v>
      </c>
      <c r="U603" s="50" t="s">
        <v>1303</v>
      </c>
      <c r="V603" s="48">
        <v>0.0</v>
      </c>
      <c r="W603" s="68">
        <v>0.0</v>
      </c>
      <c r="X603" s="50" t="s">
        <v>1304</v>
      </c>
      <c r="Y603" s="50" t="s">
        <v>1305</v>
      </c>
    </row>
    <row r="604">
      <c r="A604" s="65">
        <f>ROW()-ROW(Table_Actions[N])</f>
        <v>368</v>
      </c>
      <c r="B604" s="54" t="s">
        <v>1801</v>
      </c>
      <c r="C604" s="62" t="b">
        <v>0</v>
      </c>
      <c r="D604" s="63" t="s">
        <v>1367</v>
      </c>
      <c r="E604" s="63" t="s">
        <v>361</v>
      </c>
      <c r="F604" s="63" t="s">
        <v>364</v>
      </c>
      <c r="G604" s="63" t="s">
        <v>732</v>
      </c>
      <c r="H604" s="63" t="s">
        <v>1294</v>
      </c>
      <c r="I604" s="66" t="s">
        <v>730</v>
      </c>
      <c r="J604" s="63" t="s">
        <v>1295</v>
      </c>
      <c r="K604" s="63" t="s">
        <v>731</v>
      </c>
      <c r="L604" s="63" t="s">
        <v>1802</v>
      </c>
      <c r="M604" s="63" t="s">
        <v>1803</v>
      </c>
      <c r="N604" s="63" t="s">
        <v>1298</v>
      </c>
      <c r="O604" s="63" t="s">
        <v>1299</v>
      </c>
      <c r="P604" s="63" t="s">
        <v>1300</v>
      </c>
      <c r="Q604" s="50" t="s">
        <v>1301</v>
      </c>
      <c r="R604" s="50" t="s">
        <v>1302</v>
      </c>
      <c r="S604" s="48"/>
      <c r="T604" s="50" t="s">
        <v>1303</v>
      </c>
      <c r="U604" s="50" t="s">
        <v>1303</v>
      </c>
      <c r="V604" s="48">
        <v>0.0</v>
      </c>
      <c r="W604" s="68">
        <v>0.0</v>
      </c>
      <c r="X604" s="50" t="s">
        <v>1304</v>
      </c>
      <c r="Y604" s="50" t="s">
        <v>1305</v>
      </c>
    </row>
    <row r="605">
      <c r="A605" s="65">
        <f>ROW()-ROW(Table_Actions[N])</f>
        <v>369</v>
      </c>
      <c r="B605" s="54" t="s">
        <v>1804</v>
      </c>
      <c r="C605" s="62" t="b">
        <v>0</v>
      </c>
      <c r="D605" s="63" t="s">
        <v>1350</v>
      </c>
      <c r="E605" s="63" t="s">
        <v>361</v>
      </c>
      <c r="F605" s="63" t="s">
        <v>364</v>
      </c>
      <c r="G605" s="63" t="s">
        <v>732</v>
      </c>
      <c r="H605" s="63" t="s">
        <v>1294</v>
      </c>
      <c r="I605" s="66" t="s">
        <v>730</v>
      </c>
      <c r="J605" s="63" t="s">
        <v>1295</v>
      </c>
      <c r="K605" s="63" t="s">
        <v>731</v>
      </c>
      <c r="L605" s="63" t="s">
        <v>1805</v>
      </c>
      <c r="M605" s="63" t="s">
        <v>1297</v>
      </c>
      <c r="N605" s="63" t="s">
        <v>1298</v>
      </c>
      <c r="O605" s="63" t="s">
        <v>1299</v>
      </c>
      <c r="P605" s="63" t="s">
        <v>1300</v>
      </c>
      <c r="Q605" s="50" t="s">
        <v>1301</v>
      </c>
      <c r="R605" s="50" t="s">
        <v>1302</v>
      </c>
      <c r="S605" s="48"/>
      <c r="T605" s="50" t="s">
        <v>1303</v>
      </c>
      <c r="U605" s="50" t="s">
        <v>1303</v>
      </c>
      <c r="V605" s="48">
        <v>0.0</v>
      </c>
      <c r="W605" s="68">
        <v>0.0</v>
      </c>
      <c r="X605" s="50" t="s">
        <v>1304</v>
      </c>
      <c r="Y605" s="50" t="s">
        <v>1305</v>
      </c>
    </row>
    <row r="606">
      <c r="A606" s="65">
        <f>ROW()-ROW(Table_Actions[N])</f>
        <v>370</v>
      </c>
      <c r="B606" s="54" t="s">
        <v>1016</v>
      </c>
      <c r="C606" s="62" t="b">
        <v>0</v>
      </c>
      <c r="D606" s="63" t="s">
        <v>1350</v>
      </c>
      <c r="E606" s="63" t="s">
        <v>361</v>
      </c>
      <c r="F606" s="63" t="s">
        <v>364</v>
      </c>
      <c r="G606" s="63" t="s">
        <v>732</v>
      </c>
      <c r="H606" s="63" t="s">
        <v>1294</v>
      </c>
      <c r="I606" s="66" t="s">
        <v>730</v>
      </c>
      <c r="J606" s="63" t="s">
        <v>1295</v>
      </c>
      <c r="K606" s="63" t="s">
        <v>731</v>
      </c>
      <c r="L606" s="63" t="s">
        <v>1353</v>
      </c>
      <c r="M606" s="63" t="s">
        <v>1297</v>
      </c>
      <c r="N606" s="63" t="s">
        <v>1806</v>
      </c>
      <c r="O606" s="63" t="s">
        <v>1299</v>
      </c>
      <c r="P606" s="63" t="s">
        <v>1300</v>
      </c>
      <c r="Q606" s="50" t="s">
        <v>1301</v>
      </c>
      <c r="R606" s="50" t="s">
        <v>1302</v>
      </c>
      <c r="S606" s="48"/>
      <c r="T606" s="50" t="s">
        <v>1303</v>
      </c>
      <c r="U606" s="50" t="s">
        <v>1303</v>
      </c>
      <c r="V606" s="48">
        <v>0.0</v>
      </c>
      <c r="W606" s="68">
        <v>0.0</v>
      </c>
      <c r="X606" s="50" t="s">
        <v>1304</v>
      </c>
      <c r="Y606" s="50" t="s">
        <v>1305</v>
      </c>
    </row>
    <row r="607">
      <c r="A607" s="65">
        <f>ROW()-ROW(Table_Actions[N])</f>
        <v>371</v>
      </c>
      <c r="B607" s="54" t="s">
        <v>1807</v>
      </c>
      <c r="C607" s="62" t="b">
        <v>0</v>
      </c>
      <c r="D607" s="63" t="s">
        <v>1312</v>
      </c>
      <c r="E607" s="63" t="s">
        <v>361</v>
      </c>
      <c r="F607" s="63" t="s">
        <v>364</v>
      </c>
      <c r="G607" s="63" t="s">
        <v>732</v>
      </c>
      <c r="H607" s="63" t="s">
        <v>1808</v>
      </c>
      <c r="I607" s="66" t="s">
        <v>730</v>
      </c>
      <c r="J607" s="63" t="s">
        <v>1295</v>
      </c>
      <c r="K607" s="63" t="s">
        <v>731</v>
      </c>
      <c r="L607" s="63" t="s">
        <v>1296</v>
      </c>
      <c r="M607" s="63" t="s">
        <v>1297</v>
      </c>
      <c r="N607" s="63" t="s">
        <v>1298</v>
      </c>
      <c r="O607" s="63" t="s">
        <v>1299</v>
      </c>
      <c r="P607" s="63" t="s">
        <v>1300</v>
      </c>
      <c r="Q607" s="50" t="s">
        <v>1301</v>
      </c>
      <c r="R607" s="50" t="s">
        <v>1302</v>
      </c>
      <c r="S607" s="48"/>
      <c r="T607" s="67" t="s">
        <v>1303</v>
      </c>
      <c r="U607" s="67" t="s">
        <v>1303</v>
      </c>
      <c r="V607" s="48">
        <v>0.0</v>
      </c>
      <c r="W607" s="68">
        <v>0.0</v>
      </c>
      <c r="X607" s="50" t="s">
        <v>1304</v>
      </c>
      <c r="Y607" s="50" t="s">
        <v>1305</v>
      </c>
    </row>
    <row r="608">
      <c r="A608" s="65">
        <f>ROW()-ROW(Table_Actions[N])</f>
        <v>372</v>
      </c>
      <c r="B608" s="54" t="s">
        <v>1019</v>
      </c>
      <c r="C608" s="62" t="b">
        <v>0</v>
      </c>
      <c r="D608" s="63" t="s">
        <v>1350</v>
      </c>
      <c r="E608" s="63" t="s">
        <v>361</v>
      </c>
      <c r="F608" s="63" t="s">
        <v>364</v>
      </c>
      <c r="G608" s="63" t="s">
        <v>732</v>
      </c>
      <c r="H608" s="63" t="s">
        <v>1294</v>
      </c>
      <c r="I608" s="66" t="s">
        <v>730</v>
      </c>
      <c r="J608" s="63" t="s">
        <v>1295</v>
      </c>
      <c r="K608" s="63" t="s">
        <v>731</v>
      </c>
      <c r="L608" s="63" t="s">
        <v>1353</v>
      </c>
      <c r="M608" s="63" t="s">
        <v>1297</v>
      </c>
      <c r="N608" s="63" t="s">
        <v>1809</v>
      </c>
      <c r="O608" s="63" t="s">
        <v>1299</v>
      </c>
      <c r="P608" s="63" t="s">
        <v>1300</v>
      </c>
      <c r="Q608" s="50" t="s">
        <v>1301</v>
      </c>
      <c r="R608" s="50" t="s">
        <v>1302</v>
      </c>
      <c r="S608" s="48"/>
      <c r="T608" s="50" t="s">
        <v>1303</v>
      </c>
      <c r="U608" s="50" t="s">
        <v>1303</v>
      </c>
      <c r="V608" s="48">
        <v>0.0</v>
      </c>
      <c r="W608" s="68">
        <v>0.0</v>
      </c>
      <c r="X608" s="50" t="s">
        <v>1304</v>
      </c>
      <c r="Y608" s="50" t="s">
        <v>1305</v>
      </c>
    </row>
    <row r="609">
      <c r="A609" s="65">
        <f>ROW()-ROW(Table_Actions[N])</f>
        <v>373</v>
      </c>
      <c r="B609" s="54" t="s">
        <v>1810</v>
      </c>
      <c r="C609" s="62" t="b">
        <v>0</v>
      </c>
      <c r="D609" s="63" t="s">
        <v>1310</v>
      </c>
      <c r="E609" s="63" t="s">
        <v>361</v>
      </c>
      <c r="F609" s="63" t="s">
        <v>364</v>
      </c>
      <c r="G609" s="63" t="s">
        <v>732</v>
      </c>
      <c r="H609" s="63" t="s">
        <v>1294</v>
      </c>
      <c r="I609" s="66" t="s">
        <v>1811</v>
      </c>
      <c r="J609" s="63" t="s">
        <v>1295</v>
      </c>
      <c r="K609" s="63" t="s">
        <v>731</v>
      </c>
      <c r="L609" s="63" t="s">
        <v>1296</v>
      </c>
      <c r="M609" s="63" t="s">
        <v>1297</v>
      </c>
      <c r="N609" s="63" t="s">
        <v>1298</v>
      </c>
      <c r="O609" s="63" t="s">
        <v>1299</v>
      </c>
      <c r="P609" s="63" t="s">
        <v>1300</v>
      </c>
      <c r="Q609" s="50" t="s">
        <v>1301</v>
      </c>
      <c r="R609" s="50" t="s">
        <v>1302</v>
      </c>
      <c r="S609" s="48"/>
      <c r="T609" s="50" t="s">
        <v>1303</v>
      </c>
      <c r="U609" s="50" t="s">
        <v>1303</v>
      </c>
      <c r="V609" s="48">
        <v>0.0</v>
      </c>
      <c r="W609" s="68">
        <v>0.0</v>
      </c>
      <c r="X609" s="50" t="s">
        <v>1304</v>
      </c>
      <c r="Y609" s="50" t="s">
        <v>1305</v>
      </c>
    </row>
    <row r="610">
      <c r="A610" s="65">
        <f>ROW()-ROW(Table_Actions[N])</f>
        <v>374</v>
      </c>
      <c r="B610" s="54" t="s">
        <v>1812</v>
      </c>
      <c r="C610" s="62" t="b">
        <v>0</v>
      </c>
      <c r="D610" s="63" t="s">
        <v>1312</v>
      </c>
      <c r="E610" s="63" t="s">
        <v>361</v>
      </c>
      <c r="F610" s="63" t="s">
        <v>364</v>
      </c>
      <c r="G610" s="63" t="s">
        <v>732</v>
      </c>
      <c r="H610" s="63" t="s">
        <v>1813</v>
      </c>
      <c r="I610" s="66" t="s">
        <v>730</v>
      </c>
      <c r="J610" s="63" t="s">
        <v>1295</v>
      </c>
      <c r="K610" s="63" t="s">
        <v>731</v>
      </c>
      <c r="L610" s="63" t="s">
        <v>1296</v>
      </c>
      <c r="M610" s="63" t="s">
        <v>1297</v>
      </c>
      <c r="N610" s="63" t="s">
        <v>1298</v>
      </c>
      <c r="O610" s="63" t="s">
        <v>1299</v>
      </c>
      <c r="P610" s="63" t="s">
        <v>1300</v>
      </c>
      <c r="Q610" s="50" t="s">
        <v>1301</v>
      </c>
      <c r="R610" s="50" t="s">
        <v>1302</v>
      </c>
      <c r="S610" s="48"/>
      <c r="T610" s="67" t="s">
        <v>1303</v>
      </c>
      <c r="U610" s="67" t="s">
        <v>1303</v>
      </c>
      <c r="V610" s="48">
        <v>0.0</v>
      </c>
      <c r="W610" s="68">
        <v>0.0</v>
      </c>
      <c r="X610" s="50" t="s">
        <v>1304</v>
      </c>
      <c r="Y610" s="50" t="s">
        <v>1305</v>
      </c>
    </row>
    <row r="611">
      <c r="A611" s="65">
        <f>ROW()-ROW(Table_Actions[N])</f>
        <v>375</v>
      </c>
      <c r="B611" s="54" t="s">
        <v>1814</v>
      </c>
      <c r="C611" s="62" t="b">
        <v>0</v>
      </c>
      <c r="D611" s="63" t="s">
        <v>1558</v>
      </c>
      <c r="E611" s="63" t="s">
        <v>361</v>
      </c>
      <c r="F611" s="63" t="s">
        <v>364</v>
      </c>
      <c r="G611" s="63" t="s">
        <v>732</v>
      </c>
      <c r="H611" s="63" t="s">
        <v>1294</v>
      </c>
      <c r="I611" s="66" t="s">
        <v>730</v>
      </c>
      <c r="J611" s="63" t="s">
        <v>1295</v>
      </c>
      <c r="K611" s="63" t="s">
        <v>731</v>
      </c>
      <c r="L611" s="63" t="s">
        <v>1296</v>
      </c>
      <c r="M611" s="63" t="s">
        <v>1297</v>
      </c>
      <c r="N611" s="63" t="s">
        <v>1298</v>
      </c>
      <c r="O611" s="63" t="s">
        <v>1299</v>
      </c>
      <c r="P611" s="63" t="s">
        <v>1300</v>
      </c>
      <c r="Q611" s="50" t="s">
        <v>1301</v>
      </c>
      <c r="R611" s="50" t="s">
        <v>1815</v>
      </c>
      <c r="S611" s="48"/>
      <c r="T611" s="67" t="s">
        <v>1303</v>
      </c>
      <c r="U611" s="67" t="s">
        <v>1303</v>
      </c>
      <c r="V611" s="48">
        <v>0.0</v>
      </c>
      <c r="W611" s="68">
        <v>0.0</v>
      </c>
      <c r="X611" s="50" t="s">
        <v>1304</v>
      </c>
      <c r="Y611" s="50" t="s">
        <v>1305</v>
      </c>
    </row>
    <row r="612">
      <c r="A612" s="65">
        <f>ROW()-ROW(Table_Actions[N])</f>
        <v>376</v>
      </c>
      <c r="B612" s="54" t="s">
        <v>1816</v>
      </c>
      <c r="C612" s="62" t="b">
        <v>1</v>
      </c>
      <c r="D612" s="63" t="s">
        <v>1350</v>
      </c>
      <c r="E612" s="63" t="s">
        <v>361</v>
      </c>
      <c r="F612" s="63" t="s">
        <v>364</v>
      </c>
      <c r="G612" s="63" t="s">
        <v>732</v>
      </c>
      <c r="H612" s="63" t="s">
        <v>1294</v>
      </c>
      <c r="I612" s="66" t="s">
        <v>730</v>
      </c>
      <c r="J612" s="63" t="s">
        <v>1295</v>
      </c>
      <c r="K612" s="63" t="s">
        <v>731</v>
      </c>
      <c r="L612" s="63" t="s">
        <v>1353</v>
      </c>
      <c r="M612" s="63" t="s">
        <v>1297</v>
      </c>
      <c r="N612" s="63" t="s">
        <v>1817</v>
      </c>
      <c r="O612" s="63" t="s">
        <v>1299</v>
      </c>
      <c r="P612" s="63" t="s">
        <v>1300</v>
      </c>
      <c r="Q612" s="50" t="s">
        <v>1301</v>
      </c>
      <c r="R612" s="50" t="s">
        <v>1302</v>
      </c>
      <c r="S612" s="48"/>
      <c r="T612" s="50" t="s">
        <v>1303</v>
      </c>
      <c r="U612" s="50" t="s">
        <v>1303</v>
      </c>
      <c r="V612" s="48">
        <v>0.0</v>
      </c>
      <c r="W612" s="68">
        <v>0.0</v>
      </c>
      <c r="X612" s="50" t="s">
        <v>1304</v>
      </c>
      <c r="Y612" s="50" t="s">
        <v>1305</v>
      </c>
    </row>
    <row r="613">
      <c r="A613" s="65">
        <f>ROW()-ROW(Table_Actions[N])</f>
        <v>377</v>
      </c>
      <c r="B613" s="54" t="s">
        <v>1818</v>
      </c>
      <c r="C613" s="62" t="b">
        <v>1</v>
      </c>
      <c r="D613" s="55" t="s">
        <v>1372</v>
      </c>
      <c r="E613" s="63" t="s">
        <v>367</v>
      </c>
      <c r="F613" s="55" t="s">
        <v>364</v>
      </c>
      <c r="G613" s="55" t="s">
        <v>732</v>
      </c>
      <c r="H613" s="55" t="s">
        <v>1294</v>
      </c>
      <c r="I613" s="70" t="s">
        <v>730</v>
      </c>
      <c r="J613" s="55" t="s">
        <v>1295</v>
      </c>
      <c r="K613" s="55" t="s">
        <v>731</v>
      </c>
      <c r="L613" s="55" t="s">
        <v>1296</v>
      </c>
      <c r="M613" s="55" t="s">
        <v>1297</v>
      </c>
      <c r="N613" s="55" t="s">
        <v>1298</v>
      </c>
      <c r="O613" s="63" t="s">
        <v>1819</v>
      </c>
      <c r="P613" s="55" t="s">
        <v>1300</v>
      </c>
      <c r="Q613" s="55" t="s">
        <v>1301</v>
      </c>
      <c r="R613" s="55" t="s">
        <v>1302</v>
      </c>
      <c r="S613" s="75"/>
      <c r="T613" s="84" t="s">
        <v>1303</v>
      </c>
      <c r="U613" s="84" t="s">
        <v>1303</v>
      </c>
      <c r="V613" s="75">
        <v>0.0</v>
      </c>
      <c r="W613" s="85">
        <v>0.0</v>
      </c>
      <c r="X613" s="50" t="s">
        <v>1304</v>
      </c>
      <c r="Y613" s="55" t="s">
        <v>1305</v>
      </c>
    </row>
    <row r="614">
      <c r="A614" s="65">
        <f>ROW()-ROW(Table_Actions[N])</f>
        <v>378</v>
      </c>
      <c r="B614" s="54" t="s">
        <v>1027</v>
      </c>
      <c r="C614" s="62" t="b">
        <v>0</v>
      </c>
      <c r="D614" s="63" t="s">
        <v>1350</v>
      </c>
      <c r="E614" s="63" t="s">
        <v>361</v>
      </c>
      <c r="F614" s="63" t="s">
        <v>364</v>
      </c>
      <c r="G614" s="63" t="s">
        <v>732</v>
      </c>
      <c r="H614" s="63" t="s">
        <v>1294</v>
      </c>
      <c r="I614" s="66" t="s">
        <v>730</v>
      </c>
      <c r="J614" s="63" t="s">
        <v>1295</v>
      </c>
      <c r="K614" s="63" t="s">
        <v>731</v>
      </c>
      <c r="L614" s="63" t="s">
        <v>1353</v>
      </c>
      <c r="M614" s="63" t="s">
        <v>1297</v>
      </c>
      <c r="N614" s="63" t="s">
        <v>1820</v>
      </c>
      <c r="O614" s="63" t="s">
        <v>1299</v>
      </c>
      <c r="P614" s="63" t="s">
        <v>1300</v>
      </c>
      <c r="Q614" s="63" t="s">
        <v>1301</v>
      </c>
      <c r="R614" s="63" t="s">
        <v>1302</v>
      </c>
      <c r="S614" s="75"/>
      <c r="T614" s="63" t="s">
        <v>1303</v>
      </c>
      <c r="U614" s="63" t="s">
        <v>1303</v>
      </c>
      <c r="V614" s="54">
        <v>0.0</v>
      </c>
      <c r="W614" s="86">
        <v>0.0</v>
      </c>
      <c r="X614" s="50" t="s">
        <v>1304</v>
      </c>
      <c r="Y614" s="63" t="s">
        <v>1305</v>
      </c>
    </row>
    <row r="615">
      <c r="A615" s="65">
        <f>ROW()-ROW(Table_Actions[N])</f>
        <v>379</v>
      </c>
      <c r="B615" s="54" t="s">
        <v>1029</v>
      </c>
      <c r="C615" s="62" t="b">
        <v>0</v>
      </c>
      <c r="D615" s="63" t="s">
        <v>1350</v>
      </c>
      <c r="E615" s="63" t="s">
        <v>361</v>
      </c>
      <c r="F615" s="63" t="s">
        <v>364</v>
      </c>
      <c r="G615" s="63" t="s">
        <v>732</v>
      </c>
      <c r="H615" s="63" t="s">
        <v>1294</v>
      </c>
      <c r="I615" s="66" t="s">
        <v>730</v>
      </c>
      <c r="J615" s="63" t="s">
        <v>1295</v>
      </c>
      <c r="K615" s="63" t="s">
        <v>731</v>
      </c>
      <c r="L615" s="63" t="s">
        <v>1353</v>
      </c>
      <c r="M615" s="63" t="s">
        <v>1297</v>
      </c>
      <c r="N615" s="63" t="s">
        <v>1821</v>
      </c>
      <c r="O615" s="63" t="s">
        <v>1299</v>
      </c>
      <c r="P615" s="63" t="s">
        <v>1300</v>
      </c>
      <c r="Q615" s="63" t="s">
        <v>1301</v>
      </c>
      <c r="R615" s="63" t="s">
        <v>1302</v>
      </c>
      <c r="S615" s="75"/>
      <c r="T615" s="63" t="s">
        <v>1303</v>
      </c>
      <c r="U615" s="63" t="s">
        <v>1303</v>
      </c>
      <c r="V615" s="54">
        <v>0.0</v>
      </c>
      <c r="W615" s="86">
        <v>0.0</v>
      </c>
      <c r="X615" s="50" t="s">
        <v>1304</v>
      </c>
      <c r="Y615" s="63" t="s">
        <v>1305</v>
      </c>
    </row>
    <row r="616">
      <c r="A616" s="65">
        <f>ROW()-ROW(Table_Actions[N])</f>
        <v>380</v>
      </c>
      <c r="B616" s="54" t="s">
        <v>1031</v>
      </c>
      <c r="C616" s="62" t="b">
        <v>0</v>
      </c>
      <c r="D616" s="63" t="s">
        <v>1350</v>
      </c>
      <c r="E616" s="63" t="s">
        <v>361</v>
      </c>
      <c r="F616" s="63" t="s">
        <v>364</v>
      </c>
      <c r="G616" s="63" t="s">
        <v>732</v>
      </c>
      <c r="H616" s="63" t="s">
        <v>1294</v>
      </c>
      <c r="I616" s="66" t="s">
        <v>730</v>
      </c>
      <c r="J616" s="63" t="s">
        <v>1295</v>
      </c>
      <c r="K616" s="63" t="s">
        <v>731</v>
      </c>
      <c r="L616" s="63" t="s">
        <v>1353</v>
      </c>
      <c r="M616" s="63" t="s">
        <v>1297</v>
      </c>
      <c r="N616" s="63" t="s">
        <v>1822</v>
      </c>
      <c r="O616" s="63" t="s">
        <v>1299</v>
      </c>
      <c r="P616" s="63" t="s">
        <v>1300</v>
      </c>
      <c r="Q616" s="63" t="s">
        <v>1301</v>
      </c>
      <c r="R616" s="63" t="s">
        <v>1302</v>
      </c>
      <c r="S616" s="75"/>
      <c r="T616" s="63" t="s">
        <v>1303</v>
      </c>
      <c r="U616" s="63" t="s">
        <v>1303</v>
      </c>
      <c r="V616" s="54">
        <v>0.0</v>
      </c>
      <c r="W616" s="86">
        <v>0.0</v>
      </c>
      <c r="X616" s="50" t="s">
        <v>1304</v>
      </c>
      <c r="Y616" s="63" t="s">
        <v>1305</v>
      </c>
    </row>
    <row r="617">
      <c r="A617" s="65">
        <f>ROW()-ROW(Table_Actions[N])</f>
        <v>381</v>
      </c>
      <c r="B617" s="54" t="s">
        <v>1033</v>
      </c>
      <c r="C617" s="62" t="b">
        <v>0</v>
      </c>
      <c r="D617" s="63" t="s">
        <v>1350</v>
      </c>
      <c r="E617" s="63" t="s">
        <v>361</v>
      </c>
      <c r="F617" s="63" t="s">
        <v>364</v>
      </c>
      <c r="G617" s="63" t="s">
        <v>732</v>
      </c>
      <c r="H617" s="63" t="s">
        <v>1294</v>
      </c>
      <c r="I617" s="66" t="s">
        <v>730</v>
      </c>
      <c r="J617" s="63" t="s">
        <v>1295</v>
      </c>
      <c r="K617" s="63" t="s">
        <v>731</v>
      </c>
      <c r="L617" s="63" t="s">
        <v>1353</v>
      </c>
      <c r="M617" s="63" t="s">
        <v>1297</v>
      </c>
      <c r="N617" s="63" t="s">
        <v>1823</v>
      </c>
      <c r="O617" s="63" t="s">
        <v>1299</v>
      </c>
      <c r="P617" s="63" t="s">
        <v>1300</v>
      </c>
      <c r="Q617" s="63" t="s">
        <v>1301</v>
      </c>
      <c r="R617" s="63" t="s">
        <v>1302</v>
      </c>
      <c r="S617" s="75"/>
      <c r="T617" s="63" t="s">
        <v>1303</v>
      </c>
      <c r="U617" s="63" t="s">
        <v>1303</v>
      </c>
      <c r="V617" s="54">
        <v>0.0</v>
      </c>
      <c r="W617" s="86">
        <v>0.0</v>
      </c>
      <c r="X617" s="50" t="s">
        <v>1304</v>
      </c>
      <c r="Y617" s="63" t="s">
        <v>1305</v>
      </c>
    </row>
    <row r="618">
      <c r="A618" s="65">
        <f>ROW()-ROW(Table_Actions[N])</f>
        <v>382</v>
      </c>
      <c r="B618" s="54" t="s">
        <v>1035</v>
      </c>
      <c r="C618" s="62" t="b">
        <v>0</v>
      </c>
      <c r="D618" s="63" t="s">
        <v>1350</v>
      </c>
      <c r="E618" s="63" t="s">
        <v>361</v>
      </c>
      <c r="F618" s="63" t="s">
        <v>364</v>
      </c>
      <c r="G618" s="63" t="s">
        <v>732</v>
      </c>
      <c r="H618" s="63" t="s">
        <v>1294</v>
      </c>
      <c r="I618" s="66" t="s">
        <v>730</v>
      </c>
      <c r="J618" s="63" t="s">
        <v>1295</v>
      </c>
      <c r="K618" s="63" t="s">
        <v>731</v>
      </c>
      <c r="L618" s="63" t="s">
        <v>1353</v>
      </c>
      <c r="M618" s="63" t="s">
        <v>1297</v>
      </c>
      <c r="N618" s="63" t="s">
        <v>1824</v>
      </c>
      <c r="O618" s="63" t="s">
        <v>1299</v>
      </c>
      <c r="P618" s="63" t="s">
        <v>1300</v>
      </c>
      <c r="Q618" s="63" t="s">
        <v>1301</v>
      </c>
      <c r="R618" s="63" t="s">
        <v>1302</v>
      </c>
      <c r="S618" s="75"/>
      <c r="T618" s="63" t="s">
        <v>1303</v>
      </c>
      <c r="U618" s="63" t="s">
        <v>1303</v>
      </c>
      <c r="V618" s="54">
        <v>0.0</v>
      </c>
      <c r="W618" s="86">
        <v>0.0</v>
      </c>
      <c r="X618" s="50" t="s">
        <v>1304</v>
      </c>
      <c r="Y618" s="63" t="s">
        <v>1305</v>
      </c>
    </row>
    <row r="619">
      <c r="A619" s="65">
        <f>ROW()-ROW(Table_Actions[N])</f>
        <v>383</v>
      </c>
      <c r="B619" s="54" t="s">
        <v>1825</v>
      </c>
      <c r="C619" s="62" t="b">
        <v>0</v>
      </c>
      <c r="D619" s="63" t="s">
        <v>1310</v>
      </c>
      <c r="E619" s="63" t="s">
        <v>361</v>
      </c>
      <c r="F619" s="63" t="s">
        <v>364</v>
      </c>
      <c r="G619" s="63" t="s">
        <v>732</v>
      </c>
      <c r="H619" s="63" t="s">
        <v>1294</v>
      </c>
      <c r="I619" s="66" t="s">
        <v>1826</v>
      </c>
      <c r="J619" s="63" t="s">
        <v>1295</v>
      </c>
      <c r="K619" s="63" t="s">
        <v>731</v>
      </c>
      <c r="L619" s="63" t="s">
        <v>1296</v>
      </c>
      <c r="M619" s="63" t="s">
        <v>1297</v>
      </c>
      <c r="N619" s="63" t="s">
        <v>1298</v>
      </c>
      <c r="O619" s="63" t="s">
        <v>1299</v>
      </c>
      <c r="P619" s="63" t="s">
        <v>1300</v>
      </c>
      <c r="Q619" s="63" t="s">
        <v>1301</v>
      </c>
      <c r="R619" s="63" t="s">
        <v>1302</v>
      </c>
      <c r="S619" s="75"/>
      <c r="T619" s="63" t="s">
        <v>1303</v>
      </c>
      <c r="U619" s="63" t="s">
        <v>1303</v>
      </c>
      <c r="V619" s="54">
        <v>0.0</v>
      </c>
      <c r="W619" s="86">
        <v>0.0</v>
      </c>
      <c r="X619" s="50" t="s">
        <v>1304</v>
      </c>
      <c r="Y619" s="63" t="s">
        <v>1305</v>
      </c>
    </row>
    <row r="620">
      <c r="A620" s="65">
        <f>ROW()-ROW(Table_Actions[N])</f>
        <v>384</v>
      </c>
      <c r="B620" s="54" t="s">
        <v>1827</v>
      </c>
      <c r="C620" s="62" t="b">
        <v>0</v>
      </c>
      <c r="D620" s="63" t="s">
        <v>1310</v>
      </c>
      <c r="E620" s="63" t="s">
        <v>361</v>
      </c>
      <c r="F620" s="63" t="s">
        <v>364</v>
      </c>
      <c r="G620" s="63" t="s">
        <v>732</v>
      </c>
      <c r="H620" s="63" t="s">
        <v>1294</v>
      </c>
      <c r="I620" s="66" t="s">
        <v>1828</v>
      </c>
      <c r="J620" s="63" t="s">
        <v>1295</v>
      </c>
      <c r="K620" s="63" t="s">
        <v>731</v>
      </c>
      <c r="L620" s="63" t="s">
        <v>1296</v>
      </c>
      <c r="M620" s="63" t="s">
        <v>1297</v>
      </c>
      <c r="N620" s="63" t="s">
        <v>1298</v>
      </c>
      <c r="O620" s="63" t="s">
        <v>1299</v>
      </c>
      <c r="P620" s="63" t="s">
        <v>1300</v>
      </c>
      <c r="Q620" s="63" t="s">
        <v>1301</v>
      </c>
      <c r="R620" s="63" t="s">
        <v>1302</v>
      </c>
      <c r="S620" s="75"/>
      <c r="T620" s="63" t="s">
        <v>1303</v>
      </c>
      <c r="U620" s="63" t="s">
        <v>1303</v>
      </c>
      <c r="V620" s="54">
        <v>0.0</v>
      </c>
      <c r="W620" s="86">
        <v>0.0</v>
      </c>
      <c r="X620" s="50" t="s">
        <v>1304</v>
      </c>
      <c r="Y620" s="63" t="s">
        <v>1305</v>
      </c>
    </row>
    <row r="621">
      <c r="A621" s="65">
        <f>ROW()-ROW(Table_Actions[N])</f>
        <v>385</v>
      </c>
      <c r="B621" s="54" t="s">
        <v>1045</v>
      </c>
      <c r="C621" s="62" t="b">
        <v>0</v>
      </c>
      <c r="D621" s="63" t="s">
        <v>1350</v>
      </c>
      <c r="E621" s="63" t="s">
        <v>361</v>
      </c>
      <c r="F621" s="63" t="s">
        <v>364</v>
      </c>
      <c r="G621" s="63" t="s">
        <v>732</v>
      </c>
      <c r="H621" s="63" t="s">
        <v>1294</v>
      </c>
      <c r="I621" s="66" t="s">
        <v>730</v>
      </c>
      <c r="J621" s="63" t="s">
        <v>1295</v>
      </c>
      <c r="K621" s="63" t="s">
        <v>731</v>
      </c>
      <c r="L621" s="63" t="s">
        <v>1353</v>
      </c>
      <c r="M621" s="63" t="s">
        <v>1297</v>
      </c>
      <c r="N621" s="63" t="s">
        <v>1829</v>
      </c>
      <c r="O621" s="63" t="s">
        <v>1299</v>
      </c>
      <c r="P621" s="63" t="s">
        <v>1300</v>
      </c>
      <c r="Q621" s="63" t="s">
        <v>1301</v>
      </c>
      <c r="R621" s="63" t="s">
        <v>1302</v>
      </c>
      <c r="S621" s="75"/>
      <c r="T621" s="63" t="s">
        <v>1303</v>
      </c>
      <c r="U621" s="63" t="s">
        <v>1303</v>
      </c>
      <c r="V621" s="54">
        <v>0.0</v>
      </c>
      <c r="W621" s="86">
        <v>0.0</v>
      </c>
      <c r="X621" s="50" t="s">
        <v>1304</v>
      </c>
      <c r="Y621" s="63" t="s">
        <v>1305</v>
      </c>
    </row>
    <row r="622">
      <c r="A622" s="65">
        <f>ROW()-ROW(Table_Actions[N])</f>
        <v>386</v>
      </c>
      <c r="B622" s="54" t="s">
        <v>1830</v>
      </c>
      <c r="C622" s="62" t="b">
        <v>0</v>
      </c>
      <c r="D622" s="63" t="s">
        <v>1310</v>
      </c>
      <c r="E622" s="63" t="s">
        <v>361</v>
      </c>
      <c r="F622" s="63" t="s">
        <v>364</v>
      </c>
      <c r="G622" s="63" t="s">
        <v>732</v>
      </c>
      <c r="H622" s="63" t="s">
        <v>1294</v>
      </c>
      <c r="I622" s="66" t="s">
        <v>1043</v>
      </c>
      <c r="J622" s="63" t="s">
        <v>1295</v>
      </c>
      <c r="K622" s="63" t="s">
        <v>731</v>
      </c>
      <c r="L622" s="63" t="s">
        <v>1296</v>
      </c>
      <c r="M622" s="63" t="s">
        <v>1297</v>
      </c>
      <c r="N622" s="63" t="s">
        <v>1298</v>
      </c>
      <c r="O622" s="63" t="s">
        <v>1299</v>
      </c>
      <c r="P622" s="63" t="s">
        <v>1300</v>
      </c>
      <c r="Q622" s="63" t="s">
        <v>1301</v>
      </c>
      <c r="R622" s="63" t="s">
        <v>1302</v>
      </c>
      <c r="S622" s="75"/>
      <c r="T622" s="63" t="s">
        <v>1303</v>
      </c>
      <c r="U622" s="63" t="s">
        <v>1303</v>
      </c>
      <c r="V622" s="54">
        <v>0.0</v>
      </c>
      <c r="W622" s="86">
        <v>0.0</v>
      </c>
      <c r="X622" s="50" t="s">
        <v>1304</v>
      </c>
      <c r="Y622" s="63" t="s">
        <v>1305</v>
      </c>
    </row>
    <row r="623">
      <c r="A623" s="65">
        <f>ROW()-ROW(Table_Actions[N])</f>
        <v>387</v>
      </c>
      <c r="B623" s="54" t="s">
        <v>1041</v>
      </c>
      <c r="C623" s="62" t="b">
        <v>0</v>
      </c>
      <c r="D623" s="63" t="s">
        <v>1350</v>
      </c>
      <c r="E623" s="63" t="s">
        <v>361</v>
      </c>
      <c r="F623" s="63" t="s">
        <v>364</v>
      </c>
      <c r="G623" s="63" t="s">
        <v>732</v>
      </c>
      <c r="H623" s="63" t="s">
        <v>1294</v>
      </c>
      <c r="I623" s="66" t="s">
        <v>730</v>
      </c>
      <c r="J623" s="63" t="s">
        <v>1295</v>
      </c>
      <c r="K623" s="63" t="s">
        <v>731</v>
      </c>
      <c r="L623" s="63" t="s">
        <v>1353</v>
      </c>
      <c r="M623" s="63" t="s">
        <v>1297</v>
      </c>
      <c r="N623" s="63" t="s">
        <v>1831</v>
      </c>
      <c r="O623" s="63" t="s">
        <v>1299</v>
      </c>
      <c r="P623" s="63" t="s">
        <v>1300</v>
      </c>
      <c r="Q623" s="63" t="s">
        <v>1301</v>
      </c>
      <c r="R623" s="63" t="s">
        <v>1302</v>
      </c>
      <c r="S623" s="75"/>
      <c r="T623" s="63" t="s">
        <v>1303</v>
      </c>
      <c r="U623" s="63" t="s">
        <v>1303</v>
      </c>
      <c r="V623" s="54">
        <v>0.0</v>
      </c>
      <c r="W623" s="86">
        <v>0.0</v>
      </c>
      <c r="X623" s="50" t="s">
        <v>1304</v>
      </c>
      <c r="Y623" s="63" t="s">
        <v>1305</v>
      </c>
    </row>
    <row r="624">
      <c r="A624" s="65">
        <f>ROW()-ROW(Table_Actions[N])</f>
        <v>388</v>
      </c>
      <c r="B624" s="54" t="s">
        <v>1832</v>
      </c>
      <c r="C624" s="62" t="b">
        <v>0</v>
      </c>
      <c r="D624" s="63" t="s">
        <v>1318</v>
      </c>
      <c r="E624" s="63" t="s">
        <v>690</v>
      </c>
      <c r="F624" s="63" t="s">
        <v>364</v>
      </c>
      <c r="G624" s="63" t="s">
        <v>732</v>
      </c>
      <c r="H624" s="63" t="s">
        <v>1294</v>
      </c>
      <c r="I624" s="66" t="s">
        <v>730</v>
      </c>
      <c r="J624" s="63" t="s">
        <v>1295</v>
      </c>
      <c r="K624" s="63" t="s">
        <v>731</v>
      </c>
      <c r="L624" s="63" t="s">
        <v>1296</v>
      </c>
      <c r="M624" s="63" t="s">
        <v>1297</v>
      </c>
      <c r="N624" s="63" t="s">
        <v>1298</v>
      </c>
      <c r="O624" s="63" t="s">
        <v>1299</v>
      </c>
      <c r="P624" s="63" t="s">
        <v>1300</v>
      </c>
      <c r="Q624" s="50" t="s">
        <v>1301</v>
      </c>
      <c r="R624" s="50" t="s">
        <v>1302</v>
      </c>
      <c r="T624" s="50" t="s">
        <v>1303</v>
      </c>
      <c r="U624" s="50" t="s">
        <v>1303</v>
      </c>
      <c r="V624" s="48">
        <v>0.0</v>
      </c>
      <c r="W624" s="68">
        <v>1.0</v>
      </c>
      <c r="X624" s="50" t="s">
        <v>1304</v>
      </c>
      <c r="Y624" s="50" t="s">
        <v>1305</v>
      </c>
    </row>
    <row r="625">
      <c r="A625" s="65">
        <f>ROW()-ROW(Table_Actions[N])</f>
        <v>389</v>
      </c>
      <c r="B625" s="54" t="s">
        <v>1833</v>
      </c>
      <c r="C625" s="62" t="b">
        <v>0</v>
      </c>
      <c r="D625" s="63" t="s">
        <v>1322</v>
      </c>
      <c r="E625" s="63" t="s">
        <v>690</v>
      </c>
      <c r="F625" s="63" t="s">
        <v>364</v>
      </c>
      <c r="G625" s="63" t="s">
        <v>732</v>
      </c>
      <c r="H625" s="63" t="s">
        <v>1294</v>
      </c>
      <c r="I625" s="66" t="s">
        <v>730</v>
      </c>
      <c r="J625" s="63" t="s">
        <v>1295</v>
      </c>
      <c r="K625" s="63" t="s">
        <v>731</v>
      </c>
      <c r="L625" s="63" t="s">
        <v>1296</v>
      </c>
      <c r="M625" s="63" t="s">
        <v>1297</v>
      </c>
      <c r="N625" s="63" t="s">
        <v>1298</v>
      </c>
      <c r="O625" s="63" t="s">
        <v>1299</v>
      </c>
      <c r="P625" s="63" t="s">
        <v>1300</v>
      </c>
      <c r="Q625" s="50" t="s">
        <v>1301</v>
      </c>
      <c r="R625" s="50" t="s">
        <v>1302</v>
      </c>
      <c r="T625" s="50" t="s">
        <v>1303</v>
      </c>
      <c r="U625" s="50" t="s">
        <v>1303</v>
      </c>
      <c r="V625" s="48">
        <v>0.0</v>
      </c>
      <c r="W625" s="68">
        <v>0.0</v>
      </c>
      <c r="X625" s="50" t="s">
        <v>1304</v>
      </c>
      <c r="Y625" s="50" t="s">
        <v>1305</v>
      </c>
    </row>
    <row r="626">
      <c r="A626" s="65">
        <f>ROW()-ROW(Table_Actions[N])</f>
        <v>390</v>
      </c>
      <c r="B626" s="54" t="s">
        <v>1834</v>
      </c>
      <c r="C626" s="62" t="b">
        <v>0</v>
      </c>
      <c r="D626" s="55" t="s">
        <v>1372</v>
      </c>
      <c r="E626" s="63" t="s">
        <v>690</v>
      </c>
      <c r="F626" s="55" t="s">
        <v>364</v>
      </c>
      <c r="G626" s="55" t="s">
        <v>732</v>
      </c>
      <c r="H626" s="55" t="s">
        <v>1294</v>
      </c>
      <c r="I626" s="70" t="s">
        <v>730</v>
      </c>
      <c r="J626" s="55" t="s">
        <v>1295</v>
      </c>
      <c r="K626" s="55" t="s">
        <v>731</v>
      </c>
      <c r="L626" s="55" t="s">
        <v>1296</v>
      </c>
      <c r="M626" s="55" t="s">
        <v>1297</v>
      </c>
      <c r="N626" s="55" t="s">
        <v>1298</v>
      </c>
      <c r="O626" s="63" t="s">
        <v>1375</v>
      </c>
      <c r="P626" s="55" t="s">
        <v>1300</v>
      </c>
      <c r="Q626" s="55" t="s">
        <v>1301</v>
      </c>
      <c r="R626" s="55" t="s">
        <v>1302</v>
      </c>
      <c r="S626" s="48" t="s">
        <v>1376</v>
      </c>
      <c r="T626" s="84" t="s">
        <v>1303</v>
      </c>
      <c r="U626" s="84" t="s">
        <v>1303</v>
      </c>
      <c r="V626" s="75">
        <v>0.0</v>
      </c>
      <c r="W626" s="85">
        <v>0.0</v>
      </c>
      <c r="X626" s="50" t="s">
        <v>1304</v>
      </c>
      <c r="Y626" s="55" t="s">
        <v>1305</v>
      </c>
    </row>
    <row r="627">
      <c r="A627" s="65">
        <f>ROW()-ROW(Table_Actions[N])</f>
        <v>391</v>
      </c>
      <c r="B627" s="54" t="s">
        <v>1835</v>
      </c>
      <c r="C627" s="62" t="b">
        <v>1</v>
      </c>
      <c r="D627" s="55" t="s">
        <v>1372</v>
      </c>
      <c r="E627" s="63" t="s">
        <v>690</v>
      </c>
      <c r="F627" s="55" t="s">
        <v>364</v>
      </c>
      <c r="G627" s="55" t="s">
        <v>732</v>
      </c>
      <c r="H627" s="55" t="s">
        <v>1294</v>
      </c>
      <c r="I627" s="70" t="s">
        <v>730</v>
      </c>
      <c r="J627" s="55" t="s">
        <v>1295</v>
      </c>
      <c r="K627" s="55" t="s">
        <v>731</v>
      </c>
      <c r="L627" s="55" t="s">
        <v>1296</v>
      </c>
      <c r="M627" s="55" t="s">
        <v>1297</v>
      </c>
      <c r="N627" s="55" t="s">
        <v>1298</v>
      </c>
      <c r="O627" s="63" t="s">
        <v>1521</v>
      </c>
      <c r="P627" s="55" t="s">
        <v>1300</v>
      </c>
      <c r="Q627" s="55" t="s">
        <v>1301</v>
      </c>
      <c r="R627" s="55" t="s">
        <v>1302</v>
      </c>
      <c r="S627" s="75"/>
      <c r="T627" s="84" t="s">
        <v>1303</v>
      </c>
      <c r="U627" s="84" t="s">
        <v>1303</v>
      </c>
      <c r="V627" s="75">
        <v>0.0</v>
      </c>
      <c r="W627" s="85">
        <v>0.0</v>
      </c>
      <c r="X627" s="50" t="s">
        <v>1304</v>
      </c>
      <c r="Y627" s="55" t="s">
        <v>1305</v>
      </c>
    </row>
    <row r="628">
      <c r="A628" s="65">
        <f>ROW()-ROW(Table_Actions[N])</f>
        <v>392</v>
      </c>
      <c r="B628" s="54" t="s">
        <v>1836</v>
      </c>
      <c r="C628" s="62" t="b">
        <v>0</v>
      </c>
      <c r="D628" s="63" t="s">
        <v>1516</v>
      </c>
      <c r="E628" s="63" t="s">
        <v>361</v>
      </c>
      <c r="F628" s="63" t="s">
        <v>364</v>
      </c>
      <c r="G628" s="63" t="s">
        <v>732</v>
      </c>
      <c r="H628" s="63" t="s">
        <v>1294</v>
      </c>
      <c r="I628" s="66" t="s">
        <v>730</v>
      </c>
      <c r="J628" s="63" t="s">
        <v>1295</v>
      </c>
      <c r="K628" s="63" t="s">
        <v>731</v>
      </c>
      <c r="L628" s="63" t="s">
        <v>1296</v>
      </c>
      <c r="M628" s="63" t="s">
        <v>1297</v>
      </c>
      <c r="N628" s="63" t="s">
        <v>1298</v>
      </c>
      <c r="O628" s="63" t="s">
        <v>1299</v>
      </c>
      <c r="P628" s="63" t="s">
        <v>1300</v>
      </c>
      <c r="Q628" s="50" t="s">
        <v>1837</v>
      </c>
      <c r="R628" s="50" t="s">
        <v>1302</v>
      </c>
      <c r="T628" s="50" t="s">
        <v>1303</v>
      </c>
      <c r="U628" s="50" t="s">
        <v>1303</v>
      </c>
      <c r="V628" s="48">
        <v>0.0</v>
      </c>
      <c r="W628" s="68">
        <v>0.0</v>
      </c>
      <c r="X628" s="50" t="s">
        <v>1304</v>
      </c>
      <c r="Y628" s="50" t="s">
        <v>1305</v>
      </c>
    </row>
    <row r="629">
      <c r="A629" s="65">
        <f>ROW()-ROW(Table_Actions[N])</f>
        <v>393</v>
      </c>
      <c r="B629" s="54" t="s">
        <v>1838</v>
      </c>
      <c r="C629" s="62" t="b">
        <v>0</v>
      </c>
      <c r="D629" s="63" t="s">
        <v>1318</v>
      </c>
      <c r="E629" s="63" t="s">
        <v>691</v>
      </c>
      <c r="F629" s="63" t="s">
        <v>364</v>
      </c>
      <c r="G629" s="63" t="s">
        <v>732</v>
      </c>
      <c r="H629" s="63" t="s">
        <v>1294</v>
      </c>
      <c r="I629" s="66" t="s">
        <v>730</v>
      </c>
      <c r="J629" s="63" t="s">
        <v>1295</v>
      </c>
      <c r="K629" s="63" t="s">
        <v>731</v>
      </c>
      <c r="L629" s="63" t="s">
        <v>1296</v>
      </c>
      <c r="M629" s="63" t="s">
        <v>1297</v>
      </c>
      <c r="N629" s="63" t="s">
        <v>1298</v>
      </c>
      <c r="O629" s="63" t="s">
        <v>1299</v>
      </c>
      <c r="P629" s="63" t="s">
        <v>1300</v>
      </c>
      <c r="Q629" s="50" t="s">
        <v>1301</v>
      </c>
      <c r="R629" s="50" t="s">
        <v>1302</v>
      </c>
      <c r="T629" s="50" t="s">
        <v>1303</v>
      </c>
      <c r="U629" s="50" t="s">
        <v>1303</v>
      </c>
      <c r="V629" s="48">
        <v>0.0</v>
      </c>
      <c r="W629" s="68">
        <v>0.0</v>
      </c>
      <c r="X629" s="50" t="s">
        <v>1304</v>
      </c>
      <c r="Y629" s="50" t="s">
        <v>1305</v>
      </c>
    </row>
    <row r="630">
      <c r="A630" s="65">
        <f>ROW()-ROW(Table_Actions[N])</f>
        <v>394</v>
      </c>
      <c r="B630" s="54" t="s">
        <v>1839</v>
      </c>
      <c r="C630" s="62" t="b">
        <v>0</v>
      </c>
      <c r="D630" s="63" t="s">
        <v>1322</v>
      </c>
      <c r="E630" s="63" t="s">
        <v>691</v>
      </c>
      <c r="F630" s="63" t="s">
        <v>364</v>
      </c>
      <c r="G630" s="63" t="s">
        <v>732</v>
      </c>
      <c r="H630" s="63" t="s">
        <v>1294</v>
      </c>
      <c r="I630" s="66" t="s">
        <v>730</v>
      </c>
      <c r="J630" s="63" t="s">
        <v>1295</v>
      </c>
      <c r="K630" s="63" t="s">
        <v>731</v>
      </c>
      <c r="L630" s="63" t="s">
        <v>1296</v>
      </c>
      <c r="M630" s="63" t="s">
        <v>1297</v>
      </c>
      <c r="N630" s="63" t="s">
        <v>1298</v>
      </c>
      <c r="O630" s="63" t="s">
        <v>1299</v>
      </c>
      <c r="P630" s="63" t="s">
        <v>1300</v>
      </c>
      <c r="Q630" s="50" t="s">
        <v>1301</v>
      </c>
      <c r="R630" s="50" t="s">
        <v>1302</v>
      </c>
      <c r="T630" s="50" t="s">
        <v>1303</v>
      </c>
      <c r="U630" s="50" t="s">
        <v>1303</v>
      </c>
      <c r="V630" s="48">
        <v>0.0</v>
      </c>
      <c r="W630" s="68">
        <v>0.0</v>
      </c>
      <c r="X630" s="50" t="s">
        <v>1304</v>
      </c>
      <c r="Y630" s="50" t="s">
        <v>1305</v>
      </c>
    </row>
    <row r="631">
      <c r="A631" s="65">
        <f>ROW()-ROW(Table_Actions[N])</f>
        <v>395</v>
      </c>
      <c r="B631" s="54" t="s">
        <v>1840</v>
      </c>
      <c r="C631" s="62" t="b">
        <v>1</v>
      </c>
      <c r="D631" s="63" t="s">
        <v>1729</v>
      </c>
      <c r="E631" s="63" t="s">
        <v>361</v>
      </c>
      <c r="F631" s="63" t="s">
        <v>364</v>
      </c>
      <c r="G631" s="63" t="s">
        <v>732</v>
      </c>
      <c r="H631" s="63" t="s">
        <v>1294</v>
      </c>
      <c r="I631" s="66" t="s">
        <v>730</v>
      </c>
      <c r="J631" s="63" t="s">
        <v>1295</v>
      </c>
      <c r="K631" s="63" t="s">
        <v>731</v>
      </c>
      <c r="L631" s="63" t="s">
        <v>1296</v>
      </c>
      <c r="M631" s="63" t="s">
        <v>1297</v>
      </c>
      <c r="N631" s="63" t="s">
        <v>1298</v>
      </c>
      <c r="O631" s="63" t="s">
        <v>1299</v>
      </c>
      <c r="P631" s="63" t="s">
        <v>1300</v>
      </c>
      <c r="Q631" s="50" t="s">
        <v>1301</v>
      </c>
      <c r="R631" s="50" t="s">
        <v>1302</v>
      </c>
      <c r="S631" s="48"/>
      <c r="T631" s="67" t="s">
        <v>1303</v>
      </c>
      <c r="U631" s="67" t="s">
        <v>1303</v>
      </c>
      <c r="V631" s="48">
        <v>4000.0</v>
      </c>
      <c r="W631" s="68">
        <v>0.0</v>
      </c>
      <c r="X631" s="50" t="s">
        <v>1304</v>
      </c>
      <c r="Y631" s="50" t="s">
        <v>1305</v>
      </c>
    </row>
    <row r="632">
      <c r="A632" s="65">
        <f>ROW()-ROW(Table_Actions[N])</f>
        <v>396</v>
      </c>
      <c r="B632" s="54" t="s">
        <v>1250</v>
      </c>
      <c r="C632" s="62" t="b">
        <v>0</v>
      </c>
      <c r="D632" s="63" t="s">
        <v>1318</v>
      </c>
      <c r="E632" s="63" t="s">
        <v>687</v>
      </c>
      <c r="F632" s="63" t="s">
        <v>364</v>
      </c>
      <c r="G632" s="63" t="s">
        <v>732</v>
      </c>
      <c r="H632" s="63" t="s">
        <v>1294</v>
      </c>
      <c r="I632" s="66" t="s">
        <v>730</v>
      </c>
      <c r="J632" s="63" t="s">
        <v>1295</v>
      </c>
      <c r="K632" s="63" t="s">
        <v>731</v>
      </c>
      <c r="L632" s="63" t="s">
        <v>1296</v>
      </c>
      <c r="M632" s="63" t="s">
        <v>1297</v>
      </c>
      <c r="N632" s="63" t="s">
        <v>1298</v>
      </c>
      <c r="O632" s="63" t="s">
        <v>1299</v>
      </c>
      <c r="P632" s="63" t="s">
        <v>1300</v>
      </c>
      <c r="Q632" s="50" t="s">
        <v>1301</v>
      </c>
      <c r="R632" s="50" t="s">
        <v>1302</v>
      </c>
      <c r="T632" s="50" t="s">
        <v>1303</v>
      </c>
      <c r="U632" s="50" t="s">
        <v>1303</v>
      </c>
      <c r="V632" s="48">
        <v>0.0</v>
      </c>
      <c r="W632" s="68">
        <v>0.0</v>
      </c>
      <c r="X632" s="50" t="s">
        <v>1304</v>
      </c>
      <c r="Y632" s="50" t="s">
        <v>1305</v>
      </c>
    </row>
    <row r="633">
      <c r="A633" s="65">
        <f>ROW()-ROW(Table_Actions[N])</f>
        <v>397</v>
      </c>
      <c r="B633" s="54" t="s">
        <v>1841</v>
      </c>
      <c r="C633" s="62" t="b">
        <v>0</v>
      </c>
      <c r="D633" s="63" t="s">
        <v>1326</v>
      </c>
      <c r="E633" s="63" t="s">
        <v>687</v>
      </c>
      <c r="F633" s="63" t="s">
        <v>364</v>
      </c>
      <c r="G633" s="63" t="s">
        <v>13</v>
      </c>
      <c r="H633" s="63" t="s">
        <v>1294</v>
      </c>
      <c r="I633" s="66" t="s">
        <v>730</v>
      </c>
      <c r="J633" s="63" t="s">
        <v>1295</v>
      </c>
      <c r="K633" s="63" t="s">
        <v>731</v>
      </c>
      <c r="L633" s="63" t="s">
        <v>1296</v>
      </c>
      <c r="M633" s="63" t="s">
        <v>1297</v>
      </c>
      <c r="N633" s="63" t="s">
        <v>1298</v>
      </c>
      <c r="O633" s="63" t="s">
        <v>1299</v>
      </c>
      <c r="P633" s="63" t="s">
        <v>1300</v>
      </c>
      <c r="Q633" s="50" t="s">
        <v>1301</v>
      </c>
      <c r="R633" s="50" t="s">
        <v>1302</v>
      </c>
      <c r="T633" s="50" t="s">
        <v>1303</v>
      </c>
      <c r="U633" s="50" t="s">
        <v>1303</v>
      </c>
      <c r="V633" s="48">
        <v>0.0</v>
      </c>
      <c r="W633" s="68">
        <v>0.0</v>
      </c>
      <c r="X633" s="50" t="s">
        <v>1304</v>
      </c>
      <c r="Y633" s="50" t="s">
        <v>1305</v>
      </c>
    </row>
    <row r="634">
      <c r="A634" s="65">
        <f>ROW()-ROW(Table_Actions[N])</f>
        <v>398</v>
      </c>
      <c r="B634" s="54" t="s">
        <v>1842</v>
      </c>
      <c r="C634" s="62" t="b">
        <v>0</v>
      </c>
      <c r="D634" s="63" t="s">
        <v>1322</v>
      </c>
      <c r="E634" s="63" t="s">
        <v>687</v>
      </c>
      <c r="F634" s="63" t="s">
        <v>364</v>
      </c>
      <c r="G634" s="63" t="s">
        <v>732</v>
      </c>
      <c r="H634" s="63" t="s">
        <v>1294</v>
      </c>
      <c r="I634" s="66" t="s">
        <v>730</v>
      </c>
      <c r="J634" s="63" t="s">
        <v>1295</v>
      </c>
      <c r="K634" s="63" t="s">
        <v>731</v>
      </c>
      <c r="L634" s="63" t="s">
        <v>1296</v>
      </c>
      <c r="M634" s="63" t="s">
        <v>1297</v>
      </c>
      <c r="N634" s="63" t="s">
        <v>1298</v>
      </c>
      <c r="O634" s="63" t="s">
        <v>1299</v>
      </c>
      <c r="P634" s="63" t="s">
        <v>1300</v>
      </c>
      <c r="Q634" s="50" t="s">
        <v>1301</v>
      </c>
      <c r="R634" s="50" t="s">
        <v>1302</v>
      </c>
      <c r="T634" s="50" t="s">
        <v>1303</v>
      </c>
      <c r="U634" s="50" t="s">
        <v>1303</v>
      </c>
      <c r="V634" s="48">
        <v>0.0</v>
      </c>
      <c r="W634" s="68">
        <v>0.0</v>
      </c>
      <c r="X634" s="50" t="s">
        <v>1304</v>
      </c>
      <c r="Y634" s="50" t="s">
        <v>1305</v>
      </c>
    </row>
    <row r="635">
      <c r="A635" s="65">
        <f>ROW()-ROW(Table_Actions[N])</f>
        <v>399</v>
      </c>
      <c r="B635" s="54" t="s">
        <v>1252</v>
      </c>
      <c r="C635" s="62" t="b">
        <v>0</v>
      </c>
      <c r="D635" s="63" t="s">
        <v>1315</v>
      </c>
      <c r="E635" s="63" t="s">
        <v>687</v>
      </c>
      <c r="F635" s="63" t="s">
        <v>688</v>
      </c>
      <c r="G635" s="63" t="s">
        <v>732</v>
      </c>
      <c r="H635" s="63" t="s">
        <v>1294</v>
      </c>
      <c r="I635" s="66" t="s">
        <v>730</v>
      </c>
      <c r="J635" s="63" t="s">
        <v>1295</v>
      </c>
      <c r="K635" s="63" t="s">
        <v>731</v>
      </c>
      <c r="L635" s="63" t="s">
        <v>1296</v>
      </c>
      <c r="M635" s="63" t="s">
        <v>1297</v>
      </c>
      <c r="N635" s="63" t="s">
        <v>1298</v>
      </c>
      <c r="O635" s="63" t="s">
        <v>1299</v>
      </c>
      <c r="P635" s="63" t="s">
        <v>1300</v>
      </c>
      <c r="Q635" s="50" t="s">
        <v>1301</v>
      </c>
      <c r="R635" s="50" t="s">
        <v>1302</v>
      </c>
      <c r="S635" s="48"/>
      <c r="T635" s="67" t="s">
        <v>1303</v>
      </c>
      <c r="U635" s="67" t="s">
        <v>1303</v>
      </c>
      <c r="V635" s="48">
        <v>0.0</v>
      </c>
      <c r="W635" s="68">
        <v>0.0</v>
      </c>
      <c r="X635" s="50" t="s">
        <v>1304</v>
      </c>
      <c r="Y635" s="50" t="s">
        <v>1305</v>
      </c>
    </row>
    <row r="636">
      <c r="A636" s="65">
        <f>ROW()-ROW(Table_Actions[N])</f>
        <v>400</v>
      </c>
      <c r="B636" s="54" t="s">
        <v>1049</v>
      </c>
      <c r="C636" s="62" t="b">
        <v>0</v>
      </c>
      <c r="D636" s="63" t="s">
        <v>1843</v>
      </c>
      <c r="E636" s="63" t="s">
        <v>668</v>
      </c>
      <c r="F636" s="63" t="s">
        <v>364</v>
      </c>
      <c r="G636" s="63" t="s">
        <v>732</v>
      </c>
      <c r="H636" s="63" t="s">
        <v>1294</v>
      </c>
      <c r="I636" s="66" t="s">
        <v>730</v>
      </c>
      <c r="J636" s="63" t="s">
        <v>1295</v>
      </c>
      <c r="K636" s="63" t="s">
        <v>731</v>
      </c>
      <c r="L636" s="63" t="s">
        <v>1296</v>
      </c>
      <c r="M636" s="63" t="s">
        <v>1297</v>
      </c>
      <c r="N636" s="63" t="s">
        <v>1298</v>
      </c>
      <c r="O636" s="63" t="s">
        <v>1299</v>
      </c>
      <c r="P636" s="63" t="s">
        <v>1300</v>
      </c>
      <c r="Q636" s="50" t="s">
        <v>1301</v>
      </c>
      <c r="R636" s="50" t="s">
        <v>1302</v>
      </c>
      <c r="S636" s="48"/>
      <c r="T636" s="67" t="s">
        <v>1303</v>
      </c>
      <c r="U636" s="67" t="s">
        <v>1303</v>
      </c>
      <c r="V636" s="48">
        <v>0.0</v>
      </c>
      <c r="W636" s="68">
        <v>0.0</v>
      </c>
      <c r="X636" s="50" t="s">
        <v>1304</v>
      </c>
      <c r="Y636" s="50" t="s">
        <v>1305</v>
      </c>
    </row>
    <row r="637">
      <c r="A637" s="65">
        <f>ROW()-ROW(Table_Actions[N])</f>
        <v>401</v>
      </c>
      <c r="B637" s="54" t="s">
        <v>1051</v>
      </c>
      <c r="C637" s="62" t="b">
        <v>0</v>
      </c>
      <c r="D637" s="63" t="s">
        <v>1843</v>
      </c>
      <c r="E637" s="63" t="s">
        <v>672</v>
      </c>
      <c r="F637" s="63" t="s">
        <v>364</v>
      </c>
      <c r="G637" s="63" t="s">
        <v>732</v>
      </c>
      <c r="H637" s="63" t="s">
        <v>1294</v>
      </c>
      <c r="I637" s="66" t="s">
        <v>730</v>
      </c>
      <c r="J637" s="63" t="s">
        <v>1295</v>
      </c>
      <c r="K637" s="63" t="s">
        <v>731</v>
      </c>
      <c r="L637" s="63" t="s">
        <v>1296</v>
      </c>
      <c r="M637" s="63" t="s">
        <v>1297</v>
      </c>
      <c r="N637" s="63" t="s">
        <v>1298</v>
      </c>
      <c r="O637" s="63" t="s">
        <v>1299</v>
      </c>
      <c r="P637" s="63" t="s">
        <v>1300</v>
      </c>
      <c r="Q637" s="50" t="s">
        <v>1301</v>
      </c>
      <c r="R637" s="50" t="s">
        <v>1302</v>
      </c>
      <c r="S637" s="48"/>
      <c r="T637" s="67" t="s">
        <v>1303</v>
      </c>
      <c r="U637" s="67" t="s">
        <v>1303</v>
      </c>
      <c r="V637" s="48">
        <v>0.0</v>
      </c>
      <c r="W637" s="68">
        <v>0.0</v>
      </c>
      <c r="X637" s="50" t="s">
        <v>1304</v>
      </c>
      <c r="Y637" s="50" t="s">
        <v>1305</v>
      </c>
    </row>
    <row r="638">
      <c r="A638" s="65">
        <f>ROW()-ROW(Table_Actions[N])</f>
        <v>402</v>
      </c>
      <c r="B638" s="54" t="s">
        <v>1053</v>
      </c>
      <c r="C638" s="62" t="b">
        <v>0</v>
      </c>
      <c r="D638" s="63" t="s">
        <v>1843</v>
      </c>
      <c r="E638" s="63" t="s">
        <v>676</v>
      </c>
      <c r="F638" s="63" t="s">
        <v>364</v>
      </c>
      <c r="G638" s="63" t="s">
        <v>732</v>
      </c>
      <c r="H638" s="63" t="s">
        <v>1294</v>
      </c>
      <c r="I638" s="66" t="s">
        <v>730</v>
      </c>
      <c r="J638" s="63" t="s">
        <v>1295</v>
      </c>
      <c r="K638" s="63" t="s">
        <v>731</v>
      </c>
      <c r="L638" s="63" t="s">
        <v>1296</v>
      </c>
      <c r="M638" s="63" t="s">
        <v>1297</v>
      </c>
      <c r="N638" s="63" t="s">
        <v>1298</v>
      </c>
      <c r="O638" s="63" t="s">
        <v>1299</v>
      </c>
      <c r="P638" s="63" t="s">
        <v>1300</v>
      </c>
      <c r="Q638" s="50" t="s">
        <v>1301</v>
      </c>
      <c r="R638" s="50" t="s">
        <v>1302</v>
      </c>
      <c r="S638" s="48"/>
      <c r="T638" s="67" t="s">
        <v>1303</v>
      </c>
      <c r="U638" s="67" t="s">
        <v>1303</v>
      </c>
      <c r="V638" s="48">
        <v>0.0</v>
      </c>
      <c r="W638" s="68">
        <v>0.0</v>
      </c>
      <c r="X638" s="50" t="s">
        <v>1304</v>
      </c>
      <c r="Y638" s="50" t="s">
        <v>1305</v>
      </c>
    </row>
    <row r="639">
      <c r="A639" s="65">
        <f>ROW()-ROW(Table_Actions[N])</f>
        <v>403</v>
      </c>
      <c r="B639" s="54" t="s">
        <v>1055</v>
      </c>
      <c r="C639" s="62" t="b">
        <v>0</v>
      </c>
      <c r="D639" s="63" t="s">
        <v>1843</v>
      </c>
      <c r="E639" s="63" t="s">
        <v>680</v>
      </c>
      <c r="F639" s="63" t="s">
        <v>364</v>
      </c>
      <c r="G639" s="63" t="s">
        <v>732</v>
      </c>
      <c r="H639" s="63" t="s">
        <v>1294</v>
      </c>
      <c r="I639" s="66" t="s">
        <v>730</v>
      </c>
      <c r="J639" s="63" t="s">
        <v>1295</v>
      </c>
      <c r="K639" s="63" t="s">
        <v>731</v>
      </c>
      <c r="L639" s="63" t="s">
        <v>1296</v>
      </c>
      <c r="M639" s="63" t="s">
        <v>1297</v>
      </c>
      <c r="N639" s="63" t="s">
        <v>1298</v>
      </c>
      <c r="O639" s="63" t="s">
        <v>1299</v>
      </c>
      <c r="P639" s="63" t="s">
        <v>1300</v>
      </c>
      <c r="Q639" s="50" t="s">
        <v>1301</v>
      </c>
      <c r="R639" s="50" t="s">
        <v>1302</v>
      </c>
      <c r="S639" s="48"/>
      <c r="T639" s="67" t="s">
        <v>1303</v>
      </c>
      <c r="U639" s="67" t="s">
        <v>1303</v>
      </c>
      <c r="V639" s="48">
        <v>0.0</v>
      </c>
      <c r="W639" s="68">
        <v>0.0</v>
      </c>
      <c r="X639" s="50" t="s">
        <v>1304</v>
      </c>
      <c r="Y639" s="50" t="s">
        <v>1305</v>
      </c>
    </row>
    <row r="640">
      <c r="A640" s="65">
        <f>ROW()-ROW(Table_Actions[N])</f>
        <v>404</v>
      </c>
      <c r="B640" s="54" t="s">
        <v>1057</v>
      </c>
      <c r="C640" s="62" t="b">
        <v>0</v>
      </c>
      <c r="D640" s="63" t="s">
        <v>1844</v>
      </c>
      <c r="E640" s="63" t="s">
        <v>361</v>
      </c>
      <c r="F640" s="63" t="s">
        <v>364</v>
      </c>
      <c r="G640" s="63" t="s">
        <v>732</v>
      </c>
      <c r="H640" s="63" t="s">
        <v>1294</v>
      </c>
      <c r="I640" s="66" t="s">
        <v>730</v>
      </c>
      <c r="J640" s="63" t="s">
        <v>1295</v>
      </c>
      <c r="K640" s="63" t="s">
        <v>731</v>
      </c>
      <c r="L640" s="63" t="s">
        <v>1296</v>
      </c>
      <c r="M640" s="63" t="s">
        <v>1297</v>
      </c>
      <c r="N640" s="63" t="s">
        <v>1298</v>
      </c>
      <c r="O640" s="63" t="s">
        <v>1299</v>
      </c>
      <c r="P640" s="63" t="s">
        <v>1300</v>
      </c>
      <c r="Q640" s="50" t="s">
        <v>1301</v>
      </c>
      <c r="R640" s="50" t="s">
        <v>1302</v>
      </c>
      <c r="S640" s="48"/>
      <c r="T640" s="67" t="s">
        <v>1303</v>
      </c>
      <c r="U640" s="67" t="s">
        <v>1303</v>
      </c>
      <c r="V640" s="48">
        <v>0.0</v>
      </c>
      <c r="W640" s="68">
        <v>0.0</v>
      </c>
      <c r="X640" s="50" t="s">
        <v>1845</v>
      </c>
      <c r="Y640" s="50" t="s">
        <v>1305</v>
      </c>
    </row>
    <row r="641">
      <c r="A641" s="65">
        <f>ROW()-ROW(Table_Actions[N])</f>
        <v>405</v>
      </c>
      <c r="B641" s="54" t="s">
        <v>1059</v>
      </c>
      <c r="C641" s="62" t="b">
        <v>0</v>
      </c>
      <c r="D641" s="63" t="s">
        <v>1844</v>
      </c>
      <c r="E641" s="63" t="s">
        <v>361</v>
      </c>
      <c r="F641" s="63" t="s">
        <v>364</v>
      </c>
      <c r="G641" s="63" t="s">
        <v>732</v>
      </c>
      <c r="H641" s="63" t="s">
        <v>1294</v>
      </c>
      <c r="I641" s="66" t="s">
        <v>730</v>
      </c>
      <c r="J641" s="63" t="s">
        <v>1295</v>
      </c>
      <c r="K641" s="63" t="s">
        <v>731</v>
      </c>
      <c r="L641" s="63" t="s">
        <v>1296</v>
      </c>
      <c r="M641" s="63" t="s">
        <v>1297</v>
      </c>
      <c r="N641" s="63" t="s">
        <v>1298</v>
      </c>
      <c r="O641" s="63" t="s">
        <v>1299</v>
      </c>
      <c r="P641" s="63" t="s">
        <v>1300</v>
      </c>
      <c r="Q641" s="50" t="s">
        <v>1301</v>
      </c>
      <c r="R641" s="50" t="s">
        <v>1302</v>
      </c>
      <c r="S641" s="48"/>
      <c r="T641" s="67" t="s">
        <v>1303</v>
      </c>
      <c r="U641" s="67" t="s">
        <v>1303</v>
      </c>
      <c r="V641" s="48">
        <v>0.0</v>
      </c>
      <c r="W641" s="68">
        <v>0.0</v>
      </c>
      <c r="X641" s="50" t="s">
        <v>1846</v>
      </c>
      <c r="Y641" s="50" t="s">
        <v>1305</v>
      </c>
    </row>
    <row r="642">
      <c r="A642" s="65">
        <f>ROW()-ROW(Table_Actions[N])</f>
        <v>406</v>
      </c>
      <c r="B642" s="54" t="s">
        <v>1061</v>
      </c>
      <c r="C642" s="62" t="b">
        <v>0</v>
      </c>
      <c r="D642" s="63" t="s">
        <v>1844</v>
      </c>
      <c r="E642" s="63" t="s">
        <v>361</v>
      </c>
      <c r="F642" s="63" t="s">
        <v>364</v>
      </c>
      <c r="G642" s="63" t="s">
        <v>732</v>
      </c>
      <c r="H642" s="63" t="s">
        <v>1294</v>
      </c>
      <c r="I642" s="66" t="s">
        <v>730</v>
      </c>
      <c r="J642" s="63" t="s">
        <v>1295</v>
      </c>
      <c r="K642" s="63" t="s">
        <v>731</v>
      </c>
      <c r="L642" s="63" t="s">
        <v>1296</v>
      </c>
      <c r="M642" s="63" t="s">
        <v>1297</v>
      </c>
      <c r="N642" s="63" t="s">
        <v>1298</v>
      </c>
      <c r="O642" s="63" t="s">
        <v>1299</v>
      </c>
      <c r="P642" s="63" t="s">
        <v>1300</v>
      </c>
      <c r="Q642" s="50" t="s">
        <v>1301</v>
      </c>
      <c r="R642" s="50" t="s">
        <v>1302</v>
      </c>
      <c r="S642" s="48"/>
      <c r="T642" s="67" t="s">
        <v>1303</v>
      </c>
      <c r="U642" s="67" t="s">
        <v>1303</v>
      </c>
      <c r="V642" s="48">
        <v>0.0</v>
      </c>
      <c r="W642" s="68">
        <v>0.0</v>
      </c>
      <c r="X642" s="50" t="s">
        <v>1847</v>
      </c>
      <c r="Y642" s="50" t="s">
        <v>1305</v>
      </c>
    </row>
    <row r="643">
      <c r="A643" s="65">
        <f>ROW()-ROW(Table_Actions[N])</f>
        <v>407</v>
      </c>
      <c r="B643" s="54" t="s">
        <v>1063</v>
      </c>
      <c r="C643" s="62" t="b">
        <v>0</v>
      </c>
      <c r="D643" s="63" t="s">
        <v>1844</v>
      </c>
      <c r="E643" s="63" t="s">
        <v>361</v>
      </c>
      <c r="F643" s="63" t="s">
        <v>364</v>
      </c>
      <c r="G643" s="63" t="s">
        <v>732</v>
      </c>
      <c r="H643" s="63" t="s">
        <v>1294</v>
      </c>
      <c r="I643" s="66" t="s">
        <v>730</v>
      </c>
      <c r="J643" s="63" t="s">
        <v>1295</v>
      </c>
      <c r="K643" s="63" t="s">
        <v>731</v>
      </c>
      <c r="L643" s="63" t="s">
        <v>1296</v>
      </c>
      <c r="M643" s="63" t="s">
        <v>1297</v>
      </c>
      <c r="N643" s="63" t="s">
        <v>1298</v>
      </c>
      <c r="O643" s="63" t="s">
        <v>1299</v>
      </c>
      <c r="P643" s="63" t="s">
        <v>1300</v>
      </c>
      <c r="Q643" s="50" t="s">
        <v>1301</v>
      </c>
      <c r="R643" s="50" t="s">
        <v>1302</v>
      </c>
      <c r="S643" s="48"/>
      <c r="T643" s="67" t="s">
        <v>1303</v>
      </c>
      <c r="U643" s="67" t="s">
        <v>1303</v>
      </c>
      <c r="V643" s="48">
        <v>0.0</v>
      </c>
      <c r="W643" s="68">
        <v>0.0</v>
      </c>
      <c r="X643" s="50" t="s">
        <v>1848</v>
      </c>
      <c r="Y643" s="50" t="s">
        <v>1305</v>
      </c>
    </row>
    <row r="644">
      <c r="A644" s="65">
        <f>ROW()-ROW(Table_Actions[N])</f>
        <v>408</v>
      </c>
      <c r="B644" s="54" t="s">
        <v>1065</v>
      </c>
      <c r="C644" s="62" t="b">
        <v>0</v>
      </c>
      <c r="D644" s="63" t="s">
        <v>1844</v>
      </c>
      <c r="E644" s="63" t="s">
        <v>361</v>
      </c>
      <c r="F644" s="63" t="s">
        <v>364</v>
      </c>
      <c r="G644" s="63" t="s">
        <v>732</v>
      </c>
      <c r="H644" s="63" t="s">
        <v>1294</v>
      </c>
      <c r="I644" s="66" t="s">
        <v>730</v>
      </c>
      <c r="J644" s="63" t="s">
        <v>1295</v>
      </c>
      <c r="K644" s="63" t="s">
        <v>731</v>
      </c>
      <c r="L644" s="63" t="s">
        <v>1296</v>
      </c>
      <c r="M644" s="63" t="s">
        <v>1297</v>
      </c>
      <c r="N644" s="63" t="s">
        <v>1298</v>
      </c>
      <c r="O644" s="63" t="s">
        <v>1299</v>
      </c>
      <c r="P644" s="63" t="s">
        <v>1300</v>
      </c>
      <c r="Q644" s="50" t="s">
        <v>1301</v>
      </c>
      <c r="R644" s="50" t="s">
        <v>1302</v>
      </c>
      <c r="S644" s="48"/>
      <c r="T644" s="67" t="s">
        <v>1303</v>
      </c>
      <c r="U644" s="67" t="s">
        <v>1303</v>
      </c>
      <c r="V644" s="48">
        <v>0.0</v>
      </c>
      <c r="W644" s="68">
        <v>0.0</v>
      </c>
      <c r="X644" s="50" t="s">
        <v>1849</v>
      </c>
      <c r="Y644" s="50" t="s">
        <v>1305</v>
      </c>
    </row>
    <row r="645">
      <c r="A645" s="65">
        <f>ROW()-ROW(Table_Actions[N])</f>
        <v>409</v>
      </c>
      <c r="B645" s="54" t="s">
        <v>1850</v>
      </c>
      <c r="C645" s="62" t="b">
        <v>1</v>
      </c>
      <c r="D645" s="63" t="s">
        <v>1773</v>
      </c>
      <c r="E645" s="63" t="s">
        <v>361</v>
      </c>
      <c r="F645" s="63" t="s">
        <v>364</v>
      </c>
      <c r="G645" s="63" t="s">
        <v>732</v>
      </c>
      <c r="H645" s="63" t="s">
        <v>1294</v>
      </c>
      <c r="I645" s="66" t="s">
        <v>730</v>
      </c>
      <c r="J645" s="63" t="s">
        <v>1295</v>
      </c>
      <c r="K645" s="63" t="s">
        <v>731</v>
      </c>
      <c r="L645" s="63" t="s">
        <v>1296</v>
      </c>
      <c r="M645" s="63" t="s">
        <v>1297</v>
      </c>
      <c r="N645" s="63" t="s">
        <v>1298</v>
      </c>
      <c r="O645" s="63" t="s">
        <v>1299</v>
      </c>
      <c r="P645" s="63" t="s">
        <v>1851</v>
      </c>
      <c r="Q645" s="50" t="s">
        <v>1301</v>
      </c>
      <c r="R645" s="50" t="s">
        <v>1302</v>
      </c>
      <c r="S645" s="48"/>
      <c r="T645" s="67" t="s">
        <v>1303</v>
      </c>
      <c r="U645" s="67" t="s">
        <v>1303</v>
      </c>
      <c r="V645" s="48">
        <v>0.0</v>
      </c>
      <c r="W645" s="68">
        <v>0.0</v>
      </c>
      <c r="X645" s="50" t="s">
        <v>1304</v>
      </c>
      <c r="Y645" s="50" t="s">
        <v>1305</v>
      </c>
    </row>
    <row r="646">
      <c r="A646" s="65">
        <f>ROW()-ROW(Table_Actions[N])</f>
        <v>410</v>
      </c>
      <c r="B646" s="54" t="s">
        <v>1852</v>
      </c>
      <c r="C646" s="62" t="b">
        <v>1</v>
      </c>
      <c r="D646" s="63" t="s">
        <v>1773</v>
      </c>
      <c r="E646" s="63" t="s">
        <v>361</v>
      </c>
      <c r="F646" s="63" t="s">
        <v>364</v>
      </c>
      <c r="G646" s="63" t="s">
        <v>732</v>
      </c>
      <c r="H646" s="63" t="s">
        <v>1294</v>
      </c>
      <c r="I646" s="66" t="s">
        <v>730</v>
      </c>
      <c r="J646" s="63" t="s">
        <v>1295</v>
      </c>
      <c r="K646" s="63" t="s">
        <v>731</v>
      </c>
      <c r="L646" s="63" t="s">
        <v>1296</v>
      </c>
      <c r="M646" s="63" t="s">
        <v>1297</v>
      </c>
      <c r="N646" s="63" t="s">
        <v>1298</v>
      </c>
      <c r="O646" s="63" t="s">
        <v>1299</v>
      </c>
      <c r="P646" s="63" t="s">
        <v>1853</v>
      </c>
      <c r="Q646" s="50" t="s">
        <v>1301</v>
      </c>
      <c r="R646" s="50" t="s">
        <v>1302</v>
      </c>
      <c r="S646" s="48"/>
      <c r="T646" s="67" t="s">
        <v>1303</v>
      </c>
      <c r="U646" s="67" t="s">
        <v>1303</v>
      </c>
      <c r="V646" s="48">
        <v>0.0</v>
      </c>
      <c r="W646" s="68">
        <v>0.0</v>
      </c>
      <c r="X646" s="50" t="s">
        <v>1304</v>
      </c>
      <c r="Y646" s="50" t="s">
        <v>1305</v>
      </c>
    </row>
    <row r="647">
      <c r="A647" s="65">
        <f>ROW()-ROW(Table_Actions[N])</f>
        <v>411</v>
      </c>
      <c r="B647" s="54" t="s">
        <v>1854</v>
      </c>
      <c r="C647" s="62" t="b">
        <v>1</v>
      </c>
      <c r="D647" s="63" t="s">
        <v>1773</v>
      </c>
      <c r="E647" s="63" t="s">
        <v>361</v>
      </c>
      <c r="F647" s="63" t="s">
        <v>364</v>
      </c>
      <c r="G647" s="63" t="s">
        <v>732</v>
      </c>
      <c r="H647" s="63" t="s">
        <v>1294</v>
      </c>
      <c r="I647" s="66" t="s">
        <v>730</v>
      </c>
      <c r="J647" s="63" t="s">
        <v>1295</v>
      </c>
      <c r="K647" s="63" t="s">
        <v>731</v>
      </c>
      <c r="L647" s="63" t="s">
        <v>1296</v>
      </c>
      <c r="M647" s="63" t="s">
        <v>1297</v>
      </c>
      <c r="N647" s="63" t="s">
        <v>1298</v>
      </c>
      <c r="O647" s="63" t="s">
        <v>1299</v>
      </c>
      <c r="P647" s="63" t="s">
        <v>1855</v>
      </c>
      <c r="Q647" s="50" t="s">
        <v>1301</v>
      </c>
      <c r="R647" s="50" t="s">
        <v>1302</v>
      </c>
      <c r="S647" s="48"/>
      <c r="T647" s="67" t="s">
        <v>1303</v>
      </c>
      <c r="U647" s="67" t="s">
        <v>1303</v>
      </c>
      <c r="V647" s="48">
        <v>0.0</v>
      </c>
      <c r="W647" s="68">
        <v>0.0</v>
      </c>
      <c r="X647" s="50" t="s">
        <v>1304</v>
      </c>
      <c r="Y647" s="50" t="s">
        <v>1305</v>
      </c>
    </row>
    <row r="648">
      <c r="A648" s="65">
        <f>ROW()-ROW(Table_Actions[N])</f>
        <v>412</v>
      </c>
      <c r="B648" s="54" t="s">
        <v>1856</v>
      </c>
      <c r="C648" s="62" t="b">
        <v>1</v>
      </c>
      <c r="D648" s="63" t="s">
        <v>1773</v>
      </c>
      <c r="E648" s="63" t="s">
        <v>361</v>
      </c>
      <c r="F648" s="63" t="s">
        <v>364</v>
      </c>
      <c r="G648" s="63" t="s">
        <v>732</v>
      </c>
      <c r="H648" s="63" t="s">
        <v>1294</v>
      </c>
      <c r="I648" s="66" t="s">
        <v>730</v>
      </c>
      <c r="J648" s="63" t="s">
        <v>1295</v>
      </c>
      <c r="K648" s="63" t="s">
        <v>731</v>
      </c>
      <c r="L648" s="63" t="s">
        <v>1296</v>
      </c>
      <c r="M648" s="63" t="s">
        <v>1297</v>
      </c>
      <c r="N648" s="63" t="s">
        <v>1298</v>
      </c>
      <c r="O648" s="63" t="s">
        <v>1299</v>
      </c>
      <c r="P648" s="63" t="s">
        <v>1857</v>
      </c>
      <c r="Q648" s="50" t="s">
        <v>1301</v>
      </c>
      <c r="R648" s="50" t="s">
        <v>1302</v>
      </c>
      <c r="S648" s="48"/>
      <c r="T648" s="67" t="s">
        <v>1303</v>
      </c>
      <c r="U648" s="67" t="s">
        <v>1303</v>
      </c>
      <c r="V648" s="48">
        <v>0.0</v>
      </c>
      <c r="W648" s="68">
        <v>0.0</v>
      </c>
      <c r="X648" s="50" t="s">
        <v>1304</v>
      </c>
      <c r="Y648" s="50" t="s">
        <v>1305</v>
      </c>
    </row>
    <row r="649">
      <c r="A649" s="65">
        <f>ROW()-ROW(Table_Actions[N])</f>
        <v>413</v>
      </c>
      <c r="B649" s="54" t="s">
        <v>1858</v>
      </c>
      <c r="C649" s="62" t="b">
        <v>1</v>
      </c>
      <c r="D649" s="63" t="s">
        <v>1773</v>
      </c>
      <c r="E649" s="63" t="s">
        <v>361</v>
      </c>
      <c r="F649" s="63" t="s">
        <v>364</v>
      </c>
      <c r="G649" s="63" t="s">
        <v>732</v>
      </c>
      <c r="H649" s="63" t="s">
        <v>1294</v>
      </c>
      <c r="I649" s="66" t="s">
        <v>730</v>
      </c>
      <c r="J649" s="63" t="s">
        <v>1295</v>
      </c>
      <c r="K649" s="63" t="s">
        <v>731</v>
      </c>
      <c r="L649" s="63" t="s">
        <v>1296</v>
      </c>
      <c r="M649" s="63" t="s">
        <v>1297</v>
      </c>
      <c r="N649" s="63" t="s">
        <v>1298</v>
      </c>
      <c r="O649" s="63" t="s">
        <v>1299</v>
      </c>
      <c r="P649" s="63" t="s">
        <v>1859</v>
      </c>
      <c r="Q649" s="50" t="s">
        <v>1301</v>
      </c>
      <c r="R649" s="50" t="s">
        <v>1302</v>
      </c>
      <c r="S649" s="48"/>
      <c r="T649" s="67" t="s">
        <v>1303</v>
      </c>
      <c r="U649" s="67" t="s">
        <v>1303</v>
      </c>
      <c r="V649" s="48">
        <v>0.0</v>
      </c>
      <c r="W649" s="68">
        <v>0.0</v>
      </c>
      <c r="X649" s="50" t="s">
        <v>1304</v>
      </c>
      <c r="Y649" s="50" t="s">
        <v>1305</v>
      </c>
    </row>
    <row r="650">
      <c r="A650" s="65">
        <f>ROW()-ROW(Table_Actions[N])</f>
        <v>414</v>
      </c>
      <c r="B650" s="54" t="s">
        <v>1860</v>
      </c>
      <c r="C650" s="62" t="b">
        <v>0</v>
      </c>
      <c r="D650" s="63" t="s">
        <v>1844</v>
      </c>
      <c r="E650" s="63" t="s">
        <v>361</v>
      </c>
      <c r="F650" s="63" t="s">
        <v>364</v>
      </c>
      <c r="G650" s="63" t="s">
        <v>732</v>
      </c>
      <c r="H650" s="63" t="s">
        <v>1294</v>
      </c>
      <c r="I650" s="66" t="s">
        <v>730</v>
      </c>
      <c r="J650" s="63" t="s">
        <v>1295</v>
      </c>
      <c r="K650" s="63" t="s">
        <v>731</v>
      </c>
      <c r="L650" s="63" t="s">
        <v>1296</v>
      </c>
      <c r="M650" s="63" t="s">
        <v>1297</v>
      </c>
      <c r="N650" s="63" t="s">
        <v>1298</v>
      </c>
      <c r="O650" s="63" t="s">
        <v>1299</v>
      </c>
      <c r="P650" s="63" t="s">
        <v>1300</v>
      </c>
      <c r="Q650" s="50" t="s">
        <v>1301</v>
      </c>
      <c r="R650" s="50" t="s">
        <v>1302</v>
      </c>
      <c r="S650" s="48"/>
      <c r="T650" s="67" t="s">
        <v>1303</v>
      </c>
      <c r="U650" s="67" t="s">
        <v>1303</v>
      </c>
      <c r="V650" s="48">
        <v>0.0</v>
      </c>
      <c r="W650" s="68">
        <v>0.0</v>
      </c>
      <c r="X650" s="50" t="s">
        <v>1861</v>
      </c>
      <c r="Y650" s="50" t="s">
        <v>1305</v>
      </c>
    </row>
    <row r="651">
      <c r="A651" s="65">
        <f>ROW()-ROW(Table_Actions[N])</f>
        <v>415</v>
      </c>
      <c r="B651" s="54" t="s">
        <v>1254</v>
      </c>
      <c r="C651" s="62" t="b">
        <v>0</v>
      </c>
      <c r="D651" s="63" t="s">
        <v>1844</v>
      </c>
      <c r="E651" s="63" t="s">
        <v>361</v>
      </c>
      <c r="F651" s="63" t="s">
        <v>364</v>
      </c>
      <c r="G651" s="63" t="s">
        <v>732</v>
      </c>
      <c r="H651" s="63" t="s">
        <v>1294</v>
      </c>
      <c r="I651" s="66" t="s">
        <v>730</v>
      </c>
      <c r="J651" s="63" t="s">
        <v>1295</v>
      </c>
      <c r="K651" s="63" t="s">
        <v>731</v>
      </c>
      <c r="L651" s="63" t="s">
        <v>1296</v>
      </c>
      <c r="M651" s="63" t="s">
        <v>1297</v>
      </c>
      <c r="N651" s="63" t="s">
        <v>1298</v>
      </c>
      <c r="O651" s="63" t="s">
        <v>1299</v>
      </c>
      <c r="P651" s="63" t="s">
        <v>1300</v>
      </c>
      <c r="Q651" s="50" t="s">
        <v>1301</v>
      </c>
      <c r="R651" s="50" t="s">
        <v>1302</v>
      </c>
      <c r="S651" s="48"/>
      <c r="T651" s="67" t="s">
        <v>1303</v>
      </c>
      <c r="U651" s="67" t="s">
        <v>1303</v>
      </c>
      <c r="V651" s="48">
        <v>0.0</v>
      </c>
      <c r="W651" s="68">
        <v>0.0</v>
      </c>
      <c r="X651" s="50" t="s">
        <v>1862</v>
      </c>
      <c r="Y651" s="50" t="s">
        <v>1305</v>
      </c>
    </row>
    <row r="652">
      <c r="A652" s="65">
        <f>ROW()-ROW(Table_Actions[N])</f>
        <v>416</v>
      </c>
      <c r="B652" s="54" t="s">
        <v>1863</v>
      </c>
      <c r="C652" s="62" t="b">
        <v>0</v>
      </c>
      <c r="D652" s="63" t="s">
        <v>1844</v>
      </c>
      <c r="E652" s="63" t="s">
        <v>361</v>
      </c>
      <c r="F652" s="63" t="s">
        <v>364</v>
      </c>
      <c r="G652" s="63" t="s">
        <v>732</v>
      </c>
      <c r="H652" s="63" t="s">
        <v>1294</v>
      </c>
      <c r="I652" s="66" t="s">
        <v>730</v>
      </c>
      <c r="J652" s="63" t="s">
        <v>1295</v>
      </c>
      <c r="K652" s="63" t="s">
        <v>731</v>
      </c>
      <c r="L652" s="63" t="s">
        <v>1296</v>
      </c>
      <c r="M652" s="63" t="s">
        <v>1297</v>
      </c>
      <c r="N652" s="63" t="s">
        <v>1298</v>
      </c>
      <c r="O652" s="63" t="s">
        <v>1299</v>
      </c>
      <c r="P652" s="63" t="s">
        <v>1300</v>
      </c>
      <c r="Q652" s="50" t="s">
        <v>1301</v>
      </c>
      <c r="R652" s="50" t="s">
        <v>1302</v>
      </c>
      <c r="S652" s="48"/>
      <c r="T652" s="67" t="s">
        <v>1303</v>
      </c>
      <c r="U652" s="67" t="s">
        <v>1303</v>
      </c>
      <c r="V652" s="48">
        <v>0.0</v>
      </c>
      <c r="W652" s="68">
        <v>2000.0</v>
      </c>
      <c r="X652" s="50" t="s">
        <v>1864</v>
      </c>
      <c r="Y652" s="50" t="s">
        <v>1305</v>
      </c>
    </row>
    <row r="653">
      <c r="A653" s="65">
        <f>ROW()-ROW(Table_Actions[N])</f>
        <v>417</v>
      </c>
      <c r="B653" s="54" t="s">
        <v>1865</v>
      </c>
      <c r="C653" s="62" t="b">
        <v>0</v>
      </c>
      <c r="D653" s="63" t="s">
        <v>1844</v>
      </c>
      <c r="E653" s="63" t="s">
        <v>361</v>
      </c>
      <c r="F653" s="63" t="s">
        <v>364</v>
      </c>
      <c r="G653" s="63" t="s">
        <v>732</v>
      </c>
      <c r="H653" s="63" t="s">
        <v>1294</v>
      </c>
      <c r="I653" s="66" t="s">
        <v>730</v>
      </c>
      <c r="J653" s="63" t="s">
        <v>1295</v>
      </c>
      <c r="K653" s="63" t="s">
        <v>731</v>
      </c>
      <c r="L653" s="63" t="s">
        <v>1296</v>
      </c>
      <c r="M653" s="63" t="s">
        <v>1297</v>
      </c>
      <c r="N653" s="63" t="s">
        <v>1298</v>
      </c>
      <c r="O653" s="63" t="s">
        <v>1299</v>
      </c>
      <c r="P653" s="63" t="s">
        <v>1300</v>
      </c>
      <c r="Q653" s="50" t="s">
        <v>1301</v>
      </c>
      <c r="R653" s="50" t="s">
        <v>1302</v>
      </c>
      <c r="S653" s="48"/>
      <c r="T653" s="67" t="s">
        <v>1303</v>
      </c>
      <c r="U653" s="67" t="s">
        <v>1303</v>
      </c>
      <c r="V653" s="48">
        <v>0.0</v>
      </c>
      <c r="W653" s="68">
        <v>0.0</v>
      </c>
      <c r="X653" s="50" t="s">
        <v>1866</v>
      </c>
      <c r="Y653" s="50" t="s">
        <v>1305</v>
      </c>
    </row>
    <row r="654">
      <c r="A654" s="65">
        <f>ROW()-ROW(Table_Actions[N])</f>
        <v>418</v>
      </c>
      <c r="B654" s="54" t="s">
        <v>1867</v>
      </c>
      <c r="C654" s="62" t="b">
        <v>0</v>
      </c>
      <c r="D654" s="63" t="s">
        <v>1350</v>
      </c>
      <c r="E654" s="63" t="s">
        <v>361</v>
      </c>
      <c r="F654" s="63" t="s">
        <v>364</v>
      </c>
      <c r="G654" s="63" t="s">
        <v>732</v>
      </c>
      <c r="H654" s="63" t="s">
        <v>1294</v>
      </c>
      <c r="I654" s="66" t="s">
        <v>730</v>
      </c>
      <c r="J654" s="63" t="s">
        <v>1295</v>
      </c>
      <c r="K654" s="63" t="s">
        <v>731</v>
      </c>
      <c r="L654" s="63" t="s">
        <v>1353</v>
      </c>
      <c r="M654" s="63" t="s">
        <v>1297</v>
      </c>
      <c r="N654" s="63" t="s">
        <v>1868</v>
      </c>
      <c r="O654" s="63" t="s">
        <v>1299</v>
      </c>
      <c r="P654" s="63" t="s">
        <v>1300</v>
      </c>
      <c r="Q654" s="50" t="s">
        <v>1301</v>
      </c>
      <c r="R654" s="50" t="s">
        <v>1302</v>
      </c>
      <c r="S654" s="48"/>
      <c r="T654" s="50" t="s">
        <v>1303</v>
      </c>
      <c r="U654" s="50" t="s">
        <v>1303</v>
      </c>
      <c r="V654" s="48">
        <v>0.0</v>
      </c>
      <c r="W654" s="68">
        <v>0.0</v>
      </c>
      <c r="X654" s="50" t="s">
        <v>1304</v>
      </c>
      <c r="Y654" s="50" t="s">
        <v>1305</v>
      </c>
    </row>
    <row r="655">
      <c r="A655" s="65">
        <f>ROW()-ROW(Table_Actions[N])</f>
        <v>419</v>
      </c>
      <c r="B655" s="54" t="s">
        <v>1869</v>
      </c>
      <c r="C655" s="62" t="b">
        <v>0</v>
      </c>
      <c r="D655" s="63" t="s">
        <v>1310</v>
      </c>
      <c r="E655" s="63" t="s">
        <v>361</v>
      </c>
      <c r="F655" s="63" t="s">
        <v>364</v>
      </c>
      <c r="G655" s="63" t="s">
        <v>732</v>
      </c>
      <c r="H655" s="63" t="s">
        <v>1294</v>
      </c>
      <c r="I655" s="66" t="s">
        <v>1870</v>
      </c>
      <c r="J655" s="63" t="s">
        <v>1295</v>
      </c>
      <c r="K655" s="63" t="s">
        <v>731</v>
      </c>
      <c r="L655" s="63" t="s">
        <v>1296</v>
      </c>
      <c r="M655" s="63" t="s">
        <v>1297</v>
      </c>
      <c r="N655" s="63" t="s">
        <v>1298</v>
      </c>
      <c r="O655" s="63" t="s">
        <v>1299</v>
      </c>
      <c r="P655" s="63" t="s">
        <v>1300</v>
      </c>
      <c r="Q655" s="50" t="s">
        <v>1301</v>
      </c>
      <c r="R655" s="50" t="s">
        <v>1302</v>
      </c>
      <c r="S655" s="48"/>
      <c r="T655" s="50" t="s">
        <v>1303</v>
      </c>
      <c r="U655" s="50" t="s">
        <v>1303</v>
      </c>
      <c r="V655" s="48">
        <v>0.0</v>
      </c>
      <c r="W655" s="68">
        <v>0.0</v>
      </c>
      <c r="X655" s="50" t="s">
        <v>1304</v>
      </c>
      <c r="Y655" s="50" t="s">
        <v>1305</v>
      </c>
    </row>
    <row r="656">
      <c r="A656" s="65">
        <f>ROW()-ROW(Table_Actions[N])</f>
        <v>420</v>
      </c>
      <c r="B656" s="54" t="s">
        <v>1871</v>
      </c>
      <c r="C656" s="62" t="b">
        <v>0</v>
      </c>
      <c r="D656" s="63" t="s">
        <v>1312</v>
      </c>
      <c r="E656" s="63" t="s">
        <v>361</v>
      </c>
      <c r="F656" s="63" t="s">
        <v>364</v>
      </c>
      <c r="G656" s="63" t="s">
        <v>732</v>
      </c>
      <c r="H656" s="63" t="s">
        <v>1872</v>
      </c>
      <c r="I656" s="66" t="s">
        <v>730</v>
      </c>
      <c r="J656" s="63" t="s">
        <v>1295</v>
      </c>
      <c r="K656" s="63" t="s">
        <v>731</v>
      </c>
      <c r="L656" s="63" t="s">
        <v>1296</v>
      </c>
      <c r="M656" s="63" t="s">
        <v>1297</v>
      </c>
      <c r="N656" s="63" t="s">
        <v>1298</v>
      </c>
      <c r="O656" s="63" t="s">
        <v>1299</v>
      </c>
      <c r="P656" s="63" t="s">
        <v>1300</v>
      </c>
      <c r="Q656" s="50" t="s">
        <v>1301</v>
      </c>
      <c r="R656" s="50" t="s">
        <v>1302</v>
      </c>
      <c r="S656" s="48"/>
      <c r="T656" s="67" t="s">
        <v>1303</v>
      </c>
      <c r="U656" s="67" t="s">
        <v>1303</v>
      </c>
      <c r="V656" s="48">
        <v>0.0</v>
      </c>
      <c r="W656" s="68">
        <v>0.0</v>
      </c>
      <c r="X656" s="50" t="s">
        <v>1304</v>
      </c>
      <c r="Y656" s="50" t="s">
        <v>1305</v>
      </c>
    </row>
    <row r="657">
      <c r="A657" s="65">
        <f>ROW()-ROW(Table_Actions[N])</f>
        <v>421</v>
      </c>
      <c r="B657" s="54" t="s">
        <v>1873</v>
      </c>
      <c r="C657" s="62" t="b">
        <v>0</v>
      </c>
      <c r="D657" s="63" t="s">
        <v>1350</v>
      </c>
      <c r="E657" s="63" t="s">
        <v>361</v>
      </c>
      <c r="F657" s="63" t="s">
        <v>364</v>
      </c>
      <c r="G657" s="63" t="s">
        <v>732</v>
      </c>
      <c r="H657" s="63" t="s">
        <v>1294</v>
      </c>
      <c r="I657" s="66" t="s">
        <v>730</v>
      </c>
      <c r="J657" s="63" t="s">
        <v>1295</v>
      </c>
      <c r="K657" s="63" t="s">
        <v>731</v>
      </c>
      <c r="L657" s="63" t="s">
        <v>1353</v>
      </c>
      <c r="M657" s="63" t="s">
        <v>1297</v>
      </c>
      <c r="N657" s="63" t="s">
        <v>1874</v>
      </c>
      <c r="O657" s="63" t="s">
        <v>1299</v>
      </c>
      <c r="P657" s="63" t="s">
        <v>1300</v>
      </c>
      <c r="Q657" s="50" t="s">
        <v>1301</v>
      </c>
      <c r="R657" s="50" t="s">
        <v>1302</v>
      </c>
      <c r="S657" s="48"/>
      <c r="T657" s="50" t="s">
        <v>1303</v>
      </c>
      <c r="U657" s="50" t="s">
        <v>1303</v>
      </c>
      <c r="V657" s="48">
        <v>0.0</v>
      </c>
      <c r="W657" s="68">
        <v>0.0</v>
      </c>
      <c r="X657" s="50" t="s">
        <v>1304</v>
      </c>
      <c r="Y657" s="50" t="s">
        <v>1305</v>
      </c>
    </row>
    <row r="658">
      <c r="A658" s="65">
        <f>ROW()-ROW(Table_Actions[N])</f>
        <v>422</v>
      </c>
      <c r="B658" s="54" t="s">
        <v>1875</v>
      </c>
      <c r="C658" s="62" t="b">
        <v>0</v>
      </c>
      <c r="D658" s="63" t="s">
        <v>1350</v>
      </c>
      <c r="E658" s="63" t="s">
        <v>361</v>
      </c>
      <c r="F658" s="63" t="s">
        <v>364</v>
      </c>
      <c r="G658" s="63" t="s">
        <v>732</v>
      </c>
      <c r="H658" s="63" t="s">
        <v>1294</v>
      </c>
      <c r="I658" s="66" t="s">
        <v>730</v>
      </c>
      <c r="J658" s="63" t="s">
        <v>1295</v>
      </c>
      <c r="K658" s="63" t="s">
        <v>731</v>
      </c>
      <c r="L658" s="63" t="s">
        <v>1353</v>
      </c>
      <c r="M658" s="63" t="s">
        <v>1297</v>
      </c>
      <c r="N658" s="63" t="s">
        <v>1876</v>
      </c>
      <c r="O658" s="63" t="s">
        <v>1299</v>
      </c>
      <c r="P658" s="63" t="s">
        <v>1300</v>
      </c>
      <c r="Q658" s="50" t="s">
        <v>1301</v>
      </c>
      <c r="R658" s="50" t="s">
        <v>1302</v>
      </c>
      <c r="S658" s="48"/>
      <c r="T658" s="50" t="s">
        <v>1303</v>
      </c>
      <c r="U658" s="50" t="s">
        <v>1303</v>
      </c>
      <c r="V658" s="48">
        <v>0.0</v>
      </c>
      <c r="W658" s="68">
        <v>0.0</v>
      </c>
      <c r="X658" s="50" t="s">
        <v>1304</v>
      </c>
      <c r="Y658" s="50" t="s">
        <v>1305</v>
      </c>
    </row>
    <row r="659">
      <c r="A659" s="65">
        <f>ROW()-ROW(Table_Actions[N])</f>
        <v>423</v>
      </c>
      <c r="B659" s="54" t="s">
        <v>1877</v>
      </c>
      <c r="C659" s="62" t="b">
        <v>0</v>
      </c>
      <c r="D659" s="63" t="s">
        <v>1504</v>
      </c>
      <c r="E659" s="63" t="s">
        <v>687</v>
      </c>
      <c r="F659" s="63" t="s">
        <v>364</v>
      </c>
      <c r="G659" s="63" t="s">
        <v>732</v>
      </c>
      <c r="H659" s="63" t="s">
        <v>1294</v>
      </c>
      <c r="I659" s="66" t="s">
        <v>730</v>
      </c>
      <c r="J659" s="63" t="s">
        <v>1295</v>
      </c>
      <c r="K659" s="63" t="s">
        <v>731</v>
      </c>
      <c r="L659" s="63" t="s">
        <v>1296</v>
      </c>
      <c r="M659" s="63" t="s">
        <v>1297</v>
      </c>
      <c r="N659" s="63" t="s">
        <v>1298</v>
      </c>
      <c r="O659" s="63" t="s">
        <v>1299</v>
      </c>
      <c r="P659" s="63" t="s">
        <v>1300</v>
      </c>
      <c r="Q659" s="50" t="s">
        <v>1301</v>
      </c>
      <c r="R659" s="50" t="s">
        <v>1302</v>
      </c>
      <c r="S659" s="48"/>
      <c r="T659" s="67" t="s">
        <v>1303</v>
      </c>
      <c r="U659" s="67" t="s">
        <v>1303</v>
      </c>
      <c r="V659" s="48">
        <v>0.0</v>
      </c>
      <c r="W659" s="68">
        <v>0.0</v>
      </c>
      <c r="X659" s="50" t="s">
        <v>1304</v>
      </c>
      <c r="Y659" s="50" t="s">
        <v>1305</v>
      </c>
    </row>
    <row r="660">
      <c r="A660" s="65">
        <f>ROW()-ROW(Table_Actions[N])</f>
        <v>424</v>
      </c>
      <c r="B660" s="54" t="s">
        <v>1878</v>
      </c>
      <c r="C660" s="62" t="b">
        <v>0</v>
      </c>
      <c r="D660" s="63" t="s">
        <v>1350</v>
      </c>
      <c r="E660" s="63" t="s">
        <v>361</v>
      </c>
      <c r="F660" s="63" t="s">
        <v>364</v>
      </c>
      <c r="G660" s="63" t="s">
        <v>732</v>
      </c>
      <c r="H660" s="63" t="s">
        <v>1294</v>
      </c>
      <c r="I660" s="66" t="s">
        <v>730</v>
      </c>
      <c r="J660" s="63" t="s">
        <v>1295</v>
      </c>
      <c r="K660" s="63" t="s">
        <v>731</v>
      </c>
      <c r="L660" s="63" t="s">
        <v>1353</v>
      </c>
      <c r="M660" s="63" t="s">
        <v>1297</v>
      </c>
      <c r="N660" s="63" t="s">
        <v>1879</v>
      </c>
      <c r="O660" s="63" t="s">
        <v>1299</v>
      </c>
      <c r="P660" s="63" t="s">
        <v>1300</v>
      </c>
      <c r="Q660" s="50" t="s">
        <v>1301</v>
      </c>
      <c r="R660" s="50" t="s">
        <v>1302</v>
      </c>
      <c r="S660" s="48"/>
      <c r="T660" s="50" t="s">
        <v>1303</v>
      </c>
      <c r="U660" s="50" t="s">
        <v>1303</v>
      </c>
      <c r="V660" s="48">
        <v>0.0</v>
      </c>
      <c r="W660" s="68">
        <v>0.0</v>
      </c>
      <c r="X660" s="50" t="s">
        <v>1304</v>
      </c>
      <c r="Y660" s="50" t="s">
        <v>1305</v>
      </c>
    </row>
    <row r="661">
      <c r="A661" s="65">
        <f>ROW()-ROW(Table_Actions[N])</f>
        <v>425</v>
      </c>
      <c r="B661" s="54" t="s">
        <v>1880</v>
      </c>
      <c r="C661" s="62" t="b">
        <v>0</v>
      </c>
      <c r="D661" s="63" t="s">
        <v>1324</v>
      </c>
      <c r="E661" s="63" t="s">
        <v>665</v>
      </c>
      <c r="F661" s="63" t="s">
        <v>364</v>
      </c>
      <c r="G661" s="63" t="s">
        <v>732</v>
      </c>
      <c r="H661" s="63" t="s">
        <v>1294</v>
      </c>
      <c r="I661" s="66" t="s">
        <v>730</v>
      </c>
      <c r="J661" s="63" t="s">
        <v>1295</v>
      </c>
      <c r="K661" s="63" t="s">
        <v>731</v>
      </c>
      <c r="L661" s="63" t="s">
        <v>1296</v>
      </c>
      <c r="M661" s="63" t="s">
        <v>1297</v>
      </c>
      <c r="N661" s="63" t="s">
        <v>1298</v>
      </c>
      <c r="O661" s="63" t="s">
        <v>1299</v>
      </c>
      <c r="P661" s="63" t="s">
        <v>1300</v>
      </c>
      <c r="Q661" s="50" t="s">
        <v>1301</v>
      </c>
      <c r="R661" s="50" t="s">
        <v>1302</v>
      </c>
      <c r="T661" s="50" t="s">
        <v>1303</v>
      </c>
      <c r="U661" s="50" t="s">
        <v>1303</v>
      </c>
      <c r="V661" s="48">
        <v>0.0</v>
      </c>
      <c r="W661" s="68">
        <v>0.0</v>
      </c>
      <c r="X661" s="50" t="s">
        <v>1304</v>
      </c>
      <c r="Y661" s="50" t="s">
        <v>1305</v>
      </c>
    </row>
    <row r="662">
      <c r="A662" s="65">
        <f>ROW()-ROW(Table_Actions[N])</f>
        <v>426</v>
      </c>
      <c r="B662" s="54" t="s">
        <v>1881</v>
      </c>
      <c r="C662" s="62" t="b">
        <v>0</v>
      </c>
      <c r="D662" s="63" t="s">
        <v>1310</v>
      </c>
      <c r="E662" s="63" t="s">
        <v>361</v>
      </c>
      <c r="F662" s="63" t="s">
        <v>364</v>
      </c>
      <c r="G662" s="63" t="s">
        <v>732</v>
      </c>
      <c r="H662" s="63" t="s">
        <v>1294</v>
      </c>
      <c r="I662" s="66" t="s">
        <v>1882</v>
      </c>
      <c r="J662" s="63" t="s">
        <v>1295</v>
      </c>
      <c r="K662" s="63" t="s">
        <v>731</v>
      </c>
      <c r="L662" s="63" t="s">
        <v>1296</v>
      </c>
      <c r="M662" s="63" t="s">
        <v>1297</v>
      </c>
      <c r="N662" s="63" t="s">
        <v>1298</v>
      </c>
      <c r="O662" s="63" t="s">
        <v>1299</v>
      </c>
      <c r="P662" s="63" t="s">
        <v>1300</v>
      </c>
      <c r="Q662" s="50" t="s">
        <v>1301</v>
      </c>
      <c r="R662" s="50" t="s">
        <v>1302</v>
      </c>
      <c r="S662" s="48"/>
      <c r="T662" s="50" t="s">
        <v>1303</v>
      </c>
      <c r="U662" s="50" t="s">
        <v>1303</v>
      </c>
      <c r="V662" s="48">
        <v>0.0</v>
      </c>
      <c r="W662" s="68">
        <v>0.0</v>
      </c>
      <c r="X662" s="50" t="s">
        <v>1304</v>
      </c>
      <c r="Y662" s="50" t="s">
        <v>1305</v>
      </c>
    </row>
    <row r="663">
      <c r="A663" s="65">
        <f>ROW()-ROW(Table_Actions[N])</f>
        <v>427</v>
      </c>
      <c r="B663" s="54" t="s">
        <v>1883</v>
      </c>
      <c r="C663" s="62" t="b">
        <v>0</v>
      </c>
      <c r="D663" s="63" t="s">
        <v>1310</v>
      </c>
      <c r="E663" s="63" t="s">
        <v>361</v>
      </c>
      <c r="F663" s="63" t="s">
        <v>364</v>
      </c>
      <c r="G663" s="63" t="s">
        <v>732</v>
      </c>
      <c r="H663" s="63" t="s">
        <v>1294</v>
      </c>
      <c r="I663" s="66" t="s">
        <v>1021</v>
      </c>
      <c r="J663" s="63" t="s">
        <v>1295</v>
      </c>
      <c r="K663" s="63" t="s">
        <v>731</v>
      </c>
      <c r="L663" s="63" t="s">
        <v>1296</v>
      </c>
      <c r="M663" s="63" t="s">
        <v>1297</v>
      </c>
      <c r="N663" s="63" t="s">
        <v>1298</v>
      </c>
      <c r="O663" s="63" t="s">
        <v>1299</v>
      </c>
      <c r="P663" s="63" t="s">
        <v>1300</v>
      </c>
      <c r="Q663" s="50" t="s">
        <v>1301</v>
      </c>
      <c r="R663" s="50" t="s">
        <v>1302</v>
      </c>
      <c r="S663" s="48"/>
      <c r="T663" s="50" t="s">
        <v>1303</v>
      </c>
      <c r="U663" s="50" t="s">
        <v>1303</v>
      </c>
      <c r="V663" s="48">
        <v>0.0</v>
      </c>
      <c r="W663" s="68">
        <v>0.0</v>
      </c>
      <c r="X663" s="50" t="s">
        <v>1304</v>
      </c>
      <c r="Y663" s="50" t="s">
        <v>1305</v>
      </c>
    </row>
    <row r="664">
      <c r="A664" s="65">
        <f>ROW()-ROW(Table_Actions[N])</f>
        <v>428</v>
      </c>
      <c r="B664" s="54" t="s">
        <v>1256</v>
      </c>
      <c r="C664" s="62" t="b">
        <v>0</v>
      </c>
      <c r="D664" s="63" t="s">
        <v>1844</v>
      </c>
      <c r="E664" s="63" t="s">
        <v>361</v>
      </c>
      <c r="F664" s="63" t="s">
        <v>364</v>
      </c>
      <c r="G664" s="63" t="s">
        <v>732</v>
      </c>
      <c r="H664" s="63" t="s">
        <v>1294</v>
      </c>
      <c r="I664" s="66" t="s">
        <v>730</v>
      </c>
      <c r="J664" s="63" t="s">
        <v>1295</v>
      </c>
      <c r="K664" s="63" t="s">
        <v>731</v>
      </c>
      <c r="L664" s="63" t="s">
        <v>1296</v>
      </c>
      <c r="M664" s="63" t="s">
        <v>1297</v>
      </c>
      <c r="N664" s="63" t="s">
        <v>1298</v>
      </c>
      <c r="O664" s="63" t="s">
        <v>1299</v>
      </c>
      <c r="P664" s="63" t="s">
        <v>1300</v>
      </c>
      <c r="Q664" s="50" t="s">
        <v>1301</v>
      </c>
      <c r="R664" s="50" t="s">
        <v>1302</v>
      </c>
      <c r="S664" s="48"/>
      <c r="T664" s="67" t="s">
        <v>1303</v>
      </c>
      <c r="U664" s="67" t="s">
        <v>1303</v>
      </c>
      <c r="V664" s="48">
        <v>0.0</v>
      </c>
      <c r="W664" s="68">
        <v>0.0</v>
      </c>
      <c r="X664" s="50" t="s">
        <v>1884</v>
      </c>
      <c r="Y664" s="50" t="s">
        <v>1305</v>
      </c>
    </row>
    <row r="665">
      <c r="A665" s="65">
        <f>ROW()-ROW(Table_Actions[N])</f>
        <v>429</v>
      </c>
      <c r="B665" s="54" t="s">
        <v>1885</v>
      </c>
      <c r="C665" s="62" t="b">
        <v>0</v>
      </c>
      <c r="D665" s="63" t="s">
        <v>1322</v>
      </c>
      <c r="E665" s="63" t="s">
        <v>621</v>
      </c>
      <c r="F665" s="63" t="s">
        <v>364</v>
      </c>
      <c r="G665" s="63" t="s">
        <v>732</v>
      </c>
      <c r="H665" s="63" t="s">
        <v>1294</v>
      </c>
      <c r="I665" s="66" t="s">
        <v>730</v>
      </c>
      <c r="J665" s="63" t="s">
        <v>1295</v>
      </c>
      <c r="K665" s="63" t="s">
        <v>731</v>
      </c>
      <c r="L665" s="63" t="s">
        <v>1296</v>
      </c>
      <c r="M665" s="63" t="s">
        <v>1297</v>
      </c>
      <c r="N665" s="63" t="s">
        <v>1298</v>
      </c>
      <c r="O665" s="63" t="s">
        <v>1299</v>
      </c>
      <c r="P665" s="63" t="s">
        <v>1300</v>
      </c>
      <c r="Q665" s="50" t="s">
        <v>1301</v>
      </c>
      <c r="R665" s="50" t="s">
        <v>1302</v>
      </c>
      <c r="T665" s="50" t="s">
        <v>1303</v>
      </c>
      <c r="U665" s="50" t="s">
        <v>1303</v>
      </c>
      <c r="V665" s="48">
        <v>0.0</v>
      </c>
      <c r="W665" s="68">
        <v>0.0</v>
      </c>
      <c r="X665" s="50" t="s">
        <v>1304</v>
      </c>
      <c r="Y665" s="50" t="s">
        <v>1305</v>
      </c>
    </row>
    <row r="666">
      <c r="A666" s="65">
        <f>ROW()-ROW(Table_Actions[N])</f>
        <v>430</v>
      </c>
      <c r="B666" s="54" t="s">
        <v>1886</v>
      </c>
      <c r="C666" s="62" t="b">
        <v>0</v>
      </c>
      <c r="D666" s="63" t="s">
        <v>1318</v>
      </c>
      <c r="E666" s="63" t="s">
        <v>621</v>
      </c>
      <c r="F666" s="63" t="s">
        <v>364</v>
      </c>
      <c r="G666" s="63" t="s">
        <v>732</v>
      </c>
      <c r="H666" s="63" t="s">
        <v>1294</v>
      </c>
      <c r="I666" s="66" t="s">
        <v>730</v>
      </c>
      <c r="J666" s="63" t="s">
        <v>1295</v>
      </c>
      <c r="K666" s="63" t="s">
        <v>731</v>
      </c>
      <c r="L666" s="63" t="s">
        <v>1296</v>
      </c>
      <c r="M666" s="63" t="s">
        <v>1297</v>
      </c>
      <c r="N666" s="63" t="s">
        <v>1298</v>
      </c>
      <c r="O666" s="63" t="s">
        <v>1299</v>
      </c>
      <c r="P666" s="63" t="s">
        <v>1300</v>
      </c>
      <c r="Q666" s="50" t="s">
        <v>1301</v>
      </c>
      <c r="R666" s="50" t="s">
        <v>1302</v>
      </c>
      <c r="T666" s="50" t="s">
        <v>1303</v>
      </c>
      <c r="U666" s="50" t="s">
        <v>1303</v>
      </c>
      <c r="V666" s="48">
        <v>0.0</v>
      </c>
      <c r="W666" s="68">
        <v>0.0</v>
      </c>
      <c r="X666" s="50" t="s">
        <v>1304</v>
      </c>
      <c r="Y666" s="50" t="s">
        <v>1305</v>
      </c>
    </row>
    <row r="667">
      <c r="A667" s="65">
        <f>ROW()-ROW(Table_Actions[N])</f>
        <v>431</v>
      </c>
      <c r="B667" s="54" t="s">
        <v>1887</v>
      </c>
      <c r="C667" s="62" t="b">
        <v>0</v>
      </c>
      <c r="D667" s="63" t="s">
        <v>1322</v>
      </c>
      <c r="E667" s="63" t="s">
        <v>695</v>
      </c>
      <c r="F667" s="63" t="s">
        <v>364</v>
      </c>
      <c r="G667" s="63" t="s">
        <v>732</v>
      </c>
      <c r="H667" s="63" t="s">
        <v>1294</v>
      </c>
      <c r="I667" s="66" t="s">
        <v>730</v>
      </c>
      <c r="J667" s="63" t="s">
        <v>1295</v>
      </c>
      <c r="K667" s="63" t="s">
        <v>731</v>
      </c>
      <c r="L667" s="63" t="s">
        <v>1296</v>
      </c>
      <c r="M667" s="63" t="s">
        <v>1297</v>
      </c>
      <c r="N667" s="63" t="s">
        <v>1298</v>
      </c>
      <c r="O667" s="63" t="s">
        <v>1299</v>
      </c>
      <c r="P667" s="63" t="s">
        <v>1300</v>
      </c>
      <c r="Q667" s="50" t="s">
        <v>1301</v>
      </c>
      <c r="R667" s="50" t="s">
        <v>1302</v>
      </c>
      <c r="T667" s="50" t="s">
        <v>1303</v>
      </c>
      <c r="U667" s="50" t="s">
        <v>1303</v>
      </c>
      <c r="V667" s="48">
        <v>0.0</v>
      </c>
      <c r="W667" s="68">
        <v>0.0</v>
      </c>
      <c r="X667" s="50" t="s">
        <v>1304</v>
      </c>
      <c r="Y667" s="50" t="s">
        <v>1305</v>
      </c>
    </row>
    <row r="668">
      <c r="A668" s="65">
        <f>ROW()-ROW(Table_Actions[N])</f>
        <v>432</v>
      </c>
      <c r="B668" s="54" t="s">
        <v>1888</v>
      </c>
      <c r="C668" s="62" t="b">
        <v>0</v>
      </c>
      <c r="D668" s="63" t="s">
        <v>1322</v>
      </c>
      <c r="E668" s="63" t="s">
        <v>699</v>
      </c>
      <c r="F668" s="63" t="s">
        <v>364</v>
      </c>
      <c r="G668" s="63" t="s">
        <v>732</v>
      </c>
      <c r="H668" s="63" t="s">
        <v>1294</v>
      </c>
      <c r="I668" s="66" t="s">
        <v>730</v>
      </c>
      <c r="J668" s="63" t="s">
        <v>1295</v>
      </c>
      <c r="K668" s="63" t="s">
        <v>731</v>
      </c>
      <c r="L668" s="63" t="s">
        <v>1296</v>
      </c>
      <c r="M668" s="63" t="s">
        <v>1297</v>
      </c>
      <c r="N668" s="63" t="s">
        <v>1298</v>
      </c>
      <c r="O668" s="63" t="s">
        <v>1299</v>
      </c>
      <c r="P668" s="63" t="s">
        <v>1300</v>
      </c>
      <c r="Q668" s="50" t="s">
        <v>1301</v>
      </c>
      <c r="R668" s="50" t="s">
        <v>1302</v>
      </c>
      <c r="T668" s="50" t="s">
        <v>1303</v>
      </c>
      <c r="U668" s="50" t="s">
        <v>1303</v>
      </c>
      <c r="V668" s="48">
        <v>0.0</v>
      </c>
      <c r="W668" s="68">
        <v>0.0</v>
      </c>
      <c r="X668" s="50" t="s">
        <v>1304</v>
      </c>
      <c r="Y668" s="50" t="s">
        <v>1305</v>
      </c>
    </row>
    <row r="669">
      <c r="A669" s="65">
        <f>ROW()-ROW(Table_Actions[N])</f>
        <v>433</v>
      </c>
      <c r="B669" s="54" t="s">
        <v>1067</v>
      </c>
      <c r="C669" s="62" t="b">
        <v>0</v>
      </c>
      <c r="D669" s="63" t="s">
        <v>1350</v>
      </c>
      <c r="E669" s="63" t="s">
        <v>361</v>
      </c>
      <c r="F669" s="63" t="s">
        <v>364</v>
      </c>
      <c r="G669" s="63" t="s">
        <v>732</v>
      </c>
      <c r="H669" s="63" t="s">
        <v>1294</v>
      </c>
      <c r="I669" s="66" t="s">
        <v>730</v>
      </c>
      <c r="J669" s="63" t="s">
        <v>1295</v>
      </c>
      <c r="K669" s="63" t="s">
        <v>731</v>
      </c>
      <c r="L669" s="63" t="s">
        <v>1353</v>
      </c>
      <c r="M669" s="63" t="s">
        <v>1297</v>
      </c>
      <c r="N669" s="63" t="s">
        <v>1889</v>
      </c>
      <c r="O669" s="63" t="s">
        <v>1299</v>
      </c>
      <c r="P669" s="63" t="s">
        <v>1300</v>
      </c>
      <c r="Q669" s="50" t="s">
        <v>1301</v>
      </c>
      <c r="R669" s="50" t="s">
        <v>1302</v>
      </c>
      <c r="T669" s="50" t="s">
        <v>1303</v>
      </c>
      <c r="U669" s="50" t="s">
        <v>1303</v>
      </c>
      <c r="V669" s="48">
        <v>0.0</v>
      </c>
      <c r="W669" s="68">
        <v>0.0</v>
      </c>
      <c r="X669" s="50" t="s">
        <v>1304</v>
      </c>
      <c r="Y669" s="50" t="s">
        <v>1305</v>
      </c>
    </row>
    <row r="670">
      <c r="A670" s="65">
        <f>ROW()-ROW(Table_Actions[N])</f>
        <v>434</v>
      </c>
      <c r="B670" s="54" t="s">
        <v>1069</v>
      </c>
      <c r="C670" s="62" t="b">
        <v>0</v>
      </c>
      <c r="D670" s="63" t="s">
        <v>1350</v>
      </c>
      <c r="E670" s="63" t="s">
        <v>361</v>
      </c>
      <c r="F670" s="63" t="s">
        <v>364</v>
      </c>
      <c r="G670" s="63" t="s">
        <v>732</v>
      </c>
      <c r="H670" s="63" t="s">
        <v>1294</v>
      </c>
      <c r="I670" s="66" t="s">
        <v>730</v>
      </c>
      <c r="J670" s="63" t="s">
        <v>1295</v>
      </c>
      <c r="K670" s="63" t="s">
        <v>731</v>
      </c>
      <c r="L670" s="63" t="s">
        <v>1353</v>
      </c>
      <c r="M670" s="63" t="s">
        <v>1297</v>
      </c>
      <c r="N670" s="63" t="s">
        <v>1890</v>
      </c>
      <c r="O670" s="63" t="s">
        <v>1299</v>
      </c>
      <c r="P670" s="63" t="s">
        <v>1300</v>
      </c>
      <c r="Q670" s="50" t="s">
        <v>1301</v>
      </c>
      <c r="R670" s="50" t="s">
        <v>1302</v>
      </c>
      <c r="T670" s="50" t="s">
        <v>1303</v>
      </c>
      <c r="U670" s="50" t="s">
        <v>1303</v>
      </c>
      <c r="V670" s="48">
        <v>0.0</v>
      </c>
      <c r="W670" s="68">
        <v>0.0</v>
      </c>
      <c r="X670" s="50" t="s">
        <v>1304</v>
      </c>
      <c r="Y670" s="50" t="s">
        <v>1305</v>
      </c>
    </row>
    <row r="671">
      <c r="A671" s="65">
        <f>ROW()-ROW(Table_Actions[N])</f>
        <v>435</v>
      </c>
      <c r="B671" s="54" t="s">
        <v>1891</v>
      </c>
      <c r="C671" s="62" t="b">
        <v>0</v>
      </c>
      <c r="D671" s="63" t="s">
        <v>1516</v>
      </c>
      <c r="E671" s="63" t="s">
        <v>361</v>
      </c>
      <c r="F671" s="63" t="s">
        <v>364</v>
      </c>
      <c r="G671" s="63" t="s">
        <v>732</v>
      </c>
      <c r="H671" s="63" t="s">
        <v>1294</v>
      </c>
      <c r="I671" s="66" t="s">
        <v>730</v>
      </c>
      <c r="J671" s="63" t="s">
        <v>1295</v>
      </c>
      <c r="K671" s="63" t="s">
        <v>731</v>
      </c>
      <c r="L671" s="63" t="s">
        <v>1296</v>
      </c>
      <c r="M671" s="63" t="s">
        <v>1297</v>
      </c>
      <c r="N671" s="63" t="s">
        <v>1298</v>
      </c>
      <c r="O671" s="63" t="s">
        <v>1299</v>
      </c>
      <c r="P671" s="63" t="s">
        <v>1300</v>
      </c>
      <c r="Q671" s="50" t="s">
        <v>1892</v>
      </c>
      <c r="R671" s="50" t="s">
        <v>1302</v>
      </c>
      <c r="T671" s="67" t="s">
        <v>1702</v>
      </c>
      <c r="U671" s="50" t="s">
        <v>1303</v>
      </c>
      <c r="V671" s="48">
        <v>0.0</v>
      </c>
      <c r="W671" s="68">
        <v>0.0</v>
      </c>
      <c r="X671" s="50" t="s">
        <v>1304</v>
      </c>
      <c r="Y671" s="50" t="s">
        <v>1305</v>
      </c>
    </row>
    <row r="672">
      <c r="A672" s="65">
        <f>ROW()-ROW(Table_Actions[N])</f>
        <v>436</v>
      </c>
      <c r="B672" s="54" t="s">
        <v>1893</v>
      </c>
      <c r="C672" s="62" t="b">
        <v>0</v>
      </c>
      <c r="D672" s="63" t="s">
        <v>1647</v>
      </c>
      <c r="E672" s="63" t="s">
        <v>361</v>
      </c>
      <c r="F672" s="63" t="s">
        <v>364</v>
      </c>
      <c r="G672" s="63" t="s">
        <v>732</v>
      </c>
      <c r="H672" s="63" t="s">
        <v>1294</v>
      </c>
      <c r="I672" s="66" t="s">
        <v>730</v>
      </c>
      <c r="J672" s="63" t="s">
        <v>1295</v>
      </c>
      <c r="K672" s="63" t="s">
        <v>731</v>
      </c>
      <c r="L672" s="63" t="s">
        <v>1296</v>
      </c>
      <c r="M672" s="63" t="s">
        <v>1297</v>
      </c>
      <c r="N672" s="63" t="s">
        <v>1298</v>
      </c>
      <c r="O672" s="63" t="s">
        <v>1299</v>
      </c>
      <c r="P672" s="63" t="s">
        <v>1300</v>
      </c>
      <c r="Q672" s="50" t="s">
        <v>1892</v>
      </c>
      <c r="R672" s="50" t="s">
        <v>1302</v>
      </c>
      <c r="T672" s="67" t="s">
        <v>1303</v>
      </c>
      <c r="U672" s="50" t="s">
        <v>1303</v>
      </c>
      <c r="V672" s="48">
        <v>0.0</v>
      </c>
      <c r="W672" s="68">
        <v>0.0</v>
      </c>
      <c r="X672" s="50" t="s">
        <v>1304</v>
      </c>
      <c r="Y672" s="50" t="s">
        <v>1305</v>
      </c>
    </row>
    <row r="673">
      <c r="A673" s="65">
        <f>ROW()-ROW(Table_Actions[N])</f>
        <v>437</v>
      </c>
      <c r="B673" s="54" t="s">
        <v>1894</v>
      </c>
      <c r="C673" s="62" t="b">
        <v>0</v>
      </c>
      <c r="D673" s="63" t="s">
        <v>1326</v>
      </c>
      <c r="E673" s="63" t="s">
        <v>695</v>
      </c>
      <c r="F673" s="63" t="s">
        <v>364</v>
      </c>
      <c r="G673" s="63" t="s">
        <v>13</v>
      </c>
      <c r="H673" s="63" t="s">
        <v>1294</v>
      </c>
      <c r="I673" s="66" t="s">
        <v>730</v>
      </c>
      <c r="J673" s="63" t="s">
        <v>1295</v>
      </c>
      <c r="K673" s="63" t="s">
        <v>731</v>
      </c>
      <c r="L673" s="63" t="s">
        <v>1296</v>
      </c>
      <c r="M673" s="63" t="s">
        <v>1297</v>
      </c>
      <c r="N673" s="63" t="s">
        <v>1298</v>
      </c>
      <c r="O673" s="63" t="s">
        <v>1299</v>
      </c>
      <c r="P673" s="63" t="s">
        <v>1300</v>
      </c>
      <c r="Q673" s="50" t="s">
        <v>1301</v>
      </c>
      <c r="R673" s="50" t="s">
        <v>1302</v>
      </c>
      <c r="T673" s="50" t="s">
        <v>1303</v>
      </c>
      <c r="U673" s="50" t="s">
        <v>1303</v>
      </c>
      <c r="V673" s="48">
        <v>0.0</v>
      </c>
      <c r="W673" s="68">
        <v>0.0</v>
      </c>
      <c r="X673" s="50" t="s">
        <v>1304</v>
      </c>
      <c r="Y673" s="50" t="s">
        <v>1305</v>
      </c>
    </row>
    <row r="674">
      <c r="A674" s="65">
        <f>ROW()-ROW(Table_Actions[N])</f>
        <v>438</v>
      </c>
      <c r="B674" s="54" t="s">
        <v>1895</v>
      </c>
      <c r="C674" s="62" t="b">
        <v>0</v>
      </c>
      <c r="D674" s="63" t="s">
        <v>1326</v>
      </c>
      <c r="E674" s="63" t="s">
        <v>699</v>
      </c>
      <c r="F674" s="63" t="s">
        <v>364</v>
      </c>
      <c r="G674" s="63" t="s">
        <v>13</v>
      </c>
      <c r="H674" s="63" t="s">
        <v>1294</v>
      </c>
      <c r="I674" s="66" t="s">
        <v>730</v>
      </c>
      <c r="J674" s="63" t="s">
        <v>1295</v>
      </c>
      <c r="K674" s="63" t="s">
        <v>731</v>
      </c>
      <c r="L674" s="63" t="s">
        <v>1296</v>
      </c>
      <c r="M674" s="63" t="s">
        <v>1297</v>
      </c>
      <c r="N674" s="63" t="s">
        <v>1298</v>
      </c>
      <c r="O674" s="63" t="s">
        <v>1299</v>
      </c>
      <c r="P674" s="63" t="s">
        <v>1300</v>
      </c>
      <c r="Q674" s="50" t="s">
        <v>1301</v>
      </c>
      <c r="R674" s="50" t="s">
        <v>1302</v>
      </c>
      <c r="T674" s="50" t="s">
        <v>1303</v>
      </c>
      <c r="U674" s="50" t="s">
        <v>1303</v>
      </c>
      <c r="V674" s="48">
        <v>0.0</v>
      </c>
      <c r="W674" s="68">
        <v>0.0</v>
      </c>
      <c r="X674" s="50" t="s">
        <v>1304</v>
      </c>
      <c r="Y674" s="50" t="s">
        <v>1305</v>
      </c>
    </row>
    <row r="675">
      <c r="A675" s="65">
        <f>ROW()-ROW(Table_Actions[N])</f>
        <v>439</v>
      </c>
      <c r="B675" s="54" t="s">
        <v>1896</v>
      </c>
      <c r="C675" s="62" t="b">
        <v>1</v>
      </c>
      <c r="D675" s="63" t="s">
        <v>1773</v>
      </c>
      <c r="E675" s="63" t="s">
        <v>361</v>
      </c>
      <c r="F675" s="63" t="s">
        <v>364</v>
      </c>
      <c r="G675" s="63" t="s">
        <v>732</v>
      </c>
      <c r="H675" s="63" t="s">
        <v>1294</v>
      </c>
      <c r="I675" s="66" t="s">
        <v>730</v>
      </c>
      <c r="J675" s="63" t="s">
        <v>1295</v>
      </c>
      <c r="K675" s="63" t="s">
        <v>731</v>
      </c>
      <c r="L675" s="63" t="s">
        <v>1296</v>
      </c>
      <c r="M675" s="63" t="s">
        <v>1297</v>
      </c>
      <c r="N675" s="63" t="s">
        <v>1298</v>
      </c>
      <c r="O675" s="63" t="s">
        <v>1299</v>
      </c>
      <c r="P675" s="63" t="s">
        <v>1897</v>
      </c>
      <c r="Q675" s="50" t="s">
        <v>1301</v>
      </c>
      <c r="R675" s="50" t="s">
        <v>1302</v>
      </c>
      <c r="S675" s="48"/>
      <c r="T675" s="67" t="s">
        <v>1303</v>
      </c>
      <c r="U675" s="67" t="s">
        <v>1303</v>
      </c>
      <c r="V675" s="48">
        <v>0.0</v>
      </c>
      <c r="W675" s="68">
        <v>0.0</v>
      </c>
      <c r="X675" s="50" t="s">
        <v>1304</v>
      </c>
      <c r="Y675" s="50" t="s">
        <v>1305</v>
      </c>
    </row>
    <row r="676">
      <c r="A676" s="65">
        <f>ROW()-ROW(Table_Actions[N])</f>
        <v>440</v>
      </c>
      <c r="B676" s="54" t="s">
        <v>1898</v>
      </c>
      <c r="C676" s="62" t="b">
        <v>1</v>
      </c>
      <c r="D676" s="63" t="s">
        <v>1773</v>
      </c>
      <c r="E676" s="63" t="s">
        <v>361</v>
      </c>
      <c r="F676" s="63" t="s">
        <v>364</v>
      </c>
      <c r="G676" s="63" t="s">
        <v>732</v>
      </c>
      <c r="H676" s="63" t="s">
        <v>1294</v>
      </c>
      <c r="I676" s="66" t="s">
        <v>730</v>
      </c>
      <c r="J676" s="63" t="s">
        <v>1295</v>
      </c>
      <c r="K676" s="63" t="s">
        <v>731</v>
      </c>
      <c r="L676" s="63" t="s">
        <v>1296</v>
      </c>
      <c r="M676" s="63" t="s">
        <v>1297</v>
      </c>
      <c r="N676" s="63" t="s">
        <v>1298</v>
      </c>
      <c r="O676" s="63" t="s">
        <v>1299</v>
      </c>
      <c r="P676" s="63" t="s">
        <v>1899</v>
      </c>
      <c r="Q676" s="50" t="s">
        <v>1301</v>
      </c>
      <c r="R676" s="50" t="s">
        <v>1302</v>
      </c>
      <c r="S676" s="48"/>
      <c r="T676" s="67" t="s">
        <v>1303</v>
      </c>
      <c r="U676" s="67" t="s">
        <v>1303</v>
      </c>
      <c r="V676" s="48">
        <v>0.0</v>
      </c>
      <c r="W676" s="68">
        <v>0.0</v>
      </c>
      <c r="X676" s="50" t="s">
        <v>1304</v>
      </c>
      <c r="Y676" s="50" t="s">
        <v>1305</v>
      </c>
    </row>
    <row r="677">
      <c r="A677" s="65">
        <f>ROW()-ROW(Table_Actions[N])</f>
        <v>441</v>
      </c>
      <c r="B677" s="54" t="s">
        <v>1900</v>
      </c>
      <c r="C677" s="62" t="b">
        <v>0</v>
      </c>
      <c r="D677" s="63" t="s">
        <v>1310</v>
      </c>
      <c r="E677" s="63" t="s">
        <v>361</v>
      </c>
      <c r="F677" s="63" t="s">
        <v>364</v>
      </c>
      <c r="G677" s="63" t="s">
        <v>732</v>
      </c>
      <c r="H677" s="63" t="s">
        <v>1294</v>
      </c>
      <c r="I677" s="66" t="s">
        <v>1901</v>
      </c>
      <c r="J677" s="63" t="s">
        <v>1295</v>
      </c>
      <c r="K677" s="63" t="s">
        <v>731</v>
      </c>
      <c r="L677" s="63" t="s">
        <v>1296</v>
      </c>
      <c r="M677" s="63" t="s">
        <v>1297</v>
      </c>
      <c r="N677" s="63" t="s">
        <v>1298</v>
      </c>
      <c r="O677" s="63" t="s">
        <v>1299</v>
      </c>
      <c r="P677" s="63" t="s">
        <v>1300</v>
      </c>
      <c r="Q677" s="50" t="s">
        <v>1301</v>
      </c>
      <c r="R677" s="50" t="s">
        <v>1302</v>
      </c>
      <c r="S677" s="48"/>
      <c r="T677" s="50" t="s">
        <v>1303</v>
      </c>
      <c r="U677" s="50" t="s">
        <v>1303</v>
      </c>
      <c r="V677" s="48">
        <v>0.0</v>
      </c>
      <c r="W677" s="68">
        <v>0.0</v>
      </c>
      <c r="X677" s="50" t="s">
        <v>1304</v>
      </c>
      <c r="Y677" s="50" t="s">
        <v>1305</v>
      </c>
    </row>
    <row r="678">
      <c r="A678" s="65">
        <f>ROW()-ROW(Table_Actions[N])</f>
        <v>442</v>
      </c>
      <c r="B678" s="54" t="s">
        <v>1902</v>
      </c>
      <c r="C678" s="62" t="b">
        <v>0</v>
      </c>
      <c r="D678" s="63" t="s">
        <v>1310</v>
      </c>
      <c r="E678" s="63" t="s">
        <v>361</v>
      </c>
      <c r="F678" s="63" t="s">
        <v>364</v>
      </c>
      <c r="G678" s="63" t="s">
        <v>732</v>
      </c>
      <c r="H678" s="63" t="s">
        <v>1294</v>
      </c>
      <c r="I678" s="66" t="s">
        <v>1903</v>
      </c>
      <c r="J678" s="63" t="s">
        <v>1295</v>
      </c>
      <c r="K678" s="63" t="s">
        <v>731</v>
      </c>
      <c r="L678" s="63" t="s">
        <v>1296</v>
      </c>
      <c r="M678" s="63" t="s">
        <v>1297</v>
      </c>
      <c r="N678" s="63" t="s">
        <v>1298</v>
      </c>
      <c r="O678" s="63" t="s">
        <v>1299</v>
      </c>
      <c r="P678" s="63" t="s">
        <v>1300</v>
      </c>
      <c r="Q678" s="50" t="s">
        <v>1301</v>
      </c>
      <c r="R678" s="50" t="s">
        <v>1302</v>
      </c>
      <c r="S678" s="48"/>
      <c r="T678" s="50" t="s">
        <v>1303</v>
      </c>
      <c r="U678" s="50" t="s">
        <v>1303</v>
      </c>
      <c r="V678" s="48">
        <v>0.0</v>
      </c>
      <c r="W678" s="68">
        <v>0.0</v>
      </c>
      <c r="X678" s="50" t="s">
        <v>1304</v>
      </c>
      <c r="Y678" s="50" t="s">
        <v>1305</v>
      </c>
    </row>
    <row r="679">
      <c r="A679" s="65">
        <f>ROW()-ROW(Table_Actions[N])</f>
        <v>443</v>
      </c>
      <c r="B679" s="54" t="s">
        <v>1904</v>
      </c>
      <c r="C679" s="62" t="b">
        <v>0</v>
      </c>
      <c r="D679" s="63" t="s">
        <v>1326</v>
      </c>
      <c r="E679" s="63" t="s">
        <v>621</v>
      </c>
      <c r="F679" s="63" t="s">
        <v>364</v>
      </c>
      <c r="G679" s="63" t="s">
        <v>13</v>
      </c>
      <c r="H679" s="63" t="s">
        <v>1294</v>
      </c>
      <c r="I679" s="66" t="s">
        <v>730</v>
      </c>
      <c r="J679" s="63" t="s">
        <v>1295</v>
      </c>
      <c r="K679" s="63" t="s">
        <v>731</v>
      </c>
      <c r="L679" s="63" t="s">
        <v>1296</v>
      </c>
      <c r="M679" s="63" t="s">
        <v>1297</v>
      </c>
      <c r="N679" s="63" t="s">
        <v>1298</v>
      </c>
      <c r="O679" s="63" t="s">
        <v>1299</v>
      </c>
      <c r="P679" s="63" t="s">
        <v>1300</v>
      </c>
      <c r="Q679" s="50" t="s">
        <v>1301</v>
      </c>
      <c r="R679" s="50" t="s">
        <v>1302</v>
      </c>
      <c r="T679" s="50" t="s">
        <v>1303</v>
      </c>
      <c r="U679" s="50" t="s">
        <v>1303</v>
      </c>
      <c r="V679" s="48">
        <v>0.0</v>
      </c>
      <c r="W679" s="68">
        <v>0.0</v>
      </c>
      <c r="X679" s="50" t="s">
        <v>1304</v>
      </c>
      <c r="Y679" s="50" t="s">
        <v>1305</v>
      </c>
    </row>
    <row r="680">
      <c r="A680" s="65">
        <f>ROW()-ROW(Table_Actions[N])</f>
        <v>444</v>
      </c>
      <c r="B680" s="54" t="s">
        <v>1905</v>
      </c>
      <c r="C680" s="62" t="b">
        <v>0</v>
      </c>
      <c r="D680" s="63" t="s">
        <v>1504</v>
      </c>
      <c r="E680" s="63" t="s">
        <v>695</v>
      </c>
      <c r="F680" s="63" t="s">
        <v>364</v>
      </c>
      <c r="G680" s="63" t="s">
        <v>732</v>
      </c>
      <c r="H680" s="63" t="s">
        <v>1294</v>
      </c>
      <c r="I680" s="66" t="s">
        <v>730</v>
      </c>
      <c r="J680" s="63" t="s">
        <v>1295</v>
      </c>
      <c r="K680" s="63" t="s">
        <v>731</v>
      </c>
      <c r="L680" s="63" t="s">
        <v>1296</v>
      </c>
      <c r="M680" s="63" t="s">
        <v>1297</v>
      </c>
      <c r="N680" s="63" t="s">
        <v>1298</v>
      </c>
      <c r="O680" s="63" t="s">
        <v>1299</v>
      </c>
      <c r="P680" s="63" t="s">
        <v>1300</v>
      </c>
      <c r="Q680" s="50" t="s">
        <v>1301</v>
      </c>
      <c r="R680" s="50" t="s">
        <v>1302</v>
      </c>
      <c r="S680" s="48"/>
      <c r="T680" s="67" t="s">
        <v>1303</v>
      </c>
      <c r="U680" s="67" t="s">
        <v>1303</v>
      </c>
      <c r="V680" s="48">
        <v>0.0</v>
      </c>
      <c r="W680" s="68">
        <v>0.0</v>
      </c>
      <c r="X680" s="50" t="s">
        <v>1304</v>
      </c>
      <c r="Y680" s="50" t="s">
        <v>1305</v>
      </c>
    </row>
    <row r="681">
      <c r="A681" s="65">
        <f>ROW()-ROW(Table_Actions[N])</f>
        <v>445</v>
      </c>
      <c r="B681" s="54" t="s">
        <v>1906</v>
      </c>
      <c r="C681" s="62" t="b">
        <v>0</v>
      </c>
      <c r="D681" s="63" t="s">
        <v>1504</v>
      </c>
      <c r="E681" s="63" t="s">
        <v>699</v>
      </c>
      <c r="F681" s="63" t="s">
        <v>364</v>
      </c>
      <c r="G681" s="63" t="s">
        <v>732</v>
      </c>
      <c r="H681" s="63" t="s">
        <v>1294</v>
      </c>
      <c r="I681" s="66" t="s">
        <v>730</v>
      </c>
      <c r="J681" s="63" t="s">
        <v>1295</v>
      </c>
      <c r="K681" s="63" t="s">
        <v>731</v>
      </c>
      <c r="L681" s="63" t="s">
        <v>1296</v>
      </c>
      <c r="M681" s="63" t="s">
        <v>1297</v>
      </c>
      <c r="N681" s="63" t="s">
        <v>1298</v>
      </c>
      <c r="O681" s="63" t="s">
        <v>1299</v>
      </c>
      <c r="P681" s="63" t="s">
        <v>1300</v>
      </c>
      <c r="Q681" s="50" t="s">
        <v>1301</v>
      </c>
      <c r="R681" s="50" t="s">
        <v>1302</v>
      </c>
      <c r="S681" s="48"/>
      <c r="T681" s="67" t="s">
        <v>1303</v>
      </c>
      <c r="U681" s="67" t="s">
        <v>1303</v>
      </c>
      <c r="V681" s="48">
        <v>0.0</v>
      </c>
      <c r="W681" s="68">
        <v>0.0</v>
      </c>
      <c r="X681" s="50" t="s">
        <v>1304</v>
      </c>
      <c r="Y681" s="50" t="s">
        <v>1305</v>
      </c>
    </row>
    <row r="682">
      <c r="A682" s="65">
        <f>ROW()-ROW(Table_Actions[N])</f>
        <v>446</v>
      </c>
      <c r="B682" s="54" t="s">
        <v>1907</v>
      </c>
      <c r="C682" s="62" t="b">
        <v>0</v>
      </c>
      <c r="D682" s="63" t="s">
        <v>1504</v>
      </c>
      <c r="E682" s="63" t="s">
        <v>621</v>
      </c>
      <c r="F682" s="63" t="s">
        <v>364</v>
      </c>
      <c r="G682" s="63" t="s">
        <v>732</v>
      </c>
      <c r="H682" s="63" t="s">
        <v>1294</v>
      </c>
      <c r="I682" s="66" t="s">
        <v>730</v>
      </c>
      <c r="J682" s="63" t="s">
        <v>1295</v>
      </c>
      <c r="K682" s="63" t="s">
        <v>731</v>
      </c>
      <c r="L682" s="63" t="s">
        <v>1296</v>
      </c>
      <c r="M682" s="63" t="s">
        <v>1297</v>
      </c>
      <c r="N682" s="63" t="s">
        <v>1298</v>
      </c>
      <c r="O682" s="63" t="s">
        <v>1299</v>
      </c>
      <c r="P682" s="63" t="s">
        <v>1300</v>
      </c>
      <c r="Q682" s="50" t="s">
        <v>1301</v>
      </c>
      <c r="R682" s="50" t="s">
        <v>1302</v>
      </c>
      <c r="S682" s="48"/>
      <c r="T682" s="67" t="s">
        <v>1303</v>
      </c>
      <c r="U682" s="67" t="s">
        <v>1303</v>
      </c>
      <c r="V682" s="48">
        <v>0.0</v>
      </c>
      <c r="W682" s="68">
        <v>0.0</v>
      </c>
      <c r="X682" s="50" t="s">
        <v>1304</v>
      </c>
      <c r="Y682" s="50" t="s">
        <v>1305</v>
      </c>
    </row>
    <row r="683">
      <c r="A683" s="65">
        <f>ROW()-ROW(Table_Actions[N])</f>
        <v>447</v>
      </c>
      <c r="B683" s="54" t="s">
        <v>1908</v>
      </c>
      <c r="C683" s="62" t="b">
        <v>1</v>
      </c>
      <c r="D683" s="63" t="s">
        <v>1350</v>
      </c>
      <c r="E683" s="63" t="s">
        <v>361</v>
      </c>
      <c r="F683" s="63" t="s">
        <v>364</v>
      </c>
      <c r="G683" s="63" t="s">
        <v>732</v>
      </c>
      <c r="H683" s="63" t="s">
        <v>1294</v>
      </c>
      <c r="I683" s="66" t="s">
        <v>730</v>
      </c>
      <c r="J683" s="63" t="s">
        <v>1295</v>
      </c>
      <c r="K683" s="63" t="s">
        <v>731</v>
      </c>
      <c r="L683" s="63" t="s">
        <v>1353</v>
      </c>
      <c r="M683" s="63" t="s">
        <v>1297</v>
      </c>
      <c r="N683" s="63" t="s">
        <v>1909</v>
      </c>
      <c r="O683" s="63" t="s">
        <v>1299</v>
      </c>
      <c r="P683" s="63" t="s">
        <v>1300</v>
      </c>
      <c r="Q683" s="50" t="s">
        <v>1301</v>
      </c>
      <c r="R683" s="50" t="s">
        <v>1302</v>
      </c>
      <c r="S683" s="48"/>
      <c r="T683" s="50" t="s">
        <v>1303</v>
      </c>
      <c r="U683" s="50" t="s">
        <v>1303</v>
      </c>
      <c r="V683" s="48">
        <v>0.0</v>
      </c>
      <c r="W683" s="68">
        <v>0.0</v>
      </c>
      <c r="X683" s="50" t="s">
        <v>1304</v>
      </c>
      <c r="Y683" s="50" t="s">
        <v>1305</v>
      </c>
    </row>
    <row r="684">
      <c r="A684" s="65">
        <f>ROW()-ROW(Table_Actions[N])</f>
        <v>448</v>
      </c>
      <c r="B684" s="54" t="s">
        <v>1022</v>
      </c>
      <c r="C684" s="62" t="b">
        <v>1</v>
      </c>
      <c r="D684" s="63" t="s">
        <v>1350</v>
      </c>
      <c r="E684" s="63" t="s">
        <v>361</v>
      </c>
      <c r="F684" s="63" t="s">
        <v>364</v>
      </c>
      <c r="G684" s="63" t="s">
        <v>732</v>
      </c>
      <c r="H684" s="63" t="s">
        <v>1294</v>
      </c>
      <c r="I684" s="66" t="s">
        <v>730</v>
      </c>
      <c r="J684" s="63" t="s">
        <v>1295</v>
      </c>
      <c r="K684" s="63" t="s">
        <v>731</v>
      </c>
      <c r="L684" s="63" t="s">
        <v>1353</v>
      </c>
      <c r="M684" s="63" t="s">
        <v>1297</v>
      </c>
      <c r="N684" s="63" t="s">
        <v>1910</v>
      </c>
      <c r="O684" s="63" t="s">
        <v>1299</v>
      </c>
      <c r="P684" s="63" t="s">
        <v>1300</v>
      </c>
      <c r="Q684" s="50" t="s">
        <v>1301</v>
      </c>
      <c r="R684" s="50" t="s">
        <v>1302</v>
      </c>
      <c r="S684" s="48"/>
      <c r="T684" s="50" t="s">
        <v>1303</v>
      </c>
      <c r="U684" s="50" t="s">
        <v>1303</v>
      </c>
      <c r="V684" s="48">
        <v>0.0</v>
      </c>
      <c r="W684" s="68">
        <v>0.0</v>
      </c>
      <c r="X684" s="50" t="s">
        <v>1304</v>
      </c>
      <c r="Y684" s="50" t="s">
        <v>1305</v>
      </c>
    </row>
    <row r="685">
      <c r="A685" s="65">
        <f>ROW()-ROW(Table_Actions[N])</f>
        <v>449</v>
      </c>
      <c r="B685" s="54" t="s">
        <v>1911</v>
      </c>
      <c r="C685" s="62" t="b">
        <v>1</v>
      </c>
      <c r="D685" s="63" t="s">
        <v>1350</v>
      </c>
      <c r="E685" s="63" t="s">
        <v>361</v>
      </c>
      <c r="F685" s="63" t="s">
        <v>364</v>
      </c>
      <c r="G685" s="63" t="s">
        <v>732</v>
      </c>
      <c r="H685" s="63" t="s">
        <v>1294</v>
      </c>
      <c r="I685" s="66" t="s">
        <v>730</v>
      </c>
      <c r="J685" s="63" t="s">
        <v>1295</v>
      </c>
      <c r="K685" s="63" t="s">
        <v>731</v>
      </c>
      <c r="L685" s="63" t="s">
        <v>1353</v>
      </c>
      <c r="M685" s="63" t="s">
        <v>1297</v>
      </c>
      <c r="N685" s="63" t="s">
        <v>1912</v>
      </c>
      <c r="O685" s="63" t="s">
        <v>1299</v>
      </c>
      <c r="P685" s="63" t="s">
        <v>1300</v>
      </c>
      <c r="Q685" s="50" t="s">
        <v>1301</v>
      </c>
      <c r="R685" s="50" t="s">
        <v>1302</v>
      </c>
      <c r="S685" s="48"/>
      <c r="T685" s="50" t="s">
        <v>1303</v>
      </c>
      <c r="U685" s="50" t="s">
        <v>1303</v>
      </c>
      <c r="V685" s="48">
        <v>0.0</v>
      </c>
      <c r="W685" s="68">
        <v>0.0</v>
      </c>
      <c r="X685" s="50" t="s">
        <v>1304</v>
      </c>
      <c r="Y685" s="50" t="s">
        <v>1305</v>
      </c>
    </row>
    <row r="686">
      <c r="A686" s="65">
        <f>ROW()-ROW(Table_Actions[N])</f>
        <v>450</v>
      </c>
      <c r="B686" s="54" t="s">
        <v>1913</v>
      </c>
      <c r="C686" s="62" t="b">
        <v>0</v>
      </c>
      <c r="D686" s="63" t="s">
        <v>1310</v>
      </c>
      <c r="E686" s="63" t="s">
        <v>361</v>
      </c>
      <c r="F686" s="63" t="s">
        <v>364</v>
      </c>
      <c r="G686" s="63" t="s">
        <v>732</v>
      </c>
      <c r="H686" s="63" t="s">
        <v>1294</v>
      </c>
      <c r="I686" s="66" t="s">
        <v>1914</v>
      </c>
      <c r="J686" s="63" t="s">
        <v>1295</v>
      </c>
      <c r="K686" s="63" t="s">
        <v>731</v>
      </c>
      <c r="L686" s="63" t="s">
        <v>1296</v>
      </c>
      <c r="M686" s="63" t="s">
        <v>1297</v>
      </c>
      <c r="N686" s="63" t="s">
        <v>1298</v>
      </c>
      <c r="O686" s="63" t="s">
        <v>1299</v>
      </c>
      <c r="P686" s="63" t="s">
        <v>1300</v>
      </c>
      <c r="Q686" s="50" t="s">
        <v>1301</v>
      </c>
      <c r="R686" s="50" t="s">
        <v>1302</v>
      </c>
      <c r="S686" s="48"/>
      <c r="T686" s="50" t="s">
        <v>1303</v>
      </c>
      <c r="U686" s="50" t="s">
        <v>1303</v>
      </c>
      <c r="V686" s="48">
        <v>0.0</v>
      </c>
      <c r="W686" s="68">
        <v>0.0</v>
      </c>
      <c r="X686" s="50" t="s">
        <v>1304</v>
      </c>
      <c r="Y686" s="50" t="s">
        <v>1305</v>
      </c>
    </row>
    <row r="687">
      <c r="A687" s="65">
        <f>ROW()-ROW(Table_Actions[N])</f>
        <v>451</v>
      </c>
      <c r="B687" s="54" t="s">
        <v>1915</v>
      </c>
      <c r="C687" s="62" t="b">
        <v>1</v>
      </c>
      <c r="D687" s="63" t="s">
        <v>1564</v>
      </c>
      <c r="E687" s="63" t="s">
        <v>367</v>
      </c>
      <c r="F687" s="63" t="s">
        <v>364</v>
      </c>
      <c r="G687" s="63" t="s">
        <v>732</v>
      </c>
      <c r="H687" s="63" t="s">
        <v>1294</v>
      </c>
      <c r="I687" s="66" t="s">
        <v>730</v>
      </c>
      <c r="J687" s="63" t="s">
        <v>1295</v>
      </c>
      <c r="K687" s="63" t="s">
        <v>731</v>
      </c>
      <c r="L687" s="63" t="s">
        <v>1296</v>
      </c>
      <c r="M687" s="63" t="s">
        <v>1297</v>
      </c>
      <c r="N687" s="63" t="s">
        <v>1298</v>
      </c>
      <c r="O687" s="63" t="s">
        <v>1299</v>
      </c>
      <c r="P687" s="63" t="s">
        <v>1300</v>
      </c>
      <c r="Q687" s="50" t="s">
        <v>1301</v>
      </c>
      <c r="R687" s="50" t="s">
        <v>1302</v>
      </c>
      <c r="S687" s="48" t="s">
        <v>1916</v>
      </c>
      <c r="T687" s="67" t="s">
        <v>1303</v>
      </c>
      <c r="U687" s="67" t="s">
        <v>1303</v>
      </c>
      <c r="V687" s="48">
        <v>0.0</v>
      </c>
      <c r="W687" s="68">
        <v>0.0</v>
      </c>
      <c r="X687" s="50" t="s">
        <v>1304</v>
      </c>
      <c r="Y687" s="50" t="s">
        <v>1305</v>
      </c>
    </row>
    <row r="688">
      <c r="A688" s="65">
        <f>ROW()-ROW(Table_Actions[N])</f>
        <v>452</v>
      </c>
      <c r="B688" s="54" t="s">
        <v>1917</v>
      </c>
      <c r="C688" s="62" t="b">
        <v>0</v>
      </c>
      <c r="D688" s="63" t="s">
        <v>1558</v>
      </c>
      <c r="E688" s="63" t="s">
        <v>361</v>
      </c>
      <c r="F688" s="63" t="s">
        <v>364</v>
      </c>
      <c r="G688" s="63" t="s">
        <v>732</v>
      </c>
      <c r="H688" s="63" t="s">
        <v>1294</v>
      </c>
      <c r="I688" s="66" t="s">
        <v>730</v>
      </c>
      <c r="J688" s="63" t="s">
        <v>1295</v>
      </c>
      <c r="K688" s="63" t="s">
        <v>731</v>
      </c>
      <c r="L688" s="63" t="s">
        <v>1296</v>
      </c>
      <c r="M688" s="63" t="s">
        <v>1297</v>
      </c>
      <c r="N688" s="63" t="s">
        <v>1298</v>
      </c>
      <c r="O688" s="63" t="s">
        <v>1299</v>
      </c>
      <c r="P688" s="63" t="s">
        <v>1300</v>
      </c>
      <c r="Q688" s="50" t="s">
        <v>1301</v>
      </c>
      <c r="R688" s="50" t="s">
        <v>1918</v>
      </c>
      <c r="S688" s="48" t="s">
        <v>1919</v>
      </c>
      <c r="T688" s="67" t="s">
        <v>1303</v>
      </c>
      <c r="U688" s="67" t="s">
        <v>1303</v>
      </c>
      <c r="V688" s="48">
        <v>0.0</v>
      </c>
      <c r="W688" s="68">
        <v>0.0</v>
      </c>
      <c r="X688" s="50" t="s">
        <v>1304</v>
      </c>
      <c r="Y688" s="50" t="s">
        <v>1305</v>
      </c>
    </row>
    <row r="689">
      <c r="A689" s="65">
        <f>ROW()-ROW(Table_Actions[N])</f>
        <v>453</v>
      </c>
      <c r="B689" s="54" t="s">
        <v>1920</v>
      </c>
      <c r="C689" s="62" t="b">
        <v>1</v>
      </c>
      <c r="D689" s="63" t="s">
        <v>1564</v>
      </c>
      <c r="E689" s="63" t="s">
        <v>367</v>
      </c>
      <c r="F689" s="63" t="s">
        <v>364</v>
      </c>
      <c r="G689" s="63" t="s">
        <v>732</v>
      </c>
      <c r="H689" s="63" t="s">
        <v>1294</v>
      </c>
      <c r="I689" s="66" t="s">
        <v>730</v>
      </c>
      <c r="J689" s="63" t="s">
        <v>1295</v>
      </c>
      <c r="K689" s="63" t="s">
        <v>731</v>
      </c>
      <c r="L689" s="63" t="s">
        <v>1296</v>
      </c>
      <c r="M689" s="63" t="s">
        <v>1297</v>
      </c>
      <c r="N689" s="63" t="s">
        <v>1298</v>
      </c>
      <c r="O689" s="63" t="s">
        <v>1299</v>
      </c>
      <c r="P689" s="63" t="s">
        <v>1300</v>
      </c>
      <c r="Q689" s="50" t="s">
        <v>1301</v>
      </c>
      <c r="R689" s="50" t="s">
        <v>1302</v>
      </c>
      <c r="S689" s="48" t="s">
        <v>1921</v>
      </c>
      <c r="T689" s="67" t="s">
        <v>1303</v>
      </c>
      <c r="U689" s="67" t="s">
        <v>1303</v>
      </c>
      <c r="V689" s="48">
        <v>0.0</v>
      </c>
      <c r="W689" s="68">
        <v>0.0</v>
      </c>
      <c r="X689" s="50" t="s">
        <v>1304</v>
      </c>
      <c r="Y689" s="50" t="s">
        <v>1305</v>
      </c>
    </row>
    <row r="690">
      <c r="A690" s="65">
        <f>ROW()-ROW(Table_Actions[N])</f>
        <v>454</v>
      </c>
      <c r="B690" s="54" t="s">
        <v>1922</v>
      </c>
      <c r="C690" s="62" t="b">
        <v>1</v>
      </c>
      <c r="D690" s="63" t="s">
        <v>1773</v>
      </c>
      <c r="E690" s="63" t="s">
        <v>361</v>
      </c>
      <c r="F690" s="63" t="s">
        <v>364</v>
      </c>
      <c r="G690" s="63" t="s">
        <v>732</v>
      </c>
      <c r="H690" s="63" t="s">
        <v>1294</v>
      </c>
      <c r="I690" s="66" t="s">
        <v>730</v>
      </c>
      <c r="J690" s="63" t="s">
        <v>1295</v>
      </c>
      <c r="K690" s="63" t="s">
        <v>731</v>
      </c>
      <c r="L690" s="63" t="s">
        <v>1296</v>
      </c>
      <c r="M690" s="63" t="s">
        <v>1297</v>
      </c>
      <c r="N690" s="63" t="s">
        <v>1298</v>
      </c>
      <c r="O690" s="63" t="s">
        <v>1299</v>
      </c>
      <c r="P690" s="63" t="s">
        <v>1923</v>
      </c>
      <c r="Q690" s="50" t="s">
        <v>1301</v>
      </c>
      <c r="R690" s="50" t="s">
        <v>1302</v>
      </c>
      <c r="S690" s="48"/>
      <c r="T690" s="67" t="s">
        <v>1303</v>
      </c>
      <c r="U690" s="67" t="s">
        <v>1303</v>
      </c>
      <c r="V690" s="48">
        <v>0.0</v>
      </c>
      <c r="W690" s="68">
        <v>0.0</v>
      </c>
      <c r="X690" s="50" t="s">
        <v>1304</v>
      </c>
      <c r="Y690" s="50" t="s">
        <v>1305</v>
      </c>
    </row>
    <row r="691">
      <c r="A691" s="65">
        <f>ROW()-ROW(Table_Actions[N])</f>
        <v>455</v>
      </c>
      <c r="B691" s="54" t="s">
        <v>1924</v>
      </c>
      <c r="C691" s="62" t="b">
        <v>0</v>
      </c>
      <c r="D691" s="63" t="s">
        <v>1372</v>
      </c>
      <c r="E691" s="63" t="s">
        <v>37</v>
      </c>
      <c r="F691" s="63" t="s">
        <v>364</v>
      </c>
      <c r="G691" s="63" t="s">
        <v>732</v>
      </c>
      <c r="H691" s="63" t="s">
        <v>1294</v>
      </c>
      <c r="I691" s="66" t="s">
        <v>730</v>
      </c>
      <c r="J691" s="63" t="s">
        <v>1295</v>
      </c>
      <c r="K691" s="63" t="s">
        <v>731</v>
      </c>
      <c r="L691" s="63" t="s">
        <v>1296</v>
      </c>
      <c r="M691" s="63" t="s">
        <v>1297</v>
      </c>
      <c r="N691" s="63" t="s">
        <v>1298</v>
      </c>
      <c r="O691" s="63" t="s">
        <v>1925</v>
      </c>
      <c r="P691" s="63" t="s">
        <v>1300</v>
      </c>
      <c r="Q691" s="50" t="s">
        <v>1301</v>
      </c>
      <c r="R691" s="50" t="s">
        <v>1302</v>
      </c>
      <c r="T691" s="67" t="s">
        <v>1303</v>
      </c>
      <c r="U691" s="67" t="s">
        <v>1303</v>
      </c>
      <c r="V691" s="48">
        <v>0.0</v>
      </c>
      <c r="W691" s="68">
        <v>0.0</v>
      </c>
      <c r="X691" s="50" t="s">
        <v>1304</v>
      </c>
      <c r="Y691" s="50" t="s">
        <v>1305</v>
      </c>
    </row>
    <row r="692">
      <c r="A692" s="65">
        <f>ROW()-ROW(Table_Actions[N])</f>
        <v>456</v>
      </c>
      <c r="B692" s="54" t="s">
        <v>1926</v>
      </c>
      <c r="C692" s="62" t="b">
        <v>1</v>
      </c>
      <c r="D692" s="63" t="s">
        <v>1350</v>
      </c>
      <c r="E692" s="63" t="s">
        <v>361</v>
      </c>
      <c r="F692" s="63" t="s">
        <v>364</v>
      </c>
      <c r="G692" s="63" t="s">
        <v>732</v>
      </c>
      <c r="H692" s="63" t="s">
        <v>1294</v>
      </c>
      <c r="I692" s="66" t="s">
        <v>730</v>
      </c>
      <c r="J692" s="63" t="s">
        <v>1295</v>
      </c>
      <c r="K692" s="63" t="s">
        <v>731</v>
      </c>
      <c r="L692" s="63" t="s">
        <v>1353</v>
      </c>
      <c r="M692" s="63" t="s">
        <v>1297</v>
      </c>
      <c r="N692" s="63" t="s">
        <v>1927</v>
      </c>
      <c r="O692" s="63" t="s">
        <v>1299</v>
      </c>
      <c r="P692" s="63" t="s">
        <v>1300</v>
      </c>
      <c r="Q692" s="50" t="s">
        <v>1301</v>
      </c>
      <c r="R692" s="50" t="s">
        <v>1302</v>
      </c>
      <c r="S692" s="48"/>
      <c r="T692" s="50" t="s">
        <v>1303</v>
      </c>
      <c r="U692" s="50" t="s">
        <v>1303</v>
      </c>
      <c r="V692" s="48">
        <v>0.0</v>
      </c>
      <c r="W692" s="68">
        <v>0.0</v>
      </c>
      <c r="X692" s="50" t="s">
        <v>1304</v>
      </c>
      <c r="Y692" s="50" t="s">
        <v>1305</v>
      </c>
    </row>
    <row r="693">
      <c r="A693" s="65">
        <f>ROW()-ROW(Table_Actions[N])</f>
        <v>457</v>
      </c>
      <c r="B693" s="54" t="s">
        <v>1928</v>
      </c>
      <c r="C693" s="62" t="b">
        <v>0</v>
      </c>
      <c r="D693" s="63" t="s">
        <v>1322</v>
      </c>
      <c r="E693" s="63" t="s">
        <v>37</v>
      </c>
      <c r="F693" s="63" t="s">
        <v>364</v>
      </c>
      <c r="G693" s="63" t="s">
        <v>732</v>
      </c>
      <c r="H693" s="63" t="s">
        <v>1294</v>
      </c>
      <c r="I693" s="66" t="s">
        <v>730</v>
      </c>
      <c r="J693" s="63" t="s">
        <v>1295</v>
      </c>
      <c r="K693" s="63" t="s">
        <v>731</v>
      </c>
      <c r="L693" s="63" t="s">
        <v>1296</v>
      </c>
      <c r="M693" s="63" t="s">
        <v>1297</v>
      </c>
      <c r="N693" s="63" t="s">
        <v>1298</v>
      </c>
      <c r="O693" s="63" t="s">
        <v>1299</v>
      </c>
      <c r="P693" s="63" t="s">
        <v>1300</v>
      </c>
      <c r="Q693" s="50" t="s">
        <v>1301</v>
      </c>
      <c r="R693" s="50" t="s">
        <v>1302</v>
      </c>
      <c r="T693" s="50" t="s">
        <v>1303</v>
      </c>
      <c r="U693" s="50" t="s">
        <v>1303</v>
      </c>
      <c r="V693" s="48">
        <v>0.0</v>
      </c>
      <c r="W693" s="68">
        <v>0.0</v>
      </c>
      <c r="X693" s="50" t="s">
        <v>1304</v>
      </c>
      <c r="Y693" s="50" t="s">
        <v>1305</v>
      </c>
    </row>
    <row r="694">
      <c r="A694" s="65">
        <f>ROW()-ROW(Table_Actions[N])</f>
        <v>458</v>
      </c>
      <c r="B694" s="54" t="s">
        <v>1929</v>
      </c>
      <c r="C694" s="62" t="b">
        <v>0</v>
      </c>
      <c r="D694" s="63" t="s">
        <v>1310</v>
      </c>
      <c r="E694" s="63" t="s">
        <v>361</v>
      </c>
      <c r="F694" s="63" t="s">
        <v>364</v>
      </c>
      <c r="G694" s="63" t="s">
        <v>732</v>
      </c>
      <c r="H694" s="63" t="s">
        <v>1294</v>
      </c>
      <c r="I694" s="66" t="s">
        <v>995</v>
      </c>
      <c r="J694" s="63" t="s">
        <v>1295</v>
      </c>
      <c r="K694" s="63" t="s">
        <v>731</v>
      </c>
      <c r="L694" s="63" t="s">
        <v>1296</v>
      </c>
      <c r="M694" s="63" t="s">
        <v>1297</v>
      </c>
      <c r="N694" s="63" t="s">
        <v>1298</v>
      </c>
      <c r="O694" s="63" t="s">
        <v>1299</v>
      </c>
      <c r="P694" s="63" t="s">
        <v>1300</v>
      </c>
      <c r="Q694" s="50" t="s">
        <v>1301</v>
      </c>
      <c r="R694" s="50" t="s">
        <v>1302</v>
      </c>
      <c r="T694" s="50" t="s">
        <v>1303</v>
      </c>
      <c r="U694" s="50" t="s">
        <v>1303</v>
      </c>
      <c r="V694" s="48">
        <v>0.0</v>
      </c>
      <c r="W694" s="68">
        <v>0.0</v>
      </c>
      <c r="X694" s="50" t="s">
        <v>1304</v>
      </c>
      <c r="Y694" s="50" t="s">
        <v>1305</v>
      </c>
    </row>
    <row r="695">
      <c r="A695" s="65">
        <f>ROW()-ROW(Table_Actions[N])</f>
        <v>459</v>
      </c>
      <c r="B695" s="54" t="s">
        <v>996</v>
      </c>
      <c r="C695" s="62" t="b">
        <v>0</v>
      </c>
      <c r="D695" s="63" t="s">
        <v>1350</v>
      </c>
      <c r="E695" s="63" t="s">
        <v>361</v>
      </c>
      <c r="F695" s="63" t="s">
        <v>364</v>
      </c>
      <c r="G695" s="63" t="s">
        <v>732</v>
      </c>
      <c r="H695" s="63" t="s">
        <v>1294</v>
      </c>
      <c r="I695" s="66" t="s">
        <v>730</v>
      </c>
      <c r="J695" s="63" t="s">
        <v>1295</v>
      </c>
      <c r="K695" s="63" t="s">
        <v>731</v>
      </c>
      <c r="L695" s="63" t="s">
        <v>1353</v>
      </c>
      <c r="M695" s="63" t="s">
        <v>1297</v>
      </c>
      <c r="N695" s="63" t="s">
        <v>1930</v>
      </c>
      <c r="O695" s="63" t="s">
        <v>1299</v>
      </c>
      <c r="P695" s="63" t="s">
        <v>1300</v>
      </c>
      <c r="Q695" s="50" t="s">
        <v>1301</v>
      </c>
      <c r="R695" s="50" t="s">
        <v>1302</v>
      </c>
      <c r="T695" s="50" t="s">
        <v>1303</v>
      </c>
      <c r="U695" s="50" t="s">
        <v>1303</v>
      </c>
      <c r="V695" s="48">
        <v>0.0</v>
      </c>
      <c r="W695" s="68">
        <v>0.0</v>
      </c>
      <c r="X695" s="50" t="s">
        <v>1304</v>
      </c>
      <c r="Y695" s="50" t="s">
        <v>1305</v>
      </c>
    </row>
    <row r="696">
      <c r="A696" s="65">
        <f>ROW()-ROW(Table_Actions[N])</f>
        <v>460</v>
      </c>
      <c r="B696" s="54" t="s">
        <v>1086</v>
      </c>
      <c r="C696" s="62" t="b">
        <v>0</v>
      </c>
      <c r="D696" s="63" t="s">
        <v>1350</v>
      </c>
      <c r="E696" s="63" t="s">
        <v>361</v>
      </c>
      <c r="F696" s="63" t="s">
        <v>364</v>
      </c>
      <c r="G696" s="63" t="s">
        <v>732</v>
      </c>
      <c r="H696" s="63" t="s">
        <v>1294</v>
      </c>
      <c r="I696" s="66" t="s">
        <v>730</v>
      </c>
      <c r="J696" s="63" t="s">
        <v>1295</v>
      </c>
      <c r="K696" s="63" t="s">
        <v>731</v>
      </c>
      <c r="L696" s="63" t="s">
        <v>1353</v>
      </c>
      <c r="M696" s="63" t="s">
        <v>1297</v>
      </c>
      <c r="N696" s="63" t="s">
        <v>1931</v>
      </c>
      <c r="O696" s="63" t="s">
        <v>1299</v>
      </c>
      <c r="P696" s="63" t="s">
        <v>1300</v>
      </c>
      <c r="Q696" s="50" t="s">
        <v>1301</v>
      </c>
      <c r="R696" s="50" t="s">
        <v>1302</v>
      </c>
      <c r="T696" s="50" t="s">
        <v>1303</v>
      </c>
      <c r="U696" s="50" t="s">
        <v>1303</v>
      </c>
      <c r="V696" s="48">
        <v>0.0</v>
      </c>
      <c r="W696" s="68">
        <v>0.0</v>
      </c>
      <c r="X696" s="50" t="s">
        <v>1304</v>
      </c>
      <c r="Y696" s="50" t="s">
        <v>1305</v>
      </c>
    </row>
    <row r="697">
      <c r="A697" s="65">
        <f>ROW()-ROW(Table_Actions[N])</f>
        <v>461</v>
      </c>
      <c r="B697" s="54" t="s">
        <v>1932</v>
      </c>
      <c r="C697" s="62" t="b">
        <v>1</v>
      </c>
      <c r="D697" s="63" t="s">
        <v>1372</v>
      </c>
      <c r="E697" s="63" t="s">
        <v>367</v>
      </c>
      <c r="F697" s="63" t="s">
        <v>364</v>
      </c>
      <c r="G697" s="63" t="s">
        <v>732</v>
      </c>
      <c r="H697" s="63" t="s">
        <v>1294</v>
      </c>
      <c r="I697" s="66" t="s">
        <v>730</v>
      </c>
      <c r="J697" s="63" t="s">
        <v>1295</v>
      </c>
      <c r="K697" s="63" t="s">
        <v>731</v>
      </c>
      <c r="L697" s="63" t="s">
        <v>1296</v>
      </c>
      <c r="M697" s="63" t="s">
        <v>1297</v>
      </c>
      <c r="N697" s="63" t="s">
        <v>1298</v>
      </c>
      <c r="O697" s="63" t="s">
        <v>1933</v>
      </c>
      <c r="P697" s="63" t="s">
        <v>1300</v>
      </c>
      <c r="Q697" s="50" t="s">
        <v>1301</v>
      </c>
      <c r="R697" s="50" t="s">
        <v>1302</v>
      </c>
      <c r="T697" s="67" t="s">
        <v>1303</v>
      </c>
      <c r="U697" s="67" t="s">
        <v>1303</v>
      </c>
      <c r="V697" s="48">
        <v>0.0</v>
      </c>
      <c r="W697" s="68">
        <v>0.0</v>
      </c>
      <c r="X697" s="50" t="s">
        <v>1304</v>
      </c>
      <c r="Y697" s="50" t="s">
        <v>1305</v>
      </c>
    </row>
    <row r="698">
      <c r="A698" s="65">
        <f>ROW()-ROW(Table_Actions[N])</f>
        <v>462</v>
      </c>
      <c r="B698" s="54" t="s">
        <v>1934</v>
      </c>
      <c r="C698" s="62" t="b">
        <v>1</v>
      </c>
      <c r="D698" s="63" t="s">
        <v>1372</v>
      </c>
      <c r="E698" s="63" t="s">
        <v>367</v>
      </c>
      <c r="F698" s="63" t="s">
        <v>364</v>
      </c>
      <c r="G698" s="63" t="s">
        <v>732</v>
      </c>
      <c r="H698" s="63" t="s">
        <v>1294</v>
      </c>
      <c r="I698" s="66" t="s">
        <v>730</v>
      </c>
      <c r="J698" s="63" t="s">
        <v>1295</v>
      </c>
      <c r="K698" s="63" t="s">
        <v>731</v>
      </c>
      <c r="L698" s="63" t="s">
        <v>1296</v>
      </c>
      <c r="M698" s="63" t="s">
        <v>1297</v>
      </c>
      <c r="N698" s="63" t="s">
        <v>1298</v>
      </c>
      <c r="O698" s="63" t="s">
        <v>1521</v>
      </c>
      <c r="P698" s="63" t="s">
        <v>1300</v>
      </c>
      <c r="Q698" s="50" t="s">
        <v>1301</v>
      </c>
      <c r="R698" s="50" t="s">
        <v>1302</v>
      </c>
      <c r="T698" s="67" t="s">
        <v>1303</v>
      </c>
      <c r="U698" s="67" t="s">
        <v>1303</v>
      </c>
      <c r="V698" s="48">
        <v>0.0</v>
      </c>
      <c r="W698" s="68">
        <v>0.0</v>
      </c>
      <c r="X698" s="50" t="s">
        <v>1304</v>
      </c>
      <c r="Y698" s="50" t="s">
        <v>1305</v>
      </c>
    </row>
    <row r="699">
      <c r="A699" s="65">
        <f>ROW()-ROW(Table_Actions[N])</f>
        <v>463</v>
      </c>
      <c r="B699" s="54" t="s">
        <v>1935</v>
      </c>
      <c r="C699" s="62" t="b">
        <v>0</v>
      </c>
      <c r="D699" s="63" t="s">
        <v>1516</v>
      </c>
      <c r="E699" s="63" t="s">
        <v>361</v>
      </c>
      <c r="F699" s="63" t="s">
        <v>364</v>
      </c>
      <c r="G699" s="63" t="s">
        <v>732</v>
      </c>
      <c r="H699" s="63" t="s">
        <v>1294</v>
      </c>
      <c r="I699" s="66" t="s">
        <v>730</v>
      </c>
      <c r="J699" s="63" t="s">
        <v>1295</v>
      </c>
      <c r="K699" s="63" t="s">
        <v>731</v>
      </c>
      <c r="L699" s="63" t="s">
        <v>1296</v>
      </c>
      <c r="M699" s="63" t="s">
        <v>1297</v>
      </c>
      <c r="N699" s="63" t="s">
        <v>1298</v>
      </c>
      <c r="O699" s="63" t="s">
        <v>1299</v>
      </c>
      <c r="P699" s="63" t="s">
        <v>1300</v>
      </c>
      <c r="Q699" s="50" t="s">
        <v>1936</v>
      </c>
      <c r="R699" s="50" t="s">
        <v>1302</v>
      </c>
      <c r="T699" s="50" t="s">
        <v>1303</v>
      </c>
      <c r="U699" s="50" t="s">
        <v>1303</v>
      </c>
      <c r="V699" s="48">
        <v>0.0</v>
      </c>
      <c r="W699" s="68">
        <v>0.0</v>
      </c>
      <c r="X699" s="50" t="s">
        <v>1304</v>
      </c>
      <c r="Y699" s="50" t="s">
        <v>1305</v>
      </c>
    </row>
    <row r="700">
      <c r="A700" s="65">
        <f>ROW()-ROW(Table_Actions[N])</f>
        <v>464</v>
      </c>
      <c r="B700" s="54" t="s">
        <v>1937</v>
      </c>
      <c r="C700" s="62" t="b">
        <v>0</v>
      </c>
      <c r="D700" s="63" t="s">
        <v>1516</v>
      </c>
      <c r="E700" s="63" t="s">
        <v>361</v>
      </c>
      <c r="F700" s="63" t="s">
        <v>364</v>
      </c>
      <c r="G700" s="63" t="s">
        <v>732</v>
      </c>
      <c r="H700" s="63" t="s">
        <v>1294</v>
      </c>
      <c r="I700" s="66" t="s">
        <v>730</v>
      </c>
      <c r="J700" s="63" t="s">
        <v>1295</v>
      </c>
      <c r="K700" s="63" t="s">
        <v>731</v>
      </c>
      <c r="L700" s="63" t="s">
        <v>1296</v>
      </c>
      <c r="M700" s="63" t="s">
        <v>1297</v>
      </c>
      <c r="N700" s="63" t="s">
        <v>1298</v>
      </c>
      <c r="O700" s="63" t="s">
        <v>1299</v>
      </c>
      <c r="P700" s="63" t="s">
        <v>1300</v>
      </c>
      <c r="Q700" s="50" t="s">
        <v>1938</v>
      </c>
      <c r="R700" s="50" t="s">
        <v>1302</v>
      </c>
      <c r="T700" s="50" t="s">
        <v>1303</v>
      </c>
      <c r="U700" s="50" t="s">
        <v>1303</v>
      </c>
      <c r="V700" s="48">
        <v>0.0</v>
      </c>
      <c r="W700" s="68">
        <v>0.0</v>
      </c>
      <c r="X700" s="50" t="s">
        <v>1304</v>
      </c>
      <c r="Y700" s="50" t="s">
        <v>1305</v>
      </c>
    </row>
    <row r="701">
      <c r="A701" s="65">
        <f>ROW()-ROW(Table_Actions[N])</f>
        <v>465</v>
      </c>
      <c r="B701" s="54" t="s">
        <v>1265</v>
      </c>
      <c r="C701" s="62" t="b">
        <v>0</v>
      </c>
      <c r="D701" s="63" t="s">
        <v>1318</v>
      </c>
      <c r="E701" s="63" t="s">
        <v>703</v>
      </c>
      <c r="F701" s="63" t="s">
        <v>364</v>
      </c>
      <c r="G701" s="63" t="s">
        <v>732</v>
      </c>
      <c r="H701" s="63" t="s">
        <v>1294</v>
      </c>
      <c r="I701" s="66" t="s">
        <v>730</v>
      </c>
      <c r="J701" s="63" t="s">
        <v>1295</v>
      </c>
      <c r="K701" s="63" t="s">
        <v>731</v>
      </c>
      <c r="L701" s="63" t="s">
        <v>1296</v>
      </c>
      <c r="M701" s="63" t="s">
        <v>1297</v>
      </c>
      <c r="N701" s="63" t="s">
        <v>1298</v>
      </c>
      <c r="O701" s="63" t="s">
        <v>1299</v>
      </c>
      <c r="P701" s="63" t="s">
        <v>1300</v>
      </c>
      <c r="Q701" s="50" t="s">
        <v>1301</v>
      </c>
      <c r="R701" s="50" t="s">
        <v>1302</v>
      </c>
      <c r="T701" s="50" t="s">
        <v>1303</v>
      </c>
      <c r="U701" s="50" t="s">
        <v>1303</v>
      </c>
      <c r="V701" s="48">
        <v>0.0</v>
      </c>
      <c r="W701" s="68">
        <v>0.0</v>
      </c>
      <c r="X701" s="50" t="s">
        <v>1304</v>
      </c>
      <c r="Y701" s="50" t="s">
        <v>1305</v>
      </c>
    </row>
    <row r="702">
      <c r="A702" s="65">
        <f>ROW()-ROW(Table_Actions[N])</f>
        <v>466</v>
      </c>
      <c r="B702" s="54" t="s">
        <v>1939</v>
      </c>
      <c r="C702" s="62" t="b">
        <v>0</v>
      </c>
      <c r="D702" s="63" t="s">
        <v>1318</v>
      </c>
      <c r="E702" s="63" t="s">
        <v>705</v>
      </c>
      <c r="F702" s="63" t="s">
        <v>364</v>
      </c>
      <c r="G702" s="63" t="s">
        <v>732</v>
      </c>
      <c r="H702" s="63" t="s">
        <v>1294</v>
      </c>
      <c r="I702" s="66" t="s">
        <v>730</v>
      </c>
      <c r="J702" s="63" t="s">
        <v>1295</v>
      </c>
      <c r="K702" s="63" t="s">
        <v>731</v>
      </c>
      <c r="L702" s="63" t="s">
        <v>1296</v>
      </c>
      <c r="M702" s="63" t="s">
        <v>1297</v>
      </c>
      <c r="N702" s="63" t="s">
        <v>1298</v>
      </c>
      <c r="O702" s="63" t="s">
        <v>1299</v>
      </c>
      <c r="P702" s="63" t="s">
        <v>1300</v>
      </c>
      <c r="Q702" s="50" t="s">
        <v>1301</v>
      </c>
      <c r="R702" s="50" t="s">
        <v>1302</v>
      </c>
      <c r="T702" s="50" t="s">
        <v>1303</v>
      </c>
      <c r="U702" s="50" t="s">
        <v>1303</v>
      </c>
      <c r="V702" s="48">
        <v>0.0</v>
      </c>
      <c r="W702" s="68">
        <v>0.0</v>
      </c>
      <c r="X702" s="50" t="s">
        <v>1304</v>
      </c>
      <c r="Y702" s="50" t="s">
        <v>1305</v>
      </c>
    </row>
    <row r="703">
      <c r="A703" s="65">
        <f>ROW()-ROW(Table_Actions[N])</f>
        <v>467</v>
      </c>
      <c r="B703" s="54" t="s">
        <v>1940</v>
      </c>
      <c r="C703" s="62" t="b">
        <v>0</v>
      </c>
      <c r="D703" s="63" t="s">
        <v>1322</v>
      </c>
      <c r="E703" s="63" t="s">
        <v>703</v>
      </c>
      <c r="F703" s="63" t="s">
        <v>364</v>
      </c>
      <c r="G703" s="63" t="s">
        <v>732</v>
      </c>
      <c r="H703" s="63" t="s">
        <v>1294</v>
      </c>
      <c r="I703" s="66" t="s">
        <v>730</v>
      </c>
      <c r="J703" s="63" t="s">
        <v>1295</v>
      </c>
      <c r="K703" s="63" t="s">
        <v>731</v>
      </c>
      <c r="L703" s="63" t="s">
        <v>1296</v>
      </c>
      <c r="M703" s="63" t="s">
        <v>1297</v>
      </c>
      <c r="N703" s="63" t="s">
        <v>1298</v>
      </c>
      <c r="O703" s="63" t="s">
        <v>1299</v>
      </c>
      <c r="P703" s="63" t="s">
        <v>1300</v>
      </c>
      <c r="Q703" s="50" t="s">
        <v>1301</v>
      </c>
      <c r="R703" s="50" t="s">
        <v>1302</v>
      </c>
      <c r="T703" s="50" t="s">
        <v>1303</v>
      </c>
      <c r="U703" s="50" t="s">
        <v>1303</v>
      </c>
      <c r="V703" s="48">
        <v>0.0</v>
      </c>
      <c r="W703" s="68">
        <v>0.0</v>
      </c>
      <c r="X703" s="50" t="s">
        <v>1304</v>
      </c>
      <c r="Y703" s="50" t="s">
        <v>1305</v>
      </c>
    </row>
    <row r="704">
      <c r="A704" s="65">
        <f>ROW()-ROW(Table_Actions[N])</f>
        <v>468</v>
      </c>
      <c r="B704" s="54" t="s">
        <v>1941</v>
      </c>
      <c r="C704" s="62" t="b">
        <v>0</v>
      </c>
      <c r="D704" s="63" t="s">
        <v>1322</v>
      </c>
      <c r="E704" s="63" t="s">
        <v>705</v>
      </c>
      <c r="F704" s="63" t="s">
        <v>364</v>
      </c>
      <c r="G704" s="63" t="s">
        <v>732</v>
      </c>
      <c r="H704" s="63" t="s">
        <v>1294</v>
      </c>
      <c r="I704" s="66" t="s">
        <v>730</v>
      </c>
      <c r="J704" s="63" t="s">
        <v>1295</v>
      </c>
      <c r="K704" s="63" t="s">
        <v>731</v>
      </c>
      <c r="L704" s="63" t="s">
        <v>1296</v>
      </c>
      <c r="M704" s="63" t="s">
        <v>1297</v>
      </c>
      <c r="N704" s="63" t="s">
        <v>1298</v>
      </c>
      <c r="O704" s="63" t="s">
        <v>1299</v>
      </c>
      <c r="P704" s="63" t="s">
        <v>1300</v>
      </c>
      <c r="Q704" s="50" t="s">
        <v>1301</v>
      </c>
      <c r="R704" s="50" t="s">
        <v>1302</v>
      </c>
      <c r="T704" s="50" t="s">
        <v>1303</v>
      </c>
      <c r="U704" s="50" t="s">
        <v>1303</v>
      </c>
      <c r="V704" s="48">
        <v>0.0</v>
      </c>
      <c r="W704" s="68">
        <v>0.0</v>
      </c>
      <c r="X704" s="50" t="s">
        <v>1304</v>
      </c>
      <c r="Y704" s="50" t="s">
        <v>1305</v>
      </c>
    </row>
    <row r="705">
      <c r="A705" s="65">
        <f>ROW()-ROW(Table_Actions[N])</f>
        <v>469</v>
      </c>
      <c r="B705" s="54" t="s">
        <v>1088</v>
      </c>
      <c r="C705" s="62" t="b">
        <v>0</v>
      </c>
      <c r="D705" s="63" t="s">
        <v>1350</v>
      </c>
      <c r="E705" s="63" t="s">
        <v>361</v>
      </c>
      <c r="F705" s="63" t="s">
        <v>364</v>
      </c>
      <c r="G705" s="63" t="s">
        <v>732</v>
      </c>
      <c r="H705" s="63" t="s">
        <v>1294</v>
      </c>
      <c r="I705" s="66" t="s">
        <v>730</v>
      </c>
      <c r="J705" s="63" t="s">
        <v>1295</v>
      </c>
      <c r="K705" s="63" t="s">
        <v>731</v>
      </c>
      <c r="L705" s="63" t="s">
        <v>1353</v>
      </c>
      <c r="M705" s="63" t="s">
        <v>1297</v>
      </c>
      <c r="N705" s="63" t="s">
        <v>1942</v>
      </c>
      <c r="O705" s="63" t="s">
        <v>1299</v>
      </c>
      <c r="P705" s="63" t="s">
        <v>1300</v>
      </c>
      <c r="Q705" s="50" t="s">
        <v>1301</v>
      </c>
      <c r="R705" s="50" t="s">
        <v>1302</v>
      </c>
      <c r="T705" s="50" t="s">
        <v>1303</v>
      </c>
      <c r="U705" s="50" t="s">
        <v>1303</v>
      </c>
      <c r="V705" s="48">
        <v>0.0</v>
      </c>
      <c r="W705" s="68">
        <v>0.0</v>
      </c>
      <c r="X705" s="50" t="s">
        <v>1304</v>
      </c>
      <c r="Y705" s="50" t="s">
        <v>1305</v>
      </c>
    </row>
    <row r="706">
      <c r="A706" s="65">
        <f>ROW()-ROW(Table_Actions[N])</f>
        <v>470</v>
      </c>
      <c r="B706" s="54" t="s">
        <v>1943</v>
      </c>
      <c r="C706" s="62" t="b">
        <v>0</v>
      </c>
      <c r="D706" s="63" t="s">
        <v>1372</v>
      </c>
      <c r="E706" s="63" t="s">
        <v>439</v>
      </c>
      <c r="F706" s="63" t="s">
        <v>364</v>
      </c>
      <c r="G706" s="63" t="s">
        <v>732</v>
      </c>
      <c r="H706" s="63" t="s">
        <v>1294</v>
      </c>
      <c r="I706" s="66" t="s">
        <v>730</v>
      </c>
      <c r="J706" s="63" t="s">
        <v>1295</v>
      </c>
      <c r="K706" s="63" t="s">
        <v>731</v>
      </c>
      <c r="L706" s="63" t="s">
        <v>1296</v>
      </c>
      <c r="M706" s="63" t="s">
        <v>1297</v>
      </c>
      <c r="N706" s="63" t="s">
        <v>1298</v>
      </c>
      <c r="O706" s="63" t="s">
        <v>1375</v>
      </c>
      <c r="P706" s="63" t="s">
        <v>1300</v>
      </c>
      <c r="Q706" s="50" t="s">
        <v>1301</v>
      </c>
      <c r="R706" s="50" t="s">
        <v>1302</v>
      </c>
      <c r="S706" s="48" t="s">
        <v>1376</v>
      </c>
      <c r="T706" s="67" t="s">
        <v>1303</v>
      </c>
      <c r="U706" s="67" t="s">
        <v>1303</v>
      </c>
      <c r="V706" s="48">
        <v>0.0</v>
      </c>
      <c r="W706" s="68">
        <v>0.0</v>
      </c>
      <c r="X706" s="50" t="s">
        <v>1304</v>
      </c>
      <c r="Y706" s="50" t="s">
        <v>1305</v>
      </c>
    </row>
    <row r="707">
      <c r="A707" s="65">
        <f>ROW()-ROW(Table_Actions[N])</f>
        <v>471</v>
      </c>
      <c r="B707" s="54" t="s">
        <v>1944</v>
      </c>
      <c r="C707" s="62" t="b">
        <v>1</v>
      </c>
      <c r="D707" s="63" t="s">
        <v>1372</v>
      </c>
      <c r="E707" s="63" t="s">
        <v>439</v>
      </c>
      <c r="F707" s="63" t="s">
        <v>364</v>
      </c>
      <c r="G707" s="63" t="s">
        <v>732</v>
      </c>
      <c r="H707" s="63" t="s">
        <v>1294</v>
      </c>
      <c r="I707" s="66" t="s">
        <v>730</v>
      </c>
      <c r="J707" s="63" t="s">
        <v>1295</v>
      </c>
      <c r="K707" s="63" t="s">
        <v>731</v>
      </c>
      <c r="L707" s="63" t="s">
        <v>1296</v>
      </c>
      <c r="M707" s="63" t="s">
        <v>1297</v>
      </c>
      <c r="N707" s="63" t="s">
        <v>1298</v>
      </c>
      <c r="O707" s="63" t="s">
        <v>1500</v>
      </c>
      <c r="P707" s="63" t="s">
        <v>1300</v>
      </c>
      <c r="Q707" s="50" t="s">
        <v>1301</v>
      </c>
      <c r="R707" s="50" t="s">
        <v>1302</v>
      </c>
      <c r="T707" s="67" t="s">
        <v>1303</v>
      </c>
      <c r="U707" s="67" t="s">
        <v>1303</v>
      </c>
      <c r="V707" s="48">
        <v>0.0</v>
      </c>
      <c r="W707" s="68">
        <v>0.0</v>
      </c>
      <c r="X707" s="50" t="s">
        <v>1304</v>
      </c>
      <c r="Y707" s="50" t="s">
        <v>1305</v>
      </c>
    </row>
    <row r="708">
      <c r="A708" s="65">
        <f>ROW()-ROW(Table_Actions[N])</f>
        <v>472</v>
      </c>
      <c r="B708" s="54" t="s">
        <v>1945</v>
      </c>
      <c r="C708" s="62" t="b">
        <v>0</v>
      </c>
      <c r="D708" s="63" t="s">
        <v>1372</v>
      </c>
      <c r="E708" s="63" t="s">
        <v>439</v>
      </c>
      <c r="F708" s="63" t="s">
        <v>364</v>
      </c>
      <c r="G708" s="63" t="s">
        <v>732</v>
      </c>
      <c r="H708" s="63" t="s">
        <v>1294</v>
      </c>
      <c r="I708" s="66" t="s">
        <v>730</v>
      </c>
      <c r="J708" s="63" t="s">
        <v>1295</v>
      </c>
      <c r="K708" s="63" t="s">
        <v>731</v>
      </c>
      <c r="L708" s="63" t="s">
        <v>1296</v>
      </c>
      <c r="M708" s="63" t="s">
        <v>1297</v>
      </c>
      <c r="N708" s="63" t="s">
        <v>1298</v>
      </c>
      <c r="O708" s="63" t="s">
        <v>1380</v>
      </c>
      <c r="P708" s="63" t="s">
        <v>1300</v>
      </c>
      <c r="Q708" s="50" t="s">
        <v>1301</v>
      </c>
      <c r="R708" s="50" t="s">
        <v>1302</v>
      </c>
      <c r="S708" s="48" t="s">
        <v>1376</v>
      </c>
      <c r="T708" s="67" t="s">
        <v>1303</v>
      </c>
      <c r="U708" s="67" t="s">
        <v>1303</v>
      </c>
      <c r="V708" s="48">
        <v>0.0</v>
      </c>
      <c r="W708" s="68">
        <v>0.0</v>
      </c>
      <c r="X708" s="50" t="s">
        <v>1304</v>
      </c>
      <c r="Y708" s="50" t="s">
        <v>1305</v>
      </c>
    </row>
    <row r="709">
      <c r="A709" s="65">
        <f>ROW()-ROW(Table_Actions[N])</f>
        <v>473</v>
      </c>
      <c r="B709" s="54" t="s">
        <v>1946</v>
      </c>
      <c r="C709" s="62" t="b">
        <v>1</v>
      </c>
      <c r="D709" s="63" t="s">
        <v>1372</v>
      </c>
      <c r="E709" s="63" t="s">
        <v>439</v>
      </c>
      <c r="F709" s="63" t="s">
        <v>364</v>
      </c>
      <c r="G709" s="63" t="s">
        <v>732</v>
      </c>
      <c r="H709" s="63" t="s">
        <v>1294</v>
      </c>
      <c r="I709" s="66" t="s">
        <v>730</v>
      </c>
      <c r="J709" s="63" t="s">
        <v>1295</v>
      </c>
      <c r="K709" s="63" t="s">
        <v>731</v>
      </c>
      <c r="L709" s="63" t="s">
        <v>1296</v>
      </c>
      <c r="M709" s="63" t="s">
        <v>1297</v>
      </c>
      <c r="N709" s="63" t="s">
        <v>1298</v>
      </c>
      <c r="O709" s="63" t="s">
        <v>1373</v>
      </c>
      <c r="P709" s="63" t="s">
        <v>1300</v>
      </c>
      <c r="Q709" s="50" t="s">
        <v>1301</v>
      </c>
      <c r="R709" s="50" t="s">
        <v>1302</v>
      </c>
      <c r="T709" s="67" t="s">
        <v>1303</v>
      </c>
      <c r="U709" s="67" t="s">
        <v>1303</v>
      </c>
      <c r="V709" s="48">
        <v>0.0</v>
      </c>
      <c r="W709" s="68">
        <v>0.0</v>
      </c>
      <c r="X709" s="50" t="s">
        <v>1304</v>
      </c>
      <c r="Y709" s="50" t="s">
        <v>1305</v>
      </c>
    </row>
    <row r="710">
      <c r="A710" s="65">
        <f>ROW()-ROW(Table_Actions[N])</f>
        <v>474</v>
      </c>
      <c r="B710" s="54" t="s">
        <v>1947</v>
      </c>
      <c r="C710" s="62" t="b">
        <v>0</v>
      </c>
      <c r="D710" s="63" t="s">
        <v>1310</v>
      </c>
      <c r="E710" s="63" t="s">
        <v>361</v>
      </c>
      <c r="F710" s="63" t="s">
        <v>364</v>
      </c>
      <c r="G710" s="63" t="s">
        <v>732</v>
      </c>
      <c r="H710" s="63" t="s">
        <v>1294</v>
      </c>
      <c r="I710" s="66" t="s">
        <v>1948</v>
      </c>
      <c r="J710" s="63" t="s">
        <v>1295</v>
      </c>
      <c r="K710" s="63" t="s">
        <v>731</v>
      </c>
      <c r="L710" s="63" t="s">
        <v>1296</v>
      </c>
      <c r="M710" s="63" t="s">
        <v>1297</v>
      </c>
      <c r="N710" s="63" t="s">
        <v>1298</v>
      </c>
      <c r="O710" s="63" t="s">
        <v>1299</v>
      </c>
      <c r="P710" s="63" t="s">
        <v>1300</v>
      </c>
      <c r="Q710" s="50" t="s">
        <v>1301</v>
      </c>
      <c r="R710" s="50" t="s">
        <v>1302</v>
      </c>
      <c r="T710" s="50" t="s">
        <v>1303</v>
      </c>
      <c r="U710" s="50" t="s">
        <v>1303</v>
      </c>
      <c r="V710" s="48">
        <v>0.0</v>
      </c>
      <c r="W710" s="68">
        <v>0.0</v>
      </c>
      <c r="X710" s="50" t="s">
        <v>1304</v>
      </c>
      <c r="Y710" s="50" t="s">
        <v>1305</v>
      </c>
    </row>
    <row r="711">
      <c r="A711" s="65">
        <f>ROW()-ROW(Table_Actions[N])</f>
        <v>475</v>
      </c>
      <c r="B711" s="54" t="s">
        <v>1949</v>
      </c>
      <c r="C711" s="62" t="b">
        <v>0</v>
      </c>
      <c r="D711" s="63" t="s">
        <v>1367</v>
      </c>
      <c r="E711" s="63" t="s">
        <v>361</v>
      </c>
      <c r="F711" s="63" t="s">
        <v>364</v>
      </c>
      <c r="G711" s="63" t="s">
        <v>732</v>
      </c>
      <c r="H711" s="63" t="s">
        <v>1294</v>
      </c>
      <c r="I711" s="66" t="s">
        <v>730</v>
      </c>
      <c r="J711" s="63" t="s">
        <v>1295</v>
      </c>
      <c r="K711" s="63" t="s">
        <v>731</v>
      </c>
      <c r="L711" s="63" t="s">
        <v>1950</v>
      </c>
      <c r="M711" s="63" t="s">
        <v>1951</v>
      </c>
      <c r="N711" s="63" t="s">
        <v>1298</v>
      </c>
      <c r="O711" s="63" t="s">
        <v>1299</v>
      </c>
      <c r="P711" s="63" t="s">
        <v>1300</v>
      </c>
      <c r="Q711" s="50" t="s">
        <v>1301</v>
      </c>
      <c r="R711" s="50" t="s">
        <v>1302</v>
      </c>
      <c r="S711" s="48"/>
      <c r="T711" s="50" t="s">
        <v>1303</v>
      </c>
      <c r="U711" s="50" t="s">
        <v>1303</v>
      </c>
      <c r="V711" s="48">
        <v>0.0</v>
      </c>
      <c r="W711" s="68">
        <v>0.0</v>
      </c>
      <c r="X711" s="50" t="s">
        <v>1304</v>
      </c>
      <c r="Y711" s="50" t="s">
        <v>1305</v>
      </c>
    </row>
    <row r="712">
      <c r="A712" s="65">
        <f>ROW()-ROW(Table_Actions[N])</f>
        <v>476</v>
      </c>
      <c r="B712" s="54" t="s">
        <v>1952</v>
      </c>
      <c r="C712" s="62" t="b">
        <v>0</v>
      </c>
      <c r="D712" s="63" t="s">
        <v>1350</v>
      </c>
      <c r="E712" s="63" t="s">
        <v>361</v>
      </c>
      <c r="F712" s="63" t="s">
        <v>364</v>
      </c>
      <c r="G712" s="63" t="s">
        <v>732</v>
      </c>
      <c r="H712" s="63" t="s">
        <v>1294</v>
      </c>
      <c r="I712" s="66" t="s">
        <v>730</v>
      </c>
      <c r="J712" s="63" t="s">
        <v>1295</v>
      </c>
      <c r="K712" s="63" t="s">
        <v>731</v>
      </c>
      <c r="L712" s="63" t="s">
        <v>1353</v>
      </c>
      <c r="M712" s="63" t="s">
        <v>1297</v>
      </c>
      <c r="N712" s="63" t="s">
        <v>1953</v>
      </c>
      <c r="O712" s="63" t="s">
        <v>1299</v>
      </c>
      <c r="P712" s="63" t="s">
        <v>1300</v>
      </c>
      <c r="Q712" s="50" t="s">
        <v>1301</v>
      </c>
      <c r="R712" s="50" t="s">
        <v>1302</v>
      </c>
      <c r="S712" s="48"/>
      <c r="T712" s="50" t="s">
        <v>1303</v>
      </c>
      <c r="U712" s="50" t="s">
        <v>1303</v>
      </c>
      <c r="V712" s="48">
        <v>0.0</v>
      </c>
      <c r="W712" s="68">
        <v>0.0</v>
      </c>
      <c r="X712" s="50" t="s">
        <v>1304</v>
      </c>
      <c r="Y712" s="50" t="s">
        <v>1305</v>
      </c>
    </row>
    <row r="713">
      <c r="A713" s="65">
        <f>ROW()-ROW(Table_Actions[N])</f>
        <v>477</v>
      </c>
      <c r="B713" s="54" t="s">
        <v>1954</v>
      </c>
      <c r="C713" s="62" t="b">
        <v>1</v>
      </c>
      <c r="D713" s="63" t="s">
        <v>1350</v>
      </c>
      <c r="E713" s="63" t="s">
        <v>361</v>
      </c>
      <c r="F713" s="63" t="s">
        <v>364</v>
      </c>
      <c r="G713" s="63" t="s">
        <v>732</v>
      </c>
      <c r="H713" s="63" t="s">
        <v>1294</v>
      </c>
      <c r="I713" s="66" t="s">
        <v>730</v>
      </c>
      <c r="J713" s="63" t="s">
        <v>1295</v>
      </c>
      <c r="K713" s="63" t="s">
        <v>731</v>
      </c>
      <c r="L713" s="63" t="s">
        <v>1955</v>
      </c>
      <c r="M713" s="63" t="s">
        <v>1297</v>
      </c>
      <c r="N713" s="63" t="s">
        <v>1298</v>
      </c>
      <c r="O713" s="63" t="s">
        <v>1299</v>
      </c>
      <c r="P713" s="63" t="s">
        <v>1300</v>
      </c>
      <c r="Q713" s="50" t="s">
        <v>1301</v>
      </c>
      <c r="R713" s="50" t="s">
        <v>1302</v>
      </c>
      <c r="S713" s="48"/>
      <c r="T713" s="50" t="s">
        <v>1303</v>
      </c>
      <c r="U713" s="50" t="s">
        <v>1303</v>
      </c>
      <c r="V713" s="48">
        <v>0.0</v>
      </c>
      <c r="W713" s="68">
        <v>0.0</v>
      </c>
      <c r="X713" s="50" t="s">
        <v>1304</v>
      </c>
      <c r="Y713" s="50" t="s">
        <v>1305</v>
      </c>
    </row>
    <row r="714">
      <c r="A714" s="65">
        <f>ROW()-ROW(Table_Actions[N])</f>
        <v>478</v>
      </c>
      <c r="B714" s="54" t="s">
        <v>1956</v>
      </c>
      <c r="C714" s="62" t="b">
        <v>0</v>
      </c>
      <c r="D714" s="63" t="s">
        <v>1372</v>
      </c>
      <c r="E714" s="63" t="s">
        <v>367</v>
      </c>
      <c r="F714" s="63" t="s">
        <v>364</v>
      </c>
      <c r="G714" s="63" t="s">
        <v>732</v>
      </c>
      <c r="H714" s="63" t="s">
        <v>1294</v>
      </c>
      <c r="I714" s="66" t="s">
        <v>730</v>
      </c>
      <c r="J714" s="63" t="s">
        <v>1295</v>
      </c>
      <c r="K714" s="63" t="s">
        <v>731</v>
      </c>
      <c r="L714" s="63" t="s">
        <v>1296</v>
      </c>
      <c r="M714" s="63" t="s">
        <v>1297</v>
      </c>
      <c r="N714" s="63" t="s">
        <v>1298</v>
      </c>
      <c r="O714" s="63" t="s">
        <v>1375</v>
      </c>
      <c r="P714" s="63" t="s">
        <v>1300</v>
      </c>
      <c r="Q714" s="50" t="s">
        <v>1301</v>
      </c>
      <c r="R714" s="50" t="s">
        <v>1302</v>
      </c>
      <c r="S714" s="48" t="s">
        <v>1376</v>
      </c>
      <c r="T714" s="67" t="s">
        <v>1303</v>
      </c>
      <c r="U714" s="67" t="s">
        <v>1303</v>
      </c>
      <c r="V714" s="48">
        <v>0.0</v>
      </c>
      <c r="W714" s="68">
        <v>0.0</v>
      </c>
      <c r="X714" s="50" t="s">
        <v>1304</v>
      </c>
      <c r="Y714" s="50" t="s">
        <v>1305</v>
      </c>
    </row>
    <row r="715">
      <c r="A715" s="65">
        <f>ROW()-ROW(Table_Actions[N])</f>
        <v>479</v>
      </c>
      <c r="B715" s="54" t="s">
        <v>1957</v>
      </c>
      <c r="C715" s="62" t="b">
        <v>0</v>
      </c>
      <c r="D715" s="63" t="s">
        <v>1372</v>
      </c>
      <c r="E715" s="63" t="s">
        <v>367</v>
      </c>
      <c r="F715" s="63" t="s">
        <v>364</v>
      </c>
      <c r="G715" s="63" t="s">
        <v>732</v>
      </c>
      <c r="H715" s="63" t="s">
        <v>1294</v>
      </c>
      <c r="I715" s="66" t="s">
        <v>730</v>
      </c>
      <c r="J715" s="63" t="s">
        <v>1295</v>
      </c>
      <c r="K715" s="63" t="s">
        <v>731</v>
      </c>
      <c r="L715" s="63" t="s">
        <v>1296</v>
      </c>
      <c r="M715" s="63" t="s">
        <v>1297</v>
      </c>
      <c r="N715" s="63" t="s">
        <v>1298</v>
      </c>
      <c r="O715" s="63" t="s">
        <v>1375</v>
      </c>
      <c r="P715" s="63" t="s">
        <v>1300</v>
      </c>
      <c r="Q715" s="50" t="s">
        <v>1301</v>
      </c>
      <c r="R715" s="50" t="s">
        <v>1302</v>
      </c>
      <c r="T715" s="67" t="s">
        <v>1303</v>
      </c>
      <c r="U715" s="67" t="s">
        <v>1303</v>
      </c>
      <c r="V715" s="48">
        <v>0.0</v>
      </c>
      <c r="W715" s="68">
        <v>0.0</v>
      </c>
      <c r="X715" s="50" t="s">
        <v>1304</v>
      </c>
      <c r="Y715" s="50" t="s">
        <v>1305</v>
      </c>
    </row>
    <row r="716">
      <c r="A716" s="65">
        <f>ROW()-ROW(Table_Actions[N])</f>
        <v>480</v>
      </c>
      <c r="B716" s="54" t="s">
        <v>1958</v>
      </c>
      <c r="C716" s="62" t="b">
        <v>0</v>
      </c>
      <c r="D716" s="63" t="s">
        <v>1372</v>
      </c>
      <c r="E716" s="63" t="s">
        <v>367</v>
      </c>
      <c r="F716" s="63" t="s">
        <v>364</v>
      </c>
      <c r="G716" s="63" t="s">
        <v>732</v>
      </c>
      <c r="H716" s="63" t="s">
        <v>1294</v>
      </c>
      <c r="I716" s="66" t="s">
        <v>730</v>
      </c>
      <c r="J716" s="63" t="s">
        <v>1295</v>
      </c>
      <c r="K716" s="63" t="s">
        <v>731</v>
      </c>
      <c r="L716" s="63" t="s">
        <v>1296</v>
      </c>
      <c r="M716" s="63" t="s">
        <v>1297</v>
      </c>
      <c r="N716" s="63" t="s">
        <v>1298</v>
      </c>
      <c r="O716" s="63" t="s">
        <v>1380</v>
      </c>
      <c r="P716" s="63" t="s">
        <v>1300</v>
      </c>
      <c r="Q716" s="50" t="s">
        <v>1301</v>
      </c>
      <c r="R716" s="50" t="s">
        <v>1302</v>
      </c>
      <c r="S716" s="48" t="s">
        <v>1376</v>
      </c>
      <c r="T716" s="67" t="s">
        <v>1303</v>
      </c>
      <c r="U716" s="67" t="s">
        <v>1303</v>
      </c>
      <c r="V716" s="48">
        <v>0.0</v>
      </c>
      <c r="W716" s="68">
        <v>0.0</v>
      </c>
      <c r="X716" s="50" t="s">
        <v>1304</v>
      </c>
      <c r="Y716" s="50" t="s">
        <v>1305</v>
      </c>
    </row>
    <row r="717">
      <c r="A717" s="65">
        <f>ROW()-ROW(Table_Actions[N])</f>
        <v>481</v>
      </c>
      <c r="B717" s="54" t="s">
        <v>1267</v>
      </c>
      <c r="C717" s="62" t="b">
        <v>0</v>
      </c>
      <c r="D717" s="63" t="s">
        <v>1516</v>
      </c>
      <c r="E717" s="63" t="s">
        <v>361</v>
      </c>
      <c r="F717" s="63" t="s">
        <v>364</v>
      </c>
      <c r="G717" s="63" t="s">
        <v>732</v>
      </c>
      <c r="H717" s="63" t="s">
        <v>1294</v>
      </c>
      <c r="I717" s="66" t="s">
        <v>730</v>
      </c>
      <c r="J717" s="63" t="s">
        <v>1295</v>
      </c>
      <c r="K717" s="63" t="s">
        <v>731</v>
      </c>
      <c r="L717" s="63" t="s">
        <v>1296</v>
      </c>
      <c r="M717" s="63" t="s">
        <v>1297</v>
      </c>
      <c r="N717" s="63" t="s">
        <v>1298</v>
      </c>
      <c r="O717" s="63" t="s">
        <v>1299</v>
      </c>
      <c r="P717" s="63" t="s">
        <v>1300</v>
      </c>
      <c r="Q717" s="50" t="s">
        <v>1959</v>
      </c>
      <c r="R717" s="50" t="s">
        <v>1302</v>
      </c>
      <c r="T717" s="50" t="s">
        <v>1303</v>
      </c>
      <c r="U717" s="50" t="s">
        <v>1303</v>
      </c>
      <c r="V717" s="48">
        <v>0.0</v>
      </c>
      <c r="W717" s="68">
        <v>0.0</v>
      </c>
      <c r="X717" s="50" t="s">
        <v>1304</v>
      </c>
      <c r="Y717" s="50" t="s">
        <v>1305</v>
      </c>
    </row>
    <row r="718">
      <c r="A718" s="65">
        <f>ROW()-ROW(Table_Actions[N])</f>
        <v>482</v>
      </c>
      <c r="B718" s="54" t="s">
        <v>1960</v>
      </c>
      <c r="C718" s="62" t="b">
        <v>0</v>
      </c>
      <c r="D718" s="63" t="s">
        <v>1310</v>
      </c>
      <c r="E718" s="63" t="s">
        <v>361</v>
      </c>
      <c r="F718" s="63" t="s">
        <v>364</v>
      </c>
      <c r="G718" s="63" t="s">
        <v>732</v>
      </c>
      <c r="H718" s="63" t="s">
        <v>1294</v>
      </c>
      <c r="I718" s="66" t="s">
        <v>1961</v>
      </c>
      <c r="J718" s="63" t="s">
        <v>1295</v>
      </c>
      <c r="K718" s="63" t="s">
        <v>731</v>
      </c>
      <c r="L718" s="63" t="s">
        <v>1296</v>
      </c>
      <c r="M718" s="63" t="s">
        <v>1297</v>
      </c>
      <c r="N718" s="63" t="s">
        <v>1298</v>
      </c>
      <c r="O718" s="63" t="s">
        <v>1299</v>
      </c>
      <c r="P718" s="63" t="s">
        <v>1300</v>
      </c>
      <c r="Q718" s="50" t="s">
        <v>1301</v>
      </c>
      <c r="R718" s="50" t="s">
        <v>1302</v>
      </c>
      <c r="T718" s="50" t="s">
        <v>1303</v>
      </c>
      <c r="U718" s="50" t="s">
        <v>1303</v>
      </c>
      <c r="V718" s="48">
        <v>0.0</v>
      </c>
      <c r="W718" s="68">
        <v>0.0</v>
      </c>
      <c r="X718" s="50" t="s">
        <v>1304</v>
      </c>
      <c r="Y718" s="50" t="s">
        <v>1305</v>
      </c>
    </row>
    <row r="719">
      <c r="A719" s="65">
        <f>ROW()-ROW(Table_Actions[N])</f>
        <v>483</v>
      </c>
      <c r="B719" s="54" t="s">
        <v>1962</v>
      </c>
      <c r="C719" s="62" t="b">
        <v>0</v>
      </c>
      <c r="D719" s="63" t="s">
        <v>1312</v>
      </c>
      <c r="E719" s="63" t="s">
        <v>361</v>
      </c>
      <c r="F719" s="63" t="s">
        <v>364</v>
      </c>
      <c r="G719" s="63" t="s">
        <v>732</v>
      </c>
      <c r="H719" s="63" t="s">
        <v>1963</v>
      </c>
      <c r="I719" s="66" t="s">
        <v>730</v>
      </c>
      <c r="J719" s="63" t="s">
        <v>1295</v>
      </c>
      <c r="K719" s="63" t="s">
        <v>731</v>
      </c>
      <c r="L719" s="63" t="s">
        <v>1296</v>
      </c>
      <c r="M719" s="63" t="s">
        <v>1297</v>
      </c>
      <c r="N719" s="63" t="s">
        <v>1298</v>
      </c>
      <c r="O719" s="63" t="s">
        <v>1299</v>
      </c>
      <c r="P719" s="63" t="s">
        <v>1300</v>
      </c>
      <c r="Q719" s="50" t="s">
        <v>1301</v>
      </c>
      <c r="R719" s="50" t="s">
        <v>1302</v>
      </c>
      <c r="S719" s="48"/>
      <c r="T719" s="67" t="s">
        <v>1303</v>
      </c>
      <c r="U719" s="67" t="s">
        <v>1303</v>
      </c>
      <c r="V719" s="48">
        <v>0.0</v>
      </c>
      <c r="W719" s="68">
        <v>0.0</v>
      </c>
      <c r="X719" s="50" t="s">
        <v>1304</v>
      </c>
      <c r="Y719" s="50" t="s">
        <v>1305</v>
      </c>
    </row>
    <row r="720">
      <c r="A720" s="65">
        <f>ROW()-ROW(Table_Actions[N])</f>
        <v>484</v>
      </c>
      <c r="B720" s="54" t="s">
        <v>1964</v>
      </c>
      <c r="C720" s="62" t="b">
        <v>0</v>
      </c>
      <c r="D720" s="63" t="s">
        <v>1372</v>
      </c>
      <c r="E720" s="63" t="s">
        <v>709</v>
      </c>
      <c r="F720" s="63" t="s">
        <v>364</v>
      </c>
      <c r="G720" s="63" t="s">
        <v>732</v>
      </c>
      <c r="H720" s="63" t="s">
        <v>1294</v>
      </c>
      <c r="I720" s="66" t="s">
        <v>730</v>
      </c>
      <c r="J720" s="63" t="s">
        <v>1295</v>
      </c>
      <c r="K720" s="63" t="s">
        <v>731</v>
      </c>
      <c r="L720" s="63" t="s">
        <v>1296</v>
      </c>
      <c r="M720" s="63" t="s">
        <v>1297</v>
      </c>
      <c r="N720" s="63" t="s">
        <v>1298</v>
      </c>
      <c r="O720" s="63" t="s">
        <v>1375</v>
      </c>
      <c r="P720" s="63" t="s">
        <v>1300</v>
      </c>
      <c r="Q720" s="50" t="s">
        <v>1301</v>
      </c>
      <c r="R720" s="50" t="s">
        <v>1302</v>
      </c>
      <c r="S720" s="48" t="s">
        <v>1376</v>
      </c>
      <c r="T720" s="67" t="s">
        <v>1303</v>
      </c>
      <c r="U720" s="67" t="s">
        <v>1303</v>
      </c>
      <c r="V720" s="48">
        <v>0.0</v>
      </c>
      <c r="W720" s="68">
        <v>0.0</v>
      </c>
      <c r="X720" s="50" t="s">
        <v>1304</v>
      </c>
      <c r="Y720" s="50" t="s">
        <v>1305</v>
      </c>
    </row>
    <row r="721">
      <c r="A721" s="65">
        <f>ROW()-ROW(Table_Actions[N])</f>
        <v>485</v>
      </c>
      <c r="B721" s="54" t="s">
        <v>1965</v>
      </c>
      <c r="C721" s="62" t="b">
        <v>1</v>
      </c>
      <c r="D721" s="63" t="s">
        <v>1372</v>
      </c>
      <c r="E721" s="63" t="s">
        <v>709</v>
      </c>
      <c r="F721" s="63" t="s">
        <v>364</v>
      </c>
      <c r="G721" s="63" t="s">
        <v>732</v>
      </c>
      <c r="H721" s="63" t="s">
        <v>1294</v>
      </c>
      <c r="I721" s="66" t="s">
        <v>730</v>
      </c>
      <c r="J721" s="63" t="s">
        <v>1295</v>
      </c>
      <c r="K721" s="63" t="s">
        <v>731</v>
      </c>
      <c r="L721" s="63" t="s">
        <v>1296</v>
      </c>
      <c r="M721" s="63" t="s">
        <v>1297</v>
      </c>
      <c r="N721" s="63" t="s">
        <v>1298</v>
      </c>
      <c r="O721" s="63" t="s">
        <v>1495</v>
      </c>
      <c r="P721" s="63" t="s">
        <v>1300</v>
      </c>
      <c r="Q721" s="50" t="s">
        <v>1301</v>
      </c>
      <c r="R721" s="50" t="s">
        <v>1302</v>
      </c>
      <c r="T721" s="67" t="s">
        <v>1303</v>
      </c>
      <c r="U721" s="67" t="s">
        <v>1303</v>
      </c>
      <c r="V721" s="48">
        <v>0.0</v>
      </c>
      <c r="W721" s="68">
        <v>0.0</v>
      </c>
      <c r="X721" s="50" t="s">
        <v>1304</v>
      </c>
      <c r="Y721" s="50" t="s">
        <v>1305</v>
      </c>
    </row>
    <row r="722">
      <c r="A722" s="65">
        <f>ROW()-ROW(Table_Actions[N])</f>
        <v>486</v>
      </c>
      <c r="B722" s="54" t="s">
        <v>1966</v>
      </c>
      <c r="C722" s="62" t="b">
        <v>0</v>
      </c>
      <c r="D722" s="63" t="s">
        <v>1372</v>
      </c>
      <c r="E722" s="63" t="s">
        <v>709</v>
      </c>
      <c r="F722" s="63" t="s">
        <v>364</v>
      </c>
      <c r="G722" s="63" t="s">
        <v>732</v>
      </c>
      <c r="H722" s="63" t="s">
        <v>1294</v>
      </c>
      <c r="I722" s="66" t="s">
        <v>730</v>
      </c>
      <c r="J722" s="63" t="s">
        <v>1295</v>
      </c>
      <c r="K722" s="63" t="s">
        <v>731</v>
      </c>
      <c r="L722" s="63" t="s">
        <v>1296</v>
      </c>
      <c r="M722" s="63" t="s">
        <v>1297</v>
      </c>
      <c r="N722" s="63" t="s">
        <v>1298</v>
      </c>
      <c r="O722" s="63" t="s">
        <v>1380</v>
      </c>
      <c r="P722" s="63" t="s">
        <v>1300</v>
      </c>
      <c r="Q722" s="50" t="s">
        <v>1301</v>
      </c>
      <c r="R722" s="50" t="s">
        <v>1302</v>
      </c>
      <c r="S722" s="48" t="s">
        <v>1376</v>
      </c>
      <c r="T722" s="67" t="s">
        <v>1303</v>
      </c>
      <c r="U722" s="67" t="s">
        <v>1303</v>
      </c>
      <c r="V722" s="48">
        <v>0.0</v>
      </c>
      <c r="W722" s="68">
        <v>0.0</v>
      </c>
      <c r="X722" s="50" t="s">
        <v>1304</v>
      </c>
      <c r="Y722" s="50" t="s">
        <v>1305</v>
      </c>
    </row>
    <row r="723">
      <c r="A723" s="65">
        <f>ROW()-ROW(Table_Actions[N])</f>
        <v>487</v>
      </c>
      <c r="B723" s="54" t="s">
        <v>1967</v>
      </c>
      <c r="C723" s="62" t="b">
        <v>1</v>
      </c>
      <c r="D723" s="63" t="s">
        <v>1372</v>
      </c>
      <c r="E723" s="63" t="s">
        <v>709</v>
      </c>
      <c r="F723" s="63" t="s">
        <v>364</v>
      </c>
      <c r="G723" s="63" t="s">
        <v>732</v>
      </c>
      <c r="H723" s="63" t="s">
        <v>1294</v>
      </c>
      <c r="I723" s="66" t="s">
        <v>730</v>
      </c>
      <c r="J723" s="63" t="s">
        <v>1295</v>
      </c>
      <c r="K723" s="63" t="s">
        <v>731</v>
      </c>
      <c r="L723" s="63" t="s">
        <v>1296</v>
      </c>
      <c r="M723" s="63" t="s">
        <v>1297</v>
      </c>
      <c r="N723" s="63" t="s">
        <v>1298</v>
      </c>
      <c r="O723" s="63" t="s">
        <v>1500</v>
      </c>
      <c r="P723" s="63" t="s">
        <v>1300</v>
      </c>
      <c r="Q723" s="50" t="s">
        <v>1301</v>
      </c>
      <c r="R723" s="50" t="s">
        <v>1302</v>
      </c>
      <c r="T723" s="67" t="s">
        <v>1303</v>
      </c>
      <c r="U723" s="67" t="s">
        <v>1303</v>
      </c>
      <c r="V723" s="48">
        <v>0.0</v>
      </c>
      <c r="W723" s="68">
        <v>0.0</v>
      </c>
      <c r="X723" s="50" t="s">
        <v>1304</v>
      </c>
      <c r="Y723" s="50" t="s">
        <v>1305</v>
      </c>
    </row>
    <row r="724">
      <c r="A724" s="65">
        <f>ROW()-ROW(Table_Actions[N])</f>
        <v>488</v>
      </c>
      <c r="B724" s="54" t="s">
        <v>1968</v>
      </c>
      <c r="C724" s="62" t="b">
        <v>0</v>
      </c>
      <c r="D724" s="63" t="s">
        <v>1350</v>
      </c>
      <c r="E724" s="63" t="s">
        <v>361</v>
      </c>
      <c r="F724" s="63" t="s">
        <v>364</v>
      </c>
      <c r="G724" s="63" t="s">
        <v>732</v>
      </c>
      <c r="H724" s="63" t="s">
        <v>1294</v>
      </c>
      <c r="I724" s="66" t="s">
        <v>730</v>
      </c>
      <c r="J724" s="63" t="s">
        <v>1295</v>
      </c>
      <c r="K724" s="63" t="s">
        <v>731</v>
      </c>
      <c r="L724" s="63" t="s">
        <v>1969</v>
      </c>
      <c r="M724" s="63" t="s">
        <v>1297</v>
      </c>
      <c r="N724" s="63" t="s">
        <v>1298</v>
      </c>
      <c r="O724" s="63" t="s">
        <v>1299</v>
      </c>
      <c r="P724" s="63" t="s">
        <v>1300</v>
      </c>
      <c r="Q724" s="50" t="s">
        <v>1301</v>
      </c>
      <c r="R724" s="50" t="s">
        <v>1302</v>
      </c>
      <c r="S724" s="48"/>
      <c r="T724" s="50" t="s">
        <v>1303</v>
      </c>
      <c r="U724" s="50" t="s">
        <v>1303</v>
      </c>
      <c r="V724" s="48">
        <v>0.0</v>
      </c>
      <c r="W724" s="68">
        <v>0.0</v>
      </c>
      <c r="X724" s="50" t="s">
        <v>1304</v>
      </c>
      <c r="Y724" s="50" t="s">
        <v>1305</v>
      </c>
    </row>
    <row r="725">
      <c r="A725" s="65">
        <f>ROW()-ROW(Table_Actions[N])</f>
        <v>489</v>
      </c>
      <c r="B725" s="54" t="s">
        <v>1970</v>
      </c>
      <c r="C725" s="62" t="b">
        <v>0</v>
      </c>
      <c r="D725" s="63" t="s">
        <v>1310</v>
      </c>
      <c r="E725" s="63" t="s">
        <v>361</v>
      </c>
      <c r="F725" s="63" t="s">
        <v>364</v>
      </c>
      <c r="G725" s="63" t="s">
        <v>732</v>
      </c>
      <c r="H725" s="63" t="s">
        <v>1294</v>
      </c>
      <c r="I725" s="66" t="s">
        <v>1971</v>
      </c>
      <c r="J725" s="63" t="s">
        <v>1295</v>
      </c>
      <c r="K725" s="63" t="s">
        <v>731</v>
      </c>
      <c r="L725" s="63" t="s">
        <v>1296</v>
      </c>
      <c r="M725" s="63" t="s">
        <v>1297</v>
      </c>
      <c r="N725" s="63" t="s">
        <v>1298</v>
      </c>
      <c r="O725" s="63" t="s">
        <v>1299</v>
      </c>
      <c r="P725" s="63" t="s">
        <v>1300</v>
      </c>
      <c r="Q725" s="50" t="s">
        <v>1301</v>
      </c>
      <c r="R725" s="50" t="s">
        <v>1302</v>
      </c>
      <c r="S725" s="48"/>
      <c r="T725" s="50" t="s">
        <v>1303</v>
      </c>
      <c r="U725" s="50" t="s">
        <v>1303</v>
      </c>
      <c r="V725" s="48">
        <v>0.0</v>
      </c>
      <c r="W725" s="68">
        <v>0.0</v>
      </c>
      <c r="X725" s="50" t="s">
        <v>1304</v>
      </c>
      <c r="Y725" s="50" t="s">
        <v>1305</v>
      </c>
    </row>
    <row r="726">
      <c r="A726" s="65">
        <f>ROW()-ROW(Table_Actions[N])</f>
        <v>490</v>
      </c>
      <c r="B726" s="54" t="s">
        <v>1972</v>
      </c>
      <c r="C726" s="62" t="b">
        <v>0</v>
      </c>
      <c r="D726" s="63" t="s">
        <v>1310</v>
      </c>
      <c r="E726" s="63" t="s">
        <v>361</v>
      </c>
      <c r="F726" s="63" t="s">
        <v>364</v>
      </c>
      <c r="G726" s="63" t="s">
        <v>732</v>
      </c>
      <c r="H726" s="63" t="s">
        <v>1294</v>
      </c>
      <c r="I726" s="66" t="s">
        <v>1973</v>
      </c>
      <c r="J726" s="63" t="s">
        <v>1295</v>
      </c>
      <c r="K726" s="63" t="s">
        <v>731</v>
      </c>
      <c r="L726" s="63" t="s">
        <v>1296</v>
      </c>
      <c r="M726" s="63" t="s">
        <v>1297</v>
      </c>
      <c r="N726" s="63" t="s">
        <v>1298</v>
      </c>
      <c r="O726" s="63" t="s">
        <v>1299</v>
      </c>
      <c r="P726" s="63" t="s">
        <v>1300</v>
      </c>
      <c r="Q726" s="50" t="s">
        <v>1301</v>
      </c>
      <c r="R726" s="50" t="s">
        <v>1302</v>
      </c>
      <c r="S726" s="48"/>
      <c r="T726" s="50" t="s">
        <v>1303</v>
      </c>
      <c r="U726" s="50" t="s">
        <v>1303</v>
      </c>
      <c r="V726" s="48">
        <v>0.0</v>
      </c>
      <c r="W726" s="68">
        <v>0.0</v>
      </c>
      <c r="X726" s="50" t="s">
        <v>1304</v>
      </c>
      <c r="Y726" s="50" t="s">
        <v>1305</v>
      </c>
    </row>
    <row r="727">
      <c r="A727" s="65">
        <f>ROW()-ROW(Table_Actions[N])</f>
        <v>491</v>
      </c>
      <c r="B727" s="54" t="s">
        <v>1974</v>
      </c>
      <c r="C727" s="62" t="b">
        <v>0</v>
      </c>
      <c r="D727" s="63" t="s">
        <v>1367</v>
      </c>
      <c r="E727" s="63" t="s">
        <v>361</v>
      </c>
      <c r="F727" s="63" t="s">
        <v>364</v>
      </c>
      <c r="G727" s="63" t="s">
        <v>732</v>
      </c>
      <c r="H727" s="63" t="s">
        <v>1294</v>
      </c>
      <c r="I727" s="66" t="s">
        <v>730</v>
      </c>
      <c r="J727" s="63" t="s">
        <v>1295</v>
      </c>
      <c r="K727" s="63" t="s">
        <v>731</v>
      </c>
      <c r="L727" s="63" t="s">
        <v>1975</v>
      </c>
      <c r="M727" s="63" t="s">
        <v>1976</v>
      </c>
      <c r="N727" s="63" t="s">
        <v>1298</v>
      </c>
      <c r="O727" s="63" t="s">
        <v>1299</v>
      </c>
      <c r="P727" s="63" t="s">
        <v>1300</v>
      </c>
      <c r="Q727" s="50" t="s">
        <v>1301</v>
      </c>
      <c r="R727" s="50" t="s">
        <v>1302</v>
      </c>
      <c r="S727" s="48"/>
      <c r="T727" s="50" t="s">
        <v>1303</v>
      </c>
      <c r="U727" s="50" t="s">
        <v>1303</v>
      </c>
      <c r="V727" s="48">
        <v>0.0</v>
      </c>
      <c r="W727" s="68">
        <v>0.0</v>
      </c>
      <c r="X727" s="50" t="s">
        <v>1304</v>
      </c>
      <c r="Y727" s="50" t="s">
        <v>1305</v>
      </c>
    </row>
    <row r="728">
      <c r="A728" s="65">
        <f>ROW()-ROW(Table_Actions[N])</f>
        <v>492</v>
      </c>
      <c r="B728" s="54" t="s">
        <v>1977</v>
      </c>
      <c r="C728" s="62" t="b">
        <v>0</v>
      </c>
      <c r="D728" s="63" t="s">
        <v>1312</v>
      </c>
      <c r="E728" s="63" t="s">
        <v>361</v>
      </c>
      <c r="F728" s="63" t="s">
        <v>364</v>
      </c>
      <c r="G728" s="63" t="s">
        <v>732</v>
      </c>
      <c r="H728" s="63" t="s">
        <v>1978</v>
      </c>
      <c r="I728" s="66" t="s">
        <v>730</v>
      </c>
      <c r="J728" s="63" t="s">
        <v>1295</v>
      </c>
      <c r="K728" s="63" t="s">
        <v>731</v>
      </c>
      <c r="L728" s="63" t="s">
        <v>1296</v>
      </c>
      <c r="M728" s="63" t="s">
        <v>1297</v>
      </c>
      <c r="N728" s="63" t="s">
        <v>1298</v>
      </c>
      <c r="O728" s="63" t="s">
        <v>1299</v>
      </c>
      <c r="P728" s="63" t="s">
        <v>1300</v>
      </c>
      <c r="Q728" s="50" t="s">
        <v>1301</v>
      </c>
      <c r="R728" s="50" t="s">
        <v>1302</v>
      </c>
      <c r="S728" s="48"/>
      <c r="T728" s="67" t="s">
        <v>1303</v>
      </c>
      <c r="U728" s="67" t="s">
        <v>1303</v>
      </c>
      <c r="V728" s="48">
        <v>0.0</v>
      </c>
      <c r="W728" s="68">
        <v>0.0</v>
      </c>
      <c r="X728" s="50" t="s">
        <v>1304</v>
      </c>
      <c r="Y728" s="50" t="s">
        <v>1305</v>
      </c>
    </row>
    <row r="729">
      <c r="A729" s="65">
        <f>ROW()-ROW(Table_Actions[N])</f>
        <v>493</v>
      </c>
      <c r="B729" s="54" t="s">
        <v>1094</v>
      </c>
      <c r="C729" s="62" t="b">
        <v>0</v>
      </c>
      <c r="D729" s="63" t="s">
        <v>1350</v>
      </c>
      <c r="E729" s="63" t="s">
        <v>361</v>
      </c>
      <c r="F729" s="63" t="s">
        <v>364</v>
      </c>
      <c r="G729" s="63" t="s">
        <v>732</v>
      </c>
      <c r="H729" s="63" t="s">
        <v>1294</v>
      </c>
      <c r="I729" s="66" t="s">
        <v>730</v>
      </c>
      <c r="J729" s="63" t="s">
        <v>1295</v>
      </c>
      <c r="K729" s="63" t="s">
        <v>731</v>
      </c>
      <c r="L729" s="63" t="s">
        <v>1353</v>
      </c>
      <c r="M729" s="63" t="s">
        <v>1297</v>
      </c>
      <c r="N729" s="63" t="s">
        <v>1979</v>
      </c>
      <c r="O729" s="63" t="s">
        <v>1299</v>
      </c>
      <c r="P729" s="63" t="s">
        <v>1300</v>
      </c>
      <c r="Q729" s="50" t="s">
        <v>1301</v>
      </c>
      <c r="R729" s="50" t="s">
        <v>1302</v>
      </c>
      <c r="S729" s="48"/>
      <c r="T729" s="50" t="s">
        <v>1303</v>
      </c>
      <c r="U729" s="50" t="s">
        <v>1303</v>
      </c>
      <c r="V729" s="48">
        <v>0.0</v>
      </c>
      <c r="W729" s="68">
        <v>0.0</v>
      </c>
      <c r="X729" s="50" t="s">
        <v>1304</v>
      </c>
      <c r="Y729" s="50" t="s">
        <v>1305</v>
      </c>
    </row>
    <row r="730">
      <c r="A730" s="65">
        <f>ROW()-ROW(Table_Actions[N])</f>
        <v>494</v>
      </c>
      <c r="B730" s="54" t="s">
        <v>1980</v>
      </c>
      <c r="C730" s="62" t="b">
        <v>0</v>
      </c>
      <c r="D730" s="63" t="s">
        <v>1293</v>
      </c>
      <c r="E730" s="63" t="s">
        <v>361</v>
      </c>
      <c r="F730" s="63" t="s">
        <v>364</v>
      </c>
      <c r="G730" s="63" t="s">
        <v>732</v>
      </c>
      <c r="H730" s="63" t="s">
        <v>1294</v>
      </c>
      <c r="I730" s="66" t="s">
        <v>730</v>
      </c>
      <c r="J730" s="63" t="s">
        <v>1295</v>
      </c>
      <c r="K730" s="63" t="s">
        <v>731</v>
      </c>
      <c r="L730" s="63" t="s">
        <v>1296</v>
      </c>
      <c r="M730" s="63" t="s">
        <v>1297</v>
      </c>
      <c r="N730" s="63" t="s">
        <v>1298</v>
      </c>
      <c r="O730" s="63" t="s">
        <v>1299</v>
      </c>
      <c r="P730" s="63" t="s">
        <v>1300</v>
      </c>
      <c r="Q730" s="50" t="s">
        <v>1301</v>
      </c>
      <c r="R730" s="50" t="s">
        <v>1302</v>
      </c>
      <c r="S730" s="48"/>
      <c r="T730" s="67" t="s">
        <v>1303</v>
      </c>
      <c r="U730" s="67" t="s">
        <v>1303</v>
      </c>
      <c r="V730" s="48">
        <v>0.0</v>
      </c>
      <c r="W730" s="68">
        <v>0.0</v>
      </c>
      <c r="X730" s="50" t="s">
        <v>1304</v>
      </c>
      <c r="Y730" s="50" t="s">
        <v>1305</v>
      </c>
    </row>
  </sheetData>
  <dataValidations>
    <dataValidation type="list" allowBlank="1" sqref="I2:I162 I165:I233 I236:I730">
      <formula1>#REF!</formula1>
    </dataValidation>
    <dataValidation type="list" allowBlank="1" sqref="F165:F233">
      <formula1>#REF!</formula1>
    </dataValidation>
    <dataValidation type="list" allowBlank="1" sqref="G165:G233">
      <formula1>#REF!</formula1>
    </dataValidation>
    <dataValidation type="custom" allowBlank="1" showDropDown="1" sqref="W236:W730">
      <formula1>AND(ISNUMBER(W236),(NOT(OR(NOT(ISERROR(DATEVALUE(W236))), AND(ISNUMBER(W236), LEFT(CELL("format", W236))="D")))))</formula1>
    </dataValidation>
    <dataValidation type="list" allowBlank="1" sqref="D2:G162 H165:H233 D236:H730 J236:R730 T236:U730 X236:Y730">
      <formula1>#REF!</formula1>
    </dataValidation>
    <dataValidation type="list" allowBlank="1" sqref="C2:C162">
      <formula1>#REF!</formula1>
    </dataValidation>
  </dataValidations>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3" width="46.71"/>
    <col customWidth="1" min="4" max="4" width="37.86"/>
    <col customWidth="1" min="16" max="16" width="42.14"/>
    <col customWidth="1" min="17" max="17" width="63.29"/>
  </cols>
  <sheetData>
    <row r="1">
      <c r="A1" s="1" t="s">
        <v>49</v>
      </c>
      <c r="B1" s="1" t="s">
        <v>1981</v>
      </c>
      <c r="C1" s="1" t="s">
        <v>1982</v>
      </c>
      <c r="D1" s="64" t="s">
        <v>1983</v>
      </c>
    </row>
    <row r="2">
      <c r="A2" s="48">
        <f>ROW()-ROW(Table_sprites[N])</f>
        <v>0</v>
      </c>
      <c r="B2" s="48" t="s">
        <v>364</v>
      </c>
    </row>
    <row r="3">
      <c r="A3" s="48">
        <f>ROW()-ROW(Table_sprites[N])</f>
        <v>1</v>
      </c>
      <c r="B3" s="48" t="s">
        <v>385</v>
      </c>
      <c r="C3" s="87" t="s">
        <v>385</v>
      </c>
      <c r="D3" s="87" t="s">
        <v>1984</v>
      </c>
    </row>
    <row r="4">
      <c r="A4" s="48">
        <f>ROW()-ROW(Table_sprites[N])</f>
        <v>2</v>
      </c>
      <c r="B4" s="48" t="s">
        <v>1985</v>
      </c>
      <c r="C4" s="87" t="s">
        <v>1985</v>
      </c>
      <c r="D4" s="87" t="s">
        <v>1984</v>
      </c>
    </row>
    <row r="5">
      <c r="A5" s="48">
        <f>ROW()-ROW(Table_sprites[N])</f>
        <v>3</v>
      </c>
      <c r="B5" s="48" t="s">
        <v>1986</v>
      </c>
      <c r="C5" s="87" t="s">
        <v>1986</v>
      </c>
      <c r="D5" s="87" t="s">
        <v>1984</v>
      </c>
    </row>
    <row r="6">
      <c r="A6" s="48">
        <f>ROW()-ROW(Table_sprites[N])</f>
        <v>4</v>
      </c>
      <c r="B6" s="48" t="s">
        <v>1987</v>
      </c>
      <c r="C6" s="87" t="s">
        <v>1987</v>
      </c>
      <c r="D6" s="87" t="s">
        <v>1984</v>
      </c>
    </row>
    <row r="7">
      <c r="A7" s="48">
        <f>ROW()-ROW(Table_sprites[N])</f>
        <v>5</v>
      </c>
      <c r="B7" s="48" t="s">
        <v>1988</v>
      </c>
      <c r="C7" s="87" t="s">
        <v>1988</v>
      </c>
      <c r="D7" s="87" t="s">
        <v>1984</v>
      </c>
    </row>
    <row r="8">
      <c r="A8" s="48">
        <f>ROW()-ROW(Table_sprites[N])</f>
        <v>6</v>
      </c>
      <c r="B8" s="48" t="s">
        <v>1989</v>
      </c>
      <c r="C8" s="87" t="s">
        <v>1990</v>
      </c>
      <c r="D8" s="87" t="s">
        <v>1984</v>
      </c>
    </row>
    <row r="9">
      <c r="A9" s="48">
        <f>ROW()-ROW(Table_sprites[N])</f>
        <v>7</v>
      </c>
      <c r="B9" s="48" t="s">
        <v>1991</v>
      </c>
      <c r="C9" s="87" t="s">
        <v>1992</v>
      </c>
      <c r="D9" s="87" t="s">
        <v>1984</v>
      </c>
    </row>
    <row r="10">
      <c r="A10" s="48">
        <f>ROW()-ROW(Table_sprites[N])</f>
        <v>8</v>
      </c>
      <c r="B10" s="48" t="s">
        <v>1993</v>
      </c>
      <c r="C10" s="87" t="s">
        <v>1994</v>
      </c>
      <c r="D10" s="87" t="s">
        <v>1984</v>
      </c>
    </row>
    <row r="11">
      <c r="A11" s="48">
        <f>ROW()-ROW(Table_sprites[N])</f>
        <v>9</v>
      </c>
      <c r="B11" s="48" t="s">
        <v>1995</v>
      </c>
      <c r="C11" s="87" t="s">
        <v>1996</v>
      </c>
      <c r="D11" s="87" t="s">
        <v>1984</v>
      </c>
    </row>
    <row r="12">
      <c r="A12" s="48">
        <f>ROW()-ROW(Table_sprites[N])</f>
        <v>10</v>
      </c>
      <c r="B12" s="48" t="s">
        <v>1997</v>
      </c>
      <c r="C12" s="87" t="s">
        <v>1998</v>
      </c>
      <c r="D12" s="87" t="s">
        <v>1984</v>
      </c>
    </row>
    <row r="13">
      <c r="A13" s="48">
        <f>ROW()-ROW(Table_sprites[N])</f>
        <v>11</v>
      </c>
      <c r="B13" s="48" t="s">
        <v>1999</v>
      </c>
      <c r="C13" s="87" t="s">
        <v>1999</v>
      </c>
      <c r="D13" s="87" t="s">
        <v>2000</v>
      </c>
    </row>
    <row r="14">
      <c r="A14" s="48">
        <f>ROW()-ROW(Table_sprites[N])</f>
        <v>12</v>
      </c>
      <c r="B14" s="48" t="s">
        <v>376</v>
      </c>
      <c r="C14" s="87" t="s">
        <v>2001</v>
      </c>
      <c r="D14" s="87" t="s">
        <v>2000</v>
      </c>
    </row>
    <row r="15">
      <c r="A15" s="48">
        <f>ROW()-ROW(Table_sprites[N])</f>
        <v>13</v>
      </c>
      <c r="B15" s="48" t="s">
        <v>1316</v>
      </c>
      <c r="C15" s="87" t="s">
        <v>2002</v>
      </c>
      <c r="D15" s="87" t="s">
        <v>2000</v>
      </c>
    </row>
    <row r="16">
      <c r="A16" s="48">
        <f>ROW()-ROW(Table_sprites[N])</f>
        <v>14</v>
      </c>
      <c r="B16" s="48" t="s">
        <v>380</v>
      </c>
      <c r="C16" s="87" t="s">
        <v>2003</v>
      </c>
      <c r="D16" s="87" t="s">
        <v>2000</v>
      </c>
    </row>
    <row r="17">
      <c r="A17" s="48">
        <f>ROW()-ROW(Table_sprites[N])</f>
        <v>15</v>
      </c>
      <c r="B17" s="48" t="s">
        <v>381</v>
      </c>
      <c r="C17" s="87" t="s">
        <v>2004</v>
      </c>
      <c r="D17" s="87" t="s">
        <v>2005</v>
      </c>
    </row>
    <row r="18">
      <c r="A18" s="48">
        <f>ROW()-ROW(Table_sprites[N])</f>
        <v>16</v>
      </c>
      <c r="B18" s="48" t="s">
        <v>2006</v>
      </c>
      <c r="C18" s="87" t="s">
        <v>2007</v>
      </c>
      <c r="D18" s="87" t="s">
        <v>2000</v>
      </c>
    </row>
    <row r="19">
      <c r="A19" s="48">
        <f>ROW()-ROW(Table_sprites[N])</f>
        <v>17</v>
      </c>
      <c r="B19" s="48" t="s">
        <v>388</v>
      </c>
      <c r="C19" s="87" t="s">
        <v>2008</v>
      </c>
      <c r="D19" s="87" t="s">
        <v>2000</v>
      </c>
    </row>
    <row r="20">
      <c r="A20" s="48">
        <f>ROW()-ROW(Table_sprites[N])</f>
        <v>18</v>
      </c>
      <c r="B20" s="48" t="s">
        <v>2009</v>
      </c>
      <c r="C20" s="87" t="s">
        <v>2009</v>
      </c>
      <c r="D20" s="87" t="s">
        <v>2010</v>
      </c>
    </row>
    <row r="21">
      <c r="A21" s="48">
        <f>ROW()-ROW(Table_sprites[N])</f>
        <v>19</v>
      </c>
      <c r="B21" s="48" t="s">
        <v>395</v>
      </c>
      <c r="C21" s="48" t="s">
        <v>395</v>
      </c>
      <c r="D21" s="87" t="s">
        <v>2010</v>
      </c>
    </row>
    <row r="22">
      <c r="A22" s="48">
        <f>ROW()-ROW(Table_sprites[N])</f>
        <v>20</v>
      </c>
      <c r="B22" s="48" t="s">
        <v>2011</v>
      </c>
      <c r="C22" s="87" t="s">
        <v>2011</v>
      </c>
      <c r="D22" s="87" t="s">
        <v>2012</v>
      </c>
    </row>
    <row r="23">
      <c r="A23" s="48">
        <f>ROW()-ROW(Table_sprites[N])</f>
        <v>21</v>
      </c>
      <c r="B23" s="48" t="s">
        <v>2013</v>
      </c>
      <c r="C23" s="87" t="s">
        <v>2013</v>
      </c>
      <c r="D23" s="87" t="s">
        <v>2014</v>
      </c>
    </row>
    <row r="24">
      <c r="A24" s="48">
        <f>ROW()-ROW(Table_sprites[N])</f>
        <v>22</v>
      </c>
      <c r="B24" s="48" t="s">
        <v>653</v>
      </c>
      <c r="C24" s="87" t="s">
        <v>653</v>
      </c>
      <c r="D24" s="87" t="s">
        <v>2005</v>
      </c>
    </row>
    <row r="25">
      <c r="A25" s="48">
        <f>ROW()-ROW(Table_sprites[N])</f>
        <v>23</v>
      </c>
      <c r="B25" s="48" t="s">
        <v>410</v>
      </c>
      <c r="C25" s="87" t="s">
        <v>410</v>
      </c>
      <c r="D25" s="87" t="s">
        <v>2005</v>
      </c>
    </row>
    <row r="26">
      <c r="A26" s="48">
        <f>ROW()-ROW(Table_sprites[N])</f>
        <v>24</v>
      </c>
      <c r="B26" s="48" t="s">
        <v>2015</v>
      </c>
      <c r="C26" s="87" t="s">
        <v>2016</v>
      </c>
      <c r="D26" s="87" t="s">
        <v>2017</v>
      </c>
    </row>
    <row r="27">
      <c r="A27" s="48">
        <f>ROW()-ROW(Table_sprites[N])</f>
        <v>25</v>
      </c>
      <c r="B27" s="48" t="s">
        <v>2018</v>
      </c>
      <c r="C27" s="87" t="s">
        <v>2019</v>
      </c>
      <c r="D27" s="87" t="s">
        <v>2020</v>
      </c>
    </row>
    <row r="28">
      <c r="A28" s="48">
        <f>ROW()-ROW(Table_sprites[N])</f>
        <v>26</v>
      </c>
      <c r="B28" s="48" t="s">
        <v>2021</v>
      </c>
      <c r="C28" s="87" t="s">
        <v>2022</v>
      </c>
      <c r="D28" s="87" t="s">
        <v>2023</v>
      </c>
    </row>
    <row r="29">
      <c r="A29" s="48">
        <f>ROW()-ROW(Table_sprites[N])</f>
        <v>27</v>
      </c>
      <c r="B29" s="48" t="s">
        <v>2024</v>
      </c>
      <c r="C29" s="87" t="s">
        <v>2024</v>
      </c>
      <c r="D29" s="87" t="s">
        <v>2025</v>
      </c>
    </row>
    <row r="30">
      <c r="A30" s="48">
        <f>ROW()-ROW(Table_sprites[N])</f>
        <v>28</v>
      </c>
      <c r="B30" s="48" t="s">
        <v>2026</v>
      </c>
      <c r="C30" s="87" t="s">
        <v>2027</v>
      </c>
      <c r="D30" s="87" t="s">
        <v>2028</v>
      </c>
    </row>
    <row r="31">
      <c r="A31" s="48">
        <f>ROW()-ROW(Table_sprites[N])</f>
        <v>29</v>
      </c>
      <c r="B31" s="48" t="s">
        <v>2029</v>
      </c>
      <c r="C31" s="87" t="s">
        <v>2029</v>
      </c>
      <c r="D31" s="87" t="s">
        <v>2030</v>
      </c>
    </row>
    <row r="32">
      <c r="A32" s="48">
        <f>ROW()-ROW(Table_sprites[N])</f>
        <v>30</v>
      </c>
      <c r="B32" s="48" t="s">
        <v>2031</v>
      </c>
      <c r="C32" s="87" t="s">
        <v>2032</v>
      </c>
      <c r="D32" s="87" t="s">
        <v>2033</v>
      </c>
    </row>
    <row r="33">
      <c r="A33" s="48">
        <f>ROW()-ROW(Table_sprites[N])</f>
        <v>31</v>
      </c>
      <c r="B33" s="48" t="s">
        <v>2034</v>
      </c>
      <c r="C33" s="87" t="s">
        <v>2034</v>
      </c>
      <c r="D33" s="87" t="s">
        <v>2035</v>
      </c>
    </row>
    <row r="34">
      <c r="A34" s="48">
        <f>ROW()-ROW(Table_sprites[N])</f>
        <v>32</v>
      </c>
      <c r="B34" s="48" t="s">
        <v>2036</v>
      </c>
      <c r="C34" s="87" t="s">
        <v>2037</v>
      </c>
      <c r="D34" s="87" t="s">
        <v>2035</v>
      </c>
    </row>
    <row r="35">
      <c r="A35" s="48">
        <f>ROW()-ROW(Table_sprites[N])</f>
        <v>33</v>
      </c>
      <c r="B35" s="48" t="s">
        <v>430</v>
      </c>
      <c r="C35" s="87" t="s">
        <v>2038</v>
      </c>
      <c r="D35" s="87" t="s">
        <v>2035</v>
      </c>
    </row>
    <row r="36">
      <c r="A36" s="48">
        <f>ROW()-ROW(Table_sprites[N])</f>
        <v>34</v>
      </c>
      <c r="B36" s="48" t="s">
        <v>426</v>
      </c>
      <c r="C36" s="48" t="s">
        <v>426</v>
      </c>
      <c r="D36" s="87" t="s">
        <v>2035</v>
      </c>
    </row>
    <row r="37">
      <c r="A37" s="48">
        <f>ROW()-ROW(Table_sprites[N])</f>
        <v>35</v>
      </c>
      <c r="B37" s="48" t="s">
        <v>2039</v>
      </c>
      <c r="C37" s="87" t="s">
        <v>2039</v>
      </c>
      <c r="D37" s="87" t="s">
        <v>2040</v>
      </c>
    </row>
    <row r="38">
      <c r="A38" s="48">
        <f>ROW()-ROW(Table_sprites[N])</f>
        <v>36</v>
      </c>
      <c r="B38" s="48" t="s">
        <v>2041</v>
      </c>
      <c r="C38" s="87" t="s">
        <v>2041</v>
      </c>
      <c r="D38" s="87" t="s">
        <v>2042</v>
      </c>
    </row>
    <row r="39">
      <c r="A39" s="48">
        <f>ROW()-ROW(Table_sprites[N])</f>
        <v>37</v>
      </c>
      <c r="B39" s="48" t="s">
        <v>434</v>
      </c>
      <c r="C39" s="87" t="s">
        <v>434</v>
      </c>
      <c r="D39" s="87" t="s">
        <v>2040</v>
      </c>
    </row>
    <row r="40">
      <c r="A40" s="48">
        <f>ROW()-ROW(Table_sprites[N])</f>
        <v>38</v>
      </c>
      <c r="B40" s="48" t="s">
        <v>435</v>
      </c>
      <c r="C40" s="87" t="s">
        <v>435</v>
      </c>
      <c r="D40" s="87" t="s">
        <v>2005</v>
      </c>
    </row>
    <row r="41">
      <c r="A41" s="48">
        <f>ROW()-ROW(Table_sprites[N])</f>
        <v>39</v>
      </c>
      <c r="B41" s="48" t="s">
        <v>441</v>
      </c>
      <c r="C41" s="48" t="s">
        <v>441</v>
      </c>
      <c r="D41" s="48" t="s">
        <v>2043</v>
      </c>
    </row>
    <row r="42">
      <c r="A42" s="48">
        <f>ROW()-ROW(Table_sprites[N])</f>
        <v>40</v>
      </c>
      <c r="B42" s="48" t="s">
        <v>715</v>
      </c>
      <c r="C42" s="87" t="s">
        <v>715</v>
      </c>
      <c r="D42" s="87" t="s">
        <v>2005</v>
      </c>
    </row>
    <row r="43">
      <c r="A43" s="48">
        <f>ROW()-ROW(Table_sprites[N])</f>
        <v>41</v>
      </c>
      <c r="B43" s="48" t="s">
        <v>452</v>
      </c>
      <c r="C43" s="87" t="s">
        <v>452</v>
      </c>
      <c r="D43" s="87" t="s">
        <v>2023</v>
      </c>
    </row>
    <row r="44">
      <c r="A44" s="48">
        <f>ROW()-ROW(Table_sprites[N])</f>
        <v>42</v>
      </c>
      <c r="B44" s="48" t="s">
        <v>45</v>
      </c>
      <c r="C44" s="87" t="s">
        <v>653</v>
      </c>
      <c r="D44" s="87" t="s">
        <v>2005</v>
      </c>
    </row>
    <row r="45">
      <c r="A45" s="48">
        <f>ROW()-ROW(Table_sprites[N])</f>
        <v>43</v>
      </c>
      <c r="B45" s="48" t="s">
        <v>456</v>
      </c>
      <c r="C45" s="87" t="s">
        <v>456</v>
      </c>
      <c r="D45" s="87" t="s">
        <v>2023</v>
      </c>
    </row>
    <row r="46">
      <c r="A46" s="48">
        <f>ROW()-ROW(Table_sprites[N])</f>
        <v>44</v>
      </c>
      <c r="B46" s="48" t="s">
        <v>2044</v>
      </c>
      <c r="C46" s="87" t="s">
        <v>2045</v>
      </c>
      <c r="D46" s="87" t="s">
        <v>2046</v>
      </c>
    </row>
    <row r="47">
      <c r="A47" s="48">
        <f>ROW()-ROW(Table_sprites[N])</f>
        <v>45</v>
      </c>
      <c r="B47" s="48" t="s">
        <v>2047</v>
      </c>
      <c r="C47" s="87" t="s">
        <v>2048</v>
      </c>
      <c r="D47" s="87" t="s">
        <v>2049</v>
      </c>
    </row>
    <row r="48">
      <c r="A48" s="48">
        <f>ROW()-ROW(Table_sprites[N])</f>
        <v>46</v>
      </c>
      <c r="B48" s="48" t="s">
        <v>468</v>
      </c>
      <c r="C48" s="87" t="s">
        <v>468</v>
      </c>
      <c r="D48" s="87" t="s">
        <v>2012</v>
      </c>
    </row>
    <row r="49">
      <c r="A49" s="48">
        <f>ROW()-ROW(Table_sprites[N])</f>
        <v>47</v>
      </c>
      <c r="B49" s="48" t="s">
        <v>469</v>
      </c>
      <c r="C49" s="87" t="s">
        <v>2050</v>
      </c>
      <c r="D49" s="87" t="s">
        <v>2005</v>
      </c>
    </row>
    <row r="50">
      <c r="A50" s="48">
        <f>ROW()-ROW(Table_sprites[N])</f>
        <v>48</v>
      </c>
      <c r="B50" s="48" t="s">
        <v>473</v>
      </c>
      <c r="C50" s="87" t="s">
        <v>473</v>
      </c>
      <c r="D50" s="87" t="s">
        <v>2046</v>
      </c>
    </row>
    <row r="51">
      <c r="A51" s="48">
        <f>ROW()-ROW(Table_sprites[N])</f>
        <v>49</v>
      </c>
      <c r="B51" s="48" t="s">
        <v>481</v>
      </c>
      <c r="C51" s="87" t="s">
        <v>481</v>
      </c>
      <c r="D51" s="87" t="s">
        <v>2005</v>
      </c>
    </row>
    <row r="52">
      <c r="A52" s="48">
        <f>ROW()-ROW(Table_sprites[N])</f>
        <v>50</v>
      </c>
      <c r="B52" s="48" t="s">
        <v>488</v>
      </c>
      <c r="C52" s="87" t="s">
        <v>488</v>
      </c>
      <c r="D52" s="87" t="s">
        <v>2035</v>
      </c>
    </row>
    <row r="53">
      <c r="A53" s="48">
        <f>ROW()-ROW(Table_sprites[N])</f>
        <v>51</v>
      </c>
      <c r="B53" s="48" t="s">
        <v>492</v>
      </c>
      <c r="C53" s="87" t="s">
        <v>492</v>
      </c>
      <c r="D53" s="87" t="s">
        <v>2035</v>
      </c>
    </row>
    <row r="54">
      <c r="A54" s="48">
        <f>ROW()-ROW(Table_sprites[N])</f>
        <v>52</v>
      </c>
      <c r="B54" s="48" t="s">
        <v>2051</v>
      </c>
      <c r="C54" s="87" t="s">
        <v>2051</v>
      </c>
      <c r="D54" s="87" t="s">
        <v>2052</v>
      </c>
    </row>
    <row r="55">
      <c r="A55" s="48">
        <f>ROW()-ROW(Table_sprites[N])</f>
        <v>53</v>
      </c>
      <c r="B55" s="48" t="s">
        <v>2053</v>
      </c>
      <c r="C55" s="87" t="s">
        <v>2053</v>
      </c>
      <c r="D55" s="87" t="s">
        <v>2054</v>
      </c>
    </row>
    <row r="56">
      <c r="A56" s="48">
        <f>ROW()-ROW(Table_sprites[N])</f>
        <v>54</v>
      </c>
      <c r="B56" s="48" t="s">
        <v>2055</v>
      </c>
      <c r="C56" s="87" t="s">
        <v>2055</v>
      </c>
      <c r="D56" s="87" t="s">
        <v>2056</v>
      </c>
    </row>
    <row r="57">
      <c r="A57" s="48">
        <f>ROW()-ROW(Table_sprites[N])</f>
        <v>55</v>
      </c>
      <c r="B57" s="48" t="s">
        <v>2057</v>
      </c>
      <c r="C57" s="87" t="s">
        <v>2057</v>
      </c>
      <c r="D57" s="87" t="s">
        <v>2058</v>
      </c>
    </row>
    <row r="58">
      <c r="A58" s="48">
        <f>ROW()-ROW(Table_sprites[N])</f>
        <v>56</v>
      </c>
      <c r="B58" s="48" t="s">
        <v>21</v>
      </c>
      <c r="C58" s="87" t="s">
        <v>21</v>
      </c>
      <c r="D58" s="87" t="s">
        <v>2059</v>
      </c>
    </row>
    <row r="59">
      <c r="A59" s="48">
        <f>ROW()-ROW(Table_sprites[N])</f>
        <v>57</v>
      </c>
      <c r="B59" s="48" t="s">
        <v>2060</v>
      </c>
      <c r="C59" s="87" t="s">
        <v>2060</v>
      </c>
      <c r="D59" s="87" t="s">
        <v>2059</v>
      </c>
    </row>
    <row r="60">
      <c r="A60" s="48">
        <f>ROW()-ROW(Table_sprites[N])</f>
        <v>58</v>
      </c>
      <c r="B60" s="48" t="s">
        <v>496</v>
      </c>
      <c r="C60" s="87" t="s">
        <v>496</v>
      </c>
      <c r="D60" s="48" t="s">
        <v>2061</v>
      </c>
    </row>
    <row r="61">
      <c r="A61" s="48">
        <f>ROW()-ROW(Table_sprites[N])</f>
        <v>59</v>
      </c>
      <c r="B61" s="48" t="s">
        <v>370</v>
      </c>
      <c r="C61" s="48" t="s">
        <v>370</v>
      </c>
      <c r="D61" s="48" t="s">
        <v>2062</v>
      </c>
    </row>
    <row r="62">
      <c r="A62" s="48">
        <f>ROW()-ROW(Table_sprites[N])</f>
        <v>60</v>
      </c>
      <c r="B62" s="48" t="s">
        <v>507</v>
      </c>
      <c r="C62" s="48" t="s">
        <v>507</v>
      </c>
      <c r="D62" s="87" t="s">
        <v>2058</v>
      </c>
    </row>
    <row r="63">
      <c r="A63" s="48">
        <f>ROW()-ROW(Table_sprites[N])</f>
        <v>61</v>
      </c>
      <c r="B63" s="48" t="s">
        <v>501</v>
      </c>
      <c r="C63" s="48" t="s">
        <v>501</v>
      </c>
      <c r="D63" s="87" t="s">
        <v>2058</v>
      </c>
    </row>
    <row r="64">
      <c r="A64" s="48">
        <f>ROW()-ROW(Table_sprites[N])</f>
        <v>62</v>
      </c>
      <c r="B64" s="48" t="s">
        <v>505</v>
      </c>
      <c r="C64" s="48" t="s">
        <v>505</v>
      </c>
      <c r="D64" s="48" t="s">
        <v>2046</v>
      </c>
    </row>
    <row r="65">
      <c r="A65" s="48">
        <f>ROW()-ROW(Table_sprites[N])</f>
        <v>63</v>
      </c>
      <c r="B65" s="48" t="s">
        <v>2063</v>
      </c>
      <c r="C65" s="48" t="s">
        <v>2063</v>
      </c>
      <c r="D65" s="48" t="s">
        <v>2049</v>
      </c>
    </row>
    <row r="66">
      <c r="A66" s="48">
        <f>ROW()-ROW(Table_sprites[N])</f>
        <v>64</v>
      </c>
      <c r="B66" s="48" t="s">
        <v>510</v>
      </c>
      <c r="C66" s="48" t="s">
        <v>510</v>
      </c>
      <c r="D66" s="48" t="s">
        <v>2064</v>
      </c>
    </row>
    <row r="67">
      <c r="A67" s="48">
        <f>ROW()-ROW(Table_sprites[N])</f>
        <v>65</v>
      </c>
      <c r="B67" s="48" t="s">
        <v>513</v>
      </c>
      <c r="C67" s="48" t="s">
        <v>513</v>
      </c>
      <c r="D67" s="48" t="s">
        <v>2065</v>
      </c>
    </row>
    <row r="68">
      <c r="A68" s="48">
        <f>ROW()-ROW(Table_sprites[N])</f>
        <v>66</v>
      </c>
      <c r="B68" s="48" t="s">
        <v>2066</v>
      </c>
      <c r="C68" s="48" t="s">
        <v>2066</v>
      </c>
      <c r="D68" s="48" t="s">
        <v>2067</v>
      </c>
    </row>
    <row r="69">
      <c r="A69" s="48">
        <f>ROW()-ROW(Table_sprites[N])</f>
        <v>67</v>
      </c>
      <c r="B69" s="48" t="s">
        <v>517</v>
      </c>
      <c r="C69" s="48" t="s">
        <v>517</v>
      </c>
      <c r="D69" s="48" t="s">
        <v>2068</v>
      </c>
    </row>
    <row r="70">
      <c r="A70" s="48">
        <f>ROW()-ROW(Table_sprites[N])</f>
        <v>68</v>
      </c>
      <c r="B70" s="48" t="s">
        <v>2069</v>
      </c>
      <c r="C70" s="48" t="s">
        <v>2069</v>
      </c>
      <c r="D70" s="48" t="s">
        <v>2070</v>
      </c>
    </row>
    <row r="71">
      <c r="A71" s="48">
        <f>ROW()-ROW(Table_sprites[N])</f>
        <v>69</v>
      </c>
      <c r="B71" s="48" t="s">
        <v>2071</v>
      </c>
      <c r="C71" s="48" t="s">
        <v>2071</v>
      </c>
      <c r="D71" s="48" t="s">
        <v>2067</v>
      </c>
    </row>
    <row r="72">
      <c r="A72" s="48">
        <f>ROW()-ROW(Table_sprites[N])</f>
        <v>70</v>
      </c>
      <c r="B72" s="48" t="s">
        <v>477</v>
      </c>
      <c r="C72" s="48" t="s">
        <v>477</v>
      </c>
      <c r="D72" s="48" t="s">
        <v>2072</v>
      </c>
    </row>
    <row r="73">
      <c r="A73" s="48">
        <f>ROW()-ROW(Table_sprites[N])</f>
        <v>71</v>
      </c>
      <c r="B73" s="48" t="s">
        <v>2073</v>
      </c>
      <c r="C73" s="48" t="s">
        <v>2073</v>
      </c>
      <c r="D73" s="48" t="s">
        <v>2074</v>
      </c>
    </row>
    <row r="74">
      <c r="A74" s="48">
        <f>ROW()-ROW(Table_sprites[N])</f>
        <v>72</v>
      </c>
      <c r="B74" s="48" t="s">
        <v>2075</v>
      </c>
      <c r="C74" s="48" t="s">
        <v>2075</v>
      </c>
      <c r="D74" s="48" t="s">
        <v>2074</v>
      </c>
    </row>
    <row r="75">
      <c r="A75" s="48">
        <f>ROW()-ROW(Table_sprites[N])</f>
        <v>73</v>
      </c>
      <c r="B75" s="48" t="s">
        <v>2076</v>
      </c>
      <c r="C75" s="48" t="s">
        <v>2076</v>
      </c>
      <c r="D75" s="48" t="s">
        <v>2077</v>
      </c>
    </row>
    <row r="76">
      <c r="A76" s="48">
        <f>ROW()-ROW(Table_sprites[N])</f>
        <v>74</v>
      </c>
      <c r="B76" s="48" t="s">
        <v>2078</v>
      </c>
      <c r="C76" s="48" t="s">
        <v>2078</v>
      </c>
      <c r="D76" s="48" t="s">
        <v>2077</v>
      </c>
    </row>
    <row r="77">
      <c r="A77" s="48">
        <f>ROW()-ROW(Table_sprites[N])</f>
        <v>75</v>
      </c>
      <c r="B77" s="48" t="s">
        <v>523</v>
      </c>
      <c r="C77" s="48" t="s">
        <v>523</v>
      </c>
      <c r="D77" s="48" t="s">
        <v>2077</v>
      </c>
    </row>
    <row r="78">
      <c r="A78" s="48">
        <f>ROW()-ROW(Table_sprites[N])</f>
        <v>76</v>
      </c>
      <c r="B78" s="48" t="s">
        <v>527</v>
      </c>
      <c r="C78" s="48" t="s">
        <v>527</v>
      </c>
      <c r="D78" s="48" t="s">
        <v>2077</v>
      </c>
    </row>
    <row r="79">
      <c r="A79" s="48">
        <f>ROW()-ROW(Table_sprites[N])</f>
        <v>77</v>
      </c>
      <c r="B79" s="48" t="s">
        <v>530</v>
      </c>
      <c r="C79" s="48" t="s">
        <v>530</v>
      </c>
      <c r="D79" s="87" t="s">
        <v>2005</v>
      </c>
    </row>
    <row r="80">
      <c r="A80" s="48">
        <f>ROW()-ROW(Table_sprites[N])</f>
        <v>78</v>
      </c>
      <c r="B80" s="48" t="s">
        <v>536</v>
      </c>
      <c r="C80" s="48" t="s">
        <v>536</v>
      </c>
      <c r="D80" s="87" t="s">
        <v>2059</v>
      </c>
    </row>
    <row r="81">
      <c r="A81" s="48">
        <f>ROW()-ROW(Table_sprites[N])</f>
        <v>79</v>
      </c>
      <c r="B81" s="48" t="s">
        <v>540</v>
      </c>
      <c r="C81" s="48" t="s">
        <v>540</v>
      </c>
      <c r="D81" s="87" t="s">
        <v>2059</v>
      </c>
    </row>
    <row r="82">
      <c r="A82" s="48">
        <f>ROW()-ROW(Table_sprites[N])</f>
        <v>80</v>
      </c>
      <c r="B82" s="48" t="s">
        <v>544</v>
      </c>
      <c r="C82" s="48" t="s">
        <v>544</v>
      </c>
      <c r="D82" s="87" t="s">
        <v>2005</v>
      </c>
    </row>
    <row r="83">
      <c r="A83" s="48">
        <f>ROW()-ROW(Table_sprites[N])</f>
        <v>81</v>
      </c>
      <c r="B83" s="48" t="s">
        <v>2079</v>
      </c>
      <c r="C83" s="48" t="s">
        <v>2080</v>
      </c>
      <c r="D83" s="48" t="s">
        <v>2081</v>
      </c>
    </row>
    <row r="84">
      <c r="A84" s="48">
        <f>ROW()-ROW(Table_sprites[N])</f>
        <v>82</v>
      </c>
      <c r="B84" s="48" t="s">
        <v>551</v>
      </c>
      <c r="C84" s="48" t="s">
        <v>551</v>
      </c>
      <c r="D84" s="87" t="s">
        <v>2005</v>
      </c>
    </row>
    <row r="85">
      <c r="A85" s="48">
        <f>ROW()-ROW(Table_sprites[N])</f>
        <v>83</v>
      </c>
      <c r="B85" s="48" t="s">
        <v>554</v>
      </c>
      <c r="C85" s="48" t="s">
        <v>554</v>
      </c>
      <c r="D85" s="48" t="s">
        <v>2082</v>
      </c>
    </row>
    <row r="86">
      <c r="A86" s="48">
        <f>ROW()-ROW(Table_sprites[N])</f>
        <v>84</v>
      </c>
      <c r="B86" s="48" t="s">
        <v>556</v>
      </c>
      <c r="C86" s="48" t="s">
        <v>556</v>
      </c>
      <c r="D86" s="48" t="s">
        <v>2082</v>
      </c>
    </row>
    <row r="87">
      <c r="A87" s="48">
        <f>ROW()-ROW(Table_sprites[N])</f>
        <v>85</v>
      </c>
      <c r="B87" s="48" t="s">
        <v>560</v>
      </c>
      <c r="C87" s="48" t="s">
        <v>560</v>
      </c>
      <c r="D87" s="48" t="s">
        <v>2083</v>
      </c>
    </row>
    <row r="88">
      <c r="A88" s="48">
        <f>ROW()-ROW(Table_sprites[N])</f>
        <v>86</v>
      </c>
      <c r="B88" s="48" t="s">
        <v>2084</v>
      </c>
      <c r="C88" s="48" t="s">
        <v>2084</v>
      </c>
      <c r="D88" s="48" t="s">
        <v>2085</v>
      </c>
    </row>
    <row r="89">
      <c r="A89" s="48">
        <f>ROW()-ROW(Table_sprites[N])</f>
        <v>87</v>
      </c>
      <c r="B89" s="48" t="s">
        <v>2086</v>
      </c>
      <c r="C89" s="48" t="s">
        <v>2086</v>
      </c>
      <c r="D89" s="48" t="s">
        <v>2087</v>
      </c>
    </row>
    <row r="90">
      <c r="A90" s="48">
        <f>ROW()-ROW(Table_sprites[N])</f>
        <v>88</v>
      </c>
      <c r="B90" s="48" t="s">
        <v>2088</v>
      </c>
      <c r="C90" s="48" t="s">
        <v>2088</v>
      </c>
      <c r="D90" s="48" t="s">
        <v>2089</v>
      </c>
    </row>
    <row r="91">
      <c r="A91" s="48">
        <f>ROW()-ROW(Table_sprites[N])</f>
        <v>89</v>
      </c>
      <c r="B91" s="48" t="s">
        <v>2090</v>
      </c>
      <c r="C91" s="48" t="s">
        <v>2090</v>
      </c>
      <c r="D91" s="48" t="s">
        <v>2091</v>
      </c>
    </row>
    <row r="92">
      <c r="A92" s="48">
        <f>ROW()-ROW(Table_sprites[N])</f>
        <v>90</v>
      </c>
      <c r="B92" s="48" t="s">
        <v>575</v>
      </c>
      <c r="C92" s="48" t="s">
        <v>575</v>
      </c>
      <c r="D92" s="48" t="s">
        <v>2092</v>
      </c>
    </row>
    <row r="93">
      <c r="A93" s="48">
        <f>ROW()-ROW(Table_sprites[N])</f>
        <v>91</v>
      </c>
      <c r="B93" s="48" t="s">
        <v>579</v>
      </c>
      <c r="C93" s="48" t="s">
        <v>579</v>
      </c>
      <c r="D93" s="48" t="s">
        <v>2093</v>
      </c>
    </row>
    <row r="94">
      <c r="A94" s="48">
        <f>ROW()-ROW(Table_sprites[N])</f>
        <v>92</v>
      </c>
      <c r="B94" s="48" t="s">
        <v>2094</v>
      </c>
      <c r="C94" s="48" t="s">
        <v>2094</v>
      </c>
      <c r="D94" s="48" t="s">
        <v>2091</v>
      </c>
    </row>
    <row r="95">
      <c r="A95" s="48">
        <f>ROW()-ROW(Table_sprites[N])</f>
        <v>93</v>
      </c>
      <c r="B95" s="48" t="s">
        <v>2095</v>
      </c>
      <c r="C95" s="48" t="s">
        <v>2095</v>
      </c>
      <c r="D95" s="48" t="s">
        <v>2096</v>
      </c>
    </row>
    <row r="96">
      <c r="A96" s="48">
        <f>ROW()-ROW(Table_sprites[N])</f>
        <v>94</v>
      </c>
      <c r="B96" s="48" t="s">
        <v>2097</v>
      </c>
      <c r="C96" s="48" t="s">
        <v>2097</v>
      </c>
      <c r="D96" s="48" t="s">
        <v>2098</v>
      </c>
    </row>
    <row r="97">
      <c r="A97" s="48">
        <f>ROW()-ROW(Table_sprites[N])</f>
        <v>95</v>
      </c>
      <c r="B97" s="48" t="s">
        <v>583</v>
      </c>
      <c r="C97" s="48" t="s">
        <v>583</v>
      </c>
      <c r="D97" s="48" t="s">
        <v>2099</v>
      </c>
    </row>
    <row r="98">
      <c r="A98" s="48">
        <f>ROW()-ROW(Table_sprites[N])</f>
        <v>96</v>
      </c>
      <c r="B98" s="48" t="s">
        <v>2100</v>
      </c>
      <c r="C98" s="48" t="s">
        <v>2100</v>
      </c>
      <c r="D98" s="48" t="s">
        <v>2101</v>
      </c>
    </row>
    <row r="99">
      <c r="A99" s="48">
        <f>ROW()-ROW(Table_sprites[N])</f>
        <v>97</v>
      </c>
      <c r="B99" s="48" t="s">
        <v>2102</v>
      </c>
      <c r="C99" s="48" t="s">
        <v>2102</v>
      </c>
      <c r="D99" s="48" t="s">
        <v>2103</v>
      </c>
    </row>
    <row r="100">
      <c r="A100" s="48">
        <f>ROW()-ROW(Table_sprites[N])</f>
        <v>98</v>
      </c>
      <c r="B100" s="48" t="s">
        <v>590</v>
      </c>
      <c r="C100" s="48" t="s">
        <v>590</v>
      </c>
      <c r="D100" s="48" t="s">
        <v>2005</v>
      </c>
    </row>
    <row r="101">
      <c r="A101" s="48">
        <f>ROW()-ROW(Table_sprites[N])</f>
        <v>99</v>
      </c>
      <c r="B101" s="48" t="s">
        <v>2104</v>
      </c>
      <c r="C101" s="48" t="s">
        <v>2104</v>
      </c>
      <c r="D101" s="48" t="s">
        <v>2105</v>
      </c>
    </row>
    <row r="102">
      <c r="A102" s="48">
        <f>ROW()-ROW(Table_sprites[N])</f>
        <v>100</v>
      </c>
      <c r="B102" s="48" t="s">
        <v>2106</v>
      </c>
      <c r="C102" s="48" t="s">
        <v>2106</v>
      </c>
      <c r="D102" s="48" t="s">
        <v>2105</v>
      </c>
    </row>
    <row r="103">
      <c r="A103" s="48">
        <f>ROW()-ROW(Table_sprites[N])</f>
        <v>101</v>
      </c>
      <c r="B103" s="48" t="s">
        <v>2107</v>
      </c>
      <c r="C103" s="48" t="s">
        <v>2107</v>
      </c>
      <c r="D103" s="48" t="s">
        <v>2108</v>
      </c>
    </row>
    <row r="104">
      <c r="A104" s="48">
        <f>ROW()-ROW(Table_sprites[N])</f>
        <v>102</v>
      </c>
      <c r="B104" s="48" t="s">
        <v>2109</v>
      </c>
      <c r="C104" s="48" t="s">
        <v>2109</v>
      </c>
      <c r="D104" s="48" t="s">
        <v>2108</v>
      </c>
    </row>
    <row r="105">
      <c r="A105" s="48">
        <f>ROW()-ROW(Table_sprites[N])</f>
        <v>103</v>
      </c>
      <c r="B105" s="48" t="s">
        <v>594</v>
      </c>
      <c r="C105" s="48" t="s">
        <v>594</v>
      </c>
      <c r="D105" s="48" t="s">
        <v>2108</v>
      </c>
    </row>
    <row r="106">
      <c r="A106" s="48">
        <f>ROW()-ROW(Table_sprites[N])</f>
        <v>104</v>
      </c>
      <c r="B106" s="48" t="s">
        <v>2110</v>
      </c>
      <c r="C106" s="48" t="s">
        <v>2110</v>
      </c>
      <c r="D106" s="48" t="s">
        <v>2111</v>
      </c>
    </row>
    <row r="107">
      <c r="A107" s="48">
        <f>ROW()-ROW(Table_sprites[N])</f>
        <v>105</v>
      </c>
      <c r="B107" s="48" t="s">
        <v>605</v>
      </c>
      <c r="C107" s="48" t="s">
        <v>605</v>
      </c>
      <c r="D107" s="48" t="s">
        <v>2111</v>
      </c>
    </row>
    <row r="108">
      <c r="A108" s="48">
        <f>ROW()-ROW(Table_sprites[N])</f>
        <v>106</v>
      </c>
      <c r="B108" s="48" t="s">
        <v>610</v>
      </c>
      <c r="C108" s="48" t="s">
        <v>610</v>
      </c>
      <c r="D108" s="87" t="s">
        <v>2005</v>
      </c>
    </row>
    <row r="109">
      <c r="A109" s="48">
        <f>ROW()-ROW(Table_sprites[N])</f>
        <v>107</v>
      </c>
      <c r="B109" s="48" t="s">
        <v>606</v>
      </c>
      <c r="C109" s="48" t="s">
        <v>606</v>
      </c>
      <c r="D109" s="87" t="s">
        <v>2005</v>
      </c>
    </row>
    <row r="110">
      <c r="A110" s="48">
        <f>ROW()-ROW(Table_sprites[N])</f>
        <v>108</v>
      </c>
      <c r="B110" s="48" t="s">
        <v>617</v>
      </c>
      <c r="C110" s="48" t="s">
        <v>617</v>
      </c>
      <c r="D110" s="48" t="s">
        <v>2010</v>
      </c>
    </row>
    <row r="111">
      <c r="A111" s="48">
        <f>ROW()-ROW(Table_sprites[N])</f>
        <v>109</v>
      </c>
      <c r="B111" s="48" t="s">
        <v>2112</v>
      </c>
      <c r="C111" s="48" t="s">
        <v>2112</v>
      </c>
      <c r="D111" s="48" t="s">
        <v>2017</v>
      </c>
    </row>
    <row r="112">
      <c r="A112" s="48">
        <f>ROW()-ROW(Table_sprites[N])</f>
        <v>110</v>
      </c>
      <c r="B112" s="48" t="s">
        <v>2113</v>
      </c>
      <c r="C112" s="48" t="s">
        <v>2113</v>
      </c>
      <c r="D112" s="48" t="s">
        <v>2114</v>
      </c>
    </row>
    <row r="113">
      <c r="A113" s="48">
        <f>ROW()-ROW(Table_sprites[N])</f>
        <v>111</v>
      </c>
      <c r="B113" s="48" t="s">
        <v>2115</v>
      </c>
      <c r="C113" s="48" t="s">
        <v>2115</v>
      </c>
      <c r="D113" s="48" t="s">
        <v>2114</v>
      </c>
    </row>
    <row r="114">
      <c r="A114" s="48">
        <f>ROW()-ROW(Table_sprites[N])</f>
        <v>112</v>
      </c>
      <c r="B114" s="48" t="s">
        <v>697</v>
      </c>
      <c r="C114" s="48" t="s">
        <v>697</v>
      </c>
      <c r="D114" s="48" t="s">
        <v>2005</v>
      </c>
    </row>
    <row r="115">
      <c r="A115" s="48">
        <f>ROW()-ROW(Table_sprites[N])</f>
        <v>113</v>
      </c>
      <c r="B115" s="48" t="s">
        <v>701</v>
      </c>
      <c r="C115" s="48" t="s">
        <v>701</v>
      </c>
      <c r="D115" s="48" t="s">
        <v>2005</v>
      </c>
    </row>
    <row r="116">
      <c r="A116" s="48">
        <f>ROW()-ROW(Table_sprites[N])</f>
        <v>114</v>
      </c>
      <c r="B116" s="48" t="s">
        <v>629</v>
      </c>
      <c r="C116" s="48" t="s">
        <v>629</v>
      </c>
      <c r="D116" s="48" t="s">
        <v>2114</v>
      </c>
    </row>
    <row r="117">
      <c r="A117" s="48">
        <f>ROW()-ROW(Table_sprites[N])</f>
        <v>115</v>
      </c>
      <c r="B117" s="48" t="s">
        <v>630</v>
      </c>
      <c r="C117" s="48" t="s">
        <v>630</v>
      </c>
      <c r="D117" s="87" t="s">
        <v>2005</v>
      </c>
    </row>
    <row r="118">
      <c r="A118" s="48">
        <f>ROW()-ROW(Table_sprites[N])</f>
        <v>116</v>
      </c>
      <c r="B118" s="48" t="s">
        <v>634</v>
      </c>
      <c r="C118" s="48" t="s">
        <v>634</v>
      </c>
      <c r="D118" s="87" t="s">
        <v>2005</v>
      </c>
    </row>
    <row r="119">
      <c r="A119" s="48">
        <f>ROW()-ROW(Table_sprites[N])</f>
        <v>117</v>
      </c>
      <c r="B119" s="48" t="s">
        <v>641</v>
      </c>
      <c r="C119" s="48" t="s">
        <v>641</v>
      </c>
      <c r="D119" s="87" t="s">
        <v>2005</v>
      </c>
    </row>
    <row r="120">
      <c r="A120" s="48">
        <f>ROW()-ROW(Table_sprites[N])</f>
        <v>118</v>
      </c>
      <c r="B120" s="48" t="s">
        <v>645</v>
      </c>
      <c r="C120" s="48" t="s">
        <v>645</v>
      </c>
      <c r="D120" s="48" t="s">
        <v>2114</v>
      </c>
    </row>
    <row r="121">
      <c r="A121" s="48">
        <f>ROW()-ROW(Table_sprites[N])</f>
        <v>119</v>
      </c>
      <c r="B121" s="48" t="s">
        <v>649</v>
      </c>
      <c r="C121" s="48" t="s">
        <v>649</v>
      </c>
      <c r="D121" s="48" t="s">
        <v>2010</v>
      </c>
    </row>
    <row r="122">
      <c r="A122" s="48">
        <f>ROW()-ROW(Table_sprites[N])</f>
        <v>120</v>
      </c>
      <c r="B122" s="48" t="s">
        <v>656</v>
      </c>
      <c r="C122" s="48" t="s">
        <v>656</v>
      </c>
      <c r="D122" s="48" t="s">
        <v>2005</v>
      </c>
    </row>
    <row r="123">
      <c r="A123" s="48">
        <f>ROW()-ROW(Table_sprites[N])</f>
        <v>121</v>
      </c>
      <c r="B123" s="48" t="s">
        <v>2116</v>
      </c>
      <c r="C123" s="48" t="s">
        <v>2116</v>
      </c>
      <c r="D123" s="48" t="s">
        <v>1984</v>
      </c>
    </row>
    <row r="124">
      <c r="A124" s="48">
        <f>ROW()-ROW(Table_sprites[N])</f>
        <v>122</v>
      </c>
      <c r="B124" s="48" t="s">
        <v>2117</v>
      </c>
      <c r="C124" s="48" t="s">
        <v>2117</v>
      </c>
      <c r="D124" s="48" t="s">
        <v>1984</v>
      </c>
    </row>
    <row r="125">
      <c r="A125" s="48">
        <f>ROW()-ROW(Table_sprites[N])</f>
        <v>123</v>
      </c>
      <c r="B125" s="48" t="s">
        <v>2118</v>
      </c>
      <c r="C125" s="48" t="s">
        <v>2118</v>
      </c>
      <c r="D125" s="48" t="s">
        <v>1984</v>
      </c>
    </row>
    <row r="126">
      <c r="A126" s="48">
        <f>ROW()-ROW(Table_sprites[N])</f>
        <v>124</v>
      </c>
      <c r="B126" s="48" t="s">
        <v>2119</v>
      </c>
      <c r="C126" s="48" t="s">
        <v>2119</v>
      </c>
      <c r="D126" s="48" t="s">
        <v>1984</v>
      </c>
    </row>
    <row r="127">
      <c r="A127" s="48">
        <f>ROW()-ROW(Table_sprites[N])</f>
        <v>125</v>
      </c>
      <c r="B127" s="48" t="s">
        <v>2120</v>
      </c>
      <c r="C127" s="48" t="s">
        <v>2120</v>
      </c>
      <c r="D127" s="48" t="s">
        <v>1984</v>
      </c>
    </row>
    <row r="128">
      <c r="A128" s="48">
        <f>ROW()-ROW(Table_sprites[N])</f>
        <v>126</v>
      </c>
      <c r="B128" s="48" t="s">
        <v>2121</v>
      </c>
      <c r="C128" s="48" t="s">
        <v>2121</v>
      </c>
      <c r="D128" s="48" t="s">
        <v>1984</v>
      </c>
    </row>
    <row r="129">
      <c r="A129" s="48">
        <f>ROW()-ROW(Table_sprites[N])</f>
        <v>127</v>
      </c>
      <c r="B129" s="48" t="s">
        <v>2122</v>
      </c>
      <c r="C129" s="48" t="s">
        <v>2122</v>
      </c>
      <c r="D129" s="48" t="s">
        <v>1984</v>
      </c>
    </row>
    <row r="130">
      <c r="A130" s="48">
        <f>ROW()-ROW(Table_sprites[N])</f>
        <v>128</v>
      </c>
      <c r="B130" s="48" t="s">
        <v>2123</v>
      </c>
      <c r="C130" s="48" t="s">
        <v>2123</v>
      </c>
      <c r="D130" s="48" t="s">
        <v>1984</v>
      </c>
    </row>
    <row r="131">
      <c r="A131" s="48">
        <f>ROW()-ROW(Table_sprites[N])</f>
        <v>129</v>
      </c>
      <c r="B131" s="48" t="s">
        <v>2124</v>
      </c>
      <c r="C131" s="48" t="s">
        <v>2124</v>
      </c>
      <c r="D131" s="48" t="s">
        <v>1984</v>
      </c>
    </row>
    <row r="132">
      <c r="A132" s="48">
        <f>ROW()-ROW(Table_sprites[N])</f>
        <v>130</v>
      </c>
      <c r="B132" s="48" t="s">
        <v>2125</v>
      </c>
      <c r="C132" s="48" t="s">
        <v>2125</v>
      </c>
      <c r="D132" s="48" t="s">
        <v>1984</v>
      </c>
    </row>
    <row r="133">
      <c r="A133" s="48">
        <f>ROW()-ROW(Table_sprites[N])</f>
        <v>131</v>
      </c>
      <c r="B133" s="48" t="s">
        <v>2126</v>
      </c>
      <c r="C133" s="48" t="s">
        <v>2126</v>
      </c>
      <c r="D133" s="48" t="s">
        <v>1984</v>
      </c>
    </row>
    <row r="134">
      <c r="A134" s="48">
        <f>ROW()-ROW(Table_sprites[N])</f>
        <v>132</v>
      </c>
      <c r="B134" s="48" t="s">
        <v>660</v>
      </c>
      <c r="C134" s="48" t="s">
        <v>660</v>
      </c>
      <c r="D134" s="48" t="s">
        <v>2005</v>
      </c>
    </row>
    <row r="135">
      <c r="A135" s="48">
        <f>ROW()-ROW(Table_sprites[N])</f>
        <v>133</v>
      </c>
      <c r="B135" s="48" t="s">
        <v>2127</v>
      </c>
      <c r="C135" s="48" t="s">
        <v>2127</v>
      </c>
      <c r="D135" s="48" t="s">
        <v>2128</v>
      </c>
    </row>
    <row r="136">
      <c r="A136" s="48">
        <f>ROW()-ROW(Table_sprites[N])</f>
        <v>134</v>
      </c>
      <c r="B136" s="48" t="s">
        <v>670</v>
      </c>
      <c r="C136" s="48" t="s">
        <v>670</v>
      </c>
      <c r="D136" s="48" t="s">
        <v>2128</v>
      </c>
    </row>
    <row r="137">
      <c r="A137" s="48">
        <f>ROW()-ROW(Table_sprites[N])</f>
        <v>135</v>
      </c>
      <c r="B137" s="48" t="s">
        <v>674</v>
      </c>
      <c r="C137" s="48" t="s">
        <v>674</v>
      </c>
      <c r="D137" s="48" t="s">
        <v>2128</v>
      </c>
    </row>
    <row r="138">
      <c r="A138" s="48">
        <f>ROW()-ROW(Table_sprites[N])</f>
        <v>136</v>
      </c>
      <c r="B138" s="48" t="s">
        <v>678</v>
      </c>
      <c r="C138" s="48" t="s">
        <v>678</v>
      </c>
      <c r="D138" s="48" t="s">
        <v>2128</v>
      </c>
    </row>
    <row r="139">
      <c r="A139" s="48">
        <f>ROW()-ROW(Table_sprites[N])</f>
        <v>137</v>
      </c>
      <c r="B139" s="48" t="s">
        <v>682</v>
      </c>
      <c r="C139" s="48" t="s">
        <v>682</v>
      </c>
      <c r="D139" s="48" t="s">
        <v>2128</v>
      </c>
    </row>
    <row r="140">
      <c r="A140" s="48">
        <f>ROW()-ROW(Table_sprites[N])</f>
        <v>138</v>
      </c>
      <c r="B140" s="48" t="s">
        <v>688</v>
      </c>
      <c r="C140" s="48" t="s">
        <v>688</v>
      </c>
      <c r="D140" s="48" t="s">
        <v>2005</v>
      </c>
    </row>
    <row r="141">
      <c r="A141" s="48">
        <f>ROW()-ROW(Table_sprites[N])</f>
        <v>139</v>
      </c>
      <c r="B141" s="48" t="s">
        <v>624</v>
      </c>
      <c r="C141" s="48" t="s">
        <v>624</v>
      </c>
      <c r="D141" s="48" t="s">
        <v>2128</v>
      </c>
    </row>
    <row r="142">
      <c r="A142" s="48">
        <f>ROW()-ROW(Table_sprites[N])</f>
        <v>140</v>
      </c>
      <c r="B142" s="48" t="s">
        <v>625</v>
      </c>
      <c r="C142" s="48" t="s">
        <v>625</v>
      </c>
      <c r="D142" s="48" t="s">
        <v>2005</v>
      </c>
    </row>
    <row r="143">
      <c r="A143" s="48">
        <f>ROW()-ROW(Table_sprites[N])</f>
        <v>141</v>
      </c>
      <c r="B143" s="48" t="s">
        <v>2129</v>
      </c>
      <c r="C143" s="48" t="s">
        <v>2129</v>
      </c>
      <c r="D143" s="48" t="s">
        <v>2128</v>
      </c>
    </row>
    <row r="144">
      <c r="A144" s="48">
        <f>ROW()-ROW(Table_sprites[N])</f>
        <v>142</v>
      </c>
      <c r="B144" s="48" t="s">
        <v>2130</v>
      </c>
      <c r="C144" s="48" t="s">
        <v>2130</v>
      </c>
      <c r="D144" s="48" t="s">
        <v>2005</v>
      </c>
    </row>
    <row r="145">
      <c r="A145" s="48">
        <f>ROW()-ROW(Table_sprites[N])</f>
        <v>143</v>
      </c>
      <c r="B145" s="48" t="s">
        <v>2131</v>
      </c>
      <c r="C145" s="48" t="s">
        <v>2131</v>
      </c>
      <c r="D145" s="48" t="s">
        <v>2111</v>
      </c>
    </row>
    <row r="146">
      <c r="A146" s="48">
        <f>ROW()-ROW(Table_sprites[N])</f>
        <v>144</v>
      </c>
      <c r="B146" s="48" t="s">
        <v>2132</v>
      </c>
      <c r="C146" s="48" t="s">
        <v>2132</v>
      </c>
      <c r="D146" s="48" t="s">
        <v>2114</v>
      </c>
    </row>
    <row r="147">
      <c r="A147" s="48">
        <f>ROW()-ROW(Table_sprites[N])</f>
        <v>145</v>
      </c>
      <c r="B147" s="48" t="s">
        <v>704</v>
      </c>
      <c r="C147" s="48" t="s">
        <v>704</v>
      </c>
      <c r="D147" s="48" t="s">
        <v>2025</v>
      </c>
    </row>
    <row r="148">
      <c r="A148" s="48">
        <f>ROW()-ROW(Table_sprites[N])</f>
        <v>146</v>
      </c>
      <c r="B148" s="48" t="s">
        <v>706</v>
      </c>
      <c r="C148" s="48" t="s">
        <v>706</v>
      </c>
      <c r="D148" s="48" t="s">
        <v>2025</v>
      </c>
    </row>
    <row r="149">
      <c r="A149" s="48">
        <f>ROW()-ROW(Table_sprites[N])</f>
        <v>147</v>
      </c>
      <c r="B149" s="48" t="s">
        <v>2133</v>
      </c>
      <c r="C149" s="48" t="s">
        <v>2133</v>
      </c>
      <c r="D149" s="48" t="s">
        <v>2030</v>
      </c>
    </row>
    <row r="150">
      <c r="A150" s="48">
        <f>ROW()-ROW(Table_sprites[N])</f>
        <v>148</v>
      </c>
      <c r="B150" s="48" t="s">
        <v>2134</v>
      </c>
      <c r="C150" s="48" t="s">
        <v>2134</v>
      </c>
      <c r="D150" s="48" t="s">
        <v>2030</v>
      </c>
    </row>
    <row r="151">
      <c r="A151" s="48">
        <f>ROW()-ROW(Table_sprites[N])</f>
        <v>149</v>
      </c>
      <c r="B151" s="48" t="s">
        <v>2135</v>
      </c>
      <c r="C151" s="48" t="s">
        <v>2135</v>
      </c>
      <c r="D151" s="48" t="s">
        <v>2136</v>
      </c>
    </row>
    <row r="152">
      <c r="A152" s="48">
        <f>ROW()-ROW(Table_sprites[N])</f>
        <v>150</v>
      </c>
      <c r="B152" s="48" t="s">
        <v>2137</v>
      </c>
      <c r="C152" s="48" t="s">
        <v>2137</v>
      </c>
      <c r="D152" s="48" t="s">
        <v>2138</v>
      </c>
    </row>
    <row r="153">
      <c r="A153" s="48">
        <f>ROW()-ROW(Table_sprites[N])</f>
        <v>151</v>
      </c>
      <c r="B153" s="48" t="s">
        <v>2139</v>
      </c>
      <c r="C153" s="48" t="s">
        <v>2139</v>
      </c>
      <c r="D153" s="48" t="s">
        <v>2140</v>
      </c>
    </row>
    <row r="154">
      <c r="A154" s="48">
        <f>ROW()-ROW(Table_sprites[N])</f>
        <v>152</v>
      </c>
      <c r="B154" s="48" t="s">
        <v>711</v>
      </c>
      <c r="C154" s="48" t="s">
        <v>711</v>
      </c>
      <c r="D154" s="48" t="s">
        <v>2141</v>
      </c>
    </row>
    <row r="155">
      <c r="A155" s="48">
        <f>ROW()-ROW(Table_sprites[N])</f>
        <v>153</v>
      </c>
      <c r="B155" s="48" t="s">
        <v>718</v>
      </c>
      <c r="C155" s="48" t="s">
        <v>718</v>
      </c>
      <c r="D155" s="48" t="s">
        <v>2142</v>
      </c>
    </row>
    <row r="156">
      <c r="A156" s="48">
        <f>ROW()-ROW(Table_sprites[N])</f>
        <v>154</v>
      </c>
      <c r="B156" s="48" t="s">
        <v>721</v>
      </c>
      <c r="C156" s="48" t="s">
        <v>721</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61.57"/>
    <col customWidth="1" min="3" max="3" width="16.57"/>
    <col customWidth="1" min="4" max="4" width="81.43"/>
  </cols>
  <sheetData>
    <row r="1">
      <c r="A1" s="1" t="s">
        <v>49</v>
      </c>
      <c r="B1" s="1" t="s">
        <v>2143</v>
      </c>
      <c r="C1" s="2" t="s">
        <v>2144</v>
      </c>
      <c r="D1" s="1" t="s">
        <v>1982</v>
      </c>
    </row>
    <row r="2">
      <c r="A2" s="87">
        <f>ROW() - ROW(Table_sounds[N])</f>
        <v>0</v>
      </c>
      <c r="B2" s="48" t="s">
        <v>1301</v>
      </c>
      <c r="C2" s="48" t="s">
        <v>2145</v>
      </c>
    </row>
    <row r="3">
      <c r="A3" s="87">
        <f>ROW() - ROW(Table_sounds[N])</f>
        <v>1</v>
      </c>
      <c r="B3" s="48" t="s">
        <v>2146</v>
      </c>
      <c r="C3" s="48" t="s">
        <v>2145</v>
      </c>
      <c r="D3" s="48" t="s">
        <v>2146</v>
      </c>
    </row>
    <row r="4">
      <c r="A4" s="87">
        <f>ROW() - ROW(Table_sounds[N])</f>
        <v>2</v>
      </c>
      <c r="B4" s="48" t="s">
        <v>2147</v>
      </c>
      <c r="C4" s="48" t="s">
        <v>2145</v>
      </c>
      <c r="D4" s="48" t="s">
        <v>2148</v>
      </c>
    </row>
    <row r="5">
      <c r="A5" s="87">
        <f>ROW() - ROW(Table_sounds[N])</f>
        <v>3</v>
      </c>
      <c r="B5" s="48" t="s">
        <v>2149</v>
      </c>
      <c r="C5" s="48" t="s">
        <v>2145</v>
      </c>
      <c r="D5" s="48" t="s">
        <v>2150</v>
      </c>
    </row>
    <row r="6">
      <c r="A6" s="87">
        <f>ROW() - ROW(Table_sounds[N])</f>
        <v>4</v>
      </c>
      <c r="B6" s="48" t="s">
        <v>2151</v>
      </c>
      <c r="C6" s="48" t="s">
        <v>2145</v>
      </c>
      <c r="D6" s="48" t="s">
        <v>2151</v>
      </c>
    </row>
    <row r="7">
      <c r="A7" s="87">
        <f>ROW() - ROW(Table_sounds[N])</f>
        <v>5</v>
      </c>
      <c r="B7" s="48" t="s">
        <v>2152</v>
      </c>
      <c r="C7" s="48" t="s">
        <v>2145</v>
      </c>
      <c r="D7" s="48" t="s">
        <v>2152</v>
      </c>
    </row>
    <row r="8">
      <c r="A8" s="87">
        <f>ROW() - ROW(Table_sounds[N])</f>
        <v>6</v>
      </c>
      <c r="B8" s="48" t="s">
        <v>2153</v>
      </c>
      <c r="C8" s="48" t="s">
        <v>2145</v>
      </c>
      <c r="D8" s="48" t="s">
        <v>2153</v>
      </c>
    </row>
    <row r="9">
      <c r="A9" s="87">
        <f>ROW() - ROW(Table_sounds[N])</f>
        <v>7</v>
      </c>
      <c r="B9" s="48" t="s">
        <v>2154</v>
      </c>
      <c r="C9" s="48" t="s">
        <v>2145</v>
      </c>
      <c r="D9" s="48" t="s">
        <v>2154</v>
      </c>
    </row>
    <row r="10">
      <c r="A10" s="87">
        <f>ROW() - ROW(Table_sounds[N])</f>
        <v>8</v>
      </c>
      <c r="B10" s="48" t="s">
        <v>2155</v>
      </c>
      <c r="C10" s="48" t="s">
        <v>2145</v>
      </c>
      <c r="D10" s="48" t="s">
        <v>2155</v>
      </c>
    </row>
    <row r="11">
      <c r="A11" s="87">
        <f>ROW() - ROW(Table_sounds[N])</f>
        <v>9</v>
      </c>
      <c r="B11" s="48" t="s">
        <v>2156</v>
      </c>
      <c r="C11" s="48" t="s">
        <v>2145</v>
      </c>
      <c r="D11" s="48" t="s">
        <v>2156</v>
      </c>
    </row>
    <row r="12">
      <c r="A12" s="87">
        <f>ROW() - ROW(Table_sounds[N])</f>
        <v>10</v>
      </c>
      <c r="B12" s="48" t="s">
        <v>2157</v>
      </c>
      <c r="C12" s="48" t="s">
        <v>2145</v>
      </c>
      <c r="D12" s="48" t="s">
        <v>2157</v>
      </c>
    </row>
    <row r="13">
      <c r="A13" s="87">
        <f>ROW() - ROW(Table_sounds[N])</f>
        <v>11</v>
      </c>
      <c r="B13" s="48" t="s">
        <v>2158</v>
      </c>
      <c r="C13" s="48" t="s">
        <v>2145</v>
      </c>
      <c r="D13" s="48" t="s">
        <v>2158</v>
      </c>
    </row>
    <row r="14">
      <c r="A14" s="87">
        <f>ROW() - ROW(Table_sounds[N])</f>
        <v>12</v>
      </c>
      <c r="B14" s="48" t="s">
        <v>2159</v>
      </c>
      <c r="C14" s="48" t="s">
        <v>2145</v>
      </c>
      <c r="D14" s="48" t="s">
        <v>2159</v>
      </c>
    </row>
    <row r="15">
      <c r="A15" s="87">
        <f>ROW() - ROW(Table_sounds[N])</f>
        <v>13</v>
      </c>
      <c r="B15" s="48" t="s">
        <v>2160</v>
      </c>
      <c r="C15" s="48" t="s">
        <v>2145</v>
      </c>
      <c r="D15" s="48" t="s">
        <v>2160</v>
      </c>
    </row>
    <row r="16">
      <c r="A16" s="87">
        <f>ROW() - ROW(Table_sounds[N])</f>
        <v>14</v>
      </c>
      <c r="B16" s="48" t="s">
        <v>2161</v>
      </c>
      <c r="C16" s="48" t="s">
        <v>2145</v>
      </c>
      <c r="D16" s="48" t="s">
        <v>2161</v>
      </c>
    </row>
    <row r="17">
      <c r="A17" s="87">
        <f>ROW() - ROW(Table_sounds[N])</f>
        <v>15</v>
      </c>
      <c r="B17" s="48" t="s">
        <v>2162</v>
      </c>
      <c r="C17" s="48" t="s">
        <v>2145</v>
      </c>
      <c r="D17" s="48" t="s">
        <v>2163</v>
      </c>
    </row>
    <row r="18">
      <c r="A18" s="87">
        <f>ROW() - ROW(Table_sounds[N])</f>
        <v>16</v>
      </c>
      <c r="B18" s="48" t="s">
        <v>2164</v>
      </c>
      <c r="C18" s="48" t="s">
        <v>2145</v>
      </c>
      <c r="D18" s="48" t="s">
        <v>2165</v>
      </c>
    </row>
    <row r="19">
      <c r="A19" s="87">
        <f>ROW() - ROW(Table_sounds[N])</f>
        <v>17</v>
      </c>
      <c r="B19" s="48" t="s">
        <v>2166</v>
      </c>
      <c r="C19" s="48" t="s">
        <v>2145</v>
      </c>
      <c r="D19" s="48" t="s">
        <v>2167</v>
      </c>
    </row>
    <row r="20">
      <c r="A20" s="87">
        <f>ROW() - ROW(Table_sounds[N])</f>
        <v>18</v>
      </c>
      <c r="B20" s="48" t="s">
        <v>2168</v>
      </c>
      <c r="C20" s="48" t="s">
        <v>2145</v>
      </c>
      <c r="D20" s="48" t="s">
        <v>2169</v>
      </c>
    </row>
    <row r="21">
      <c r="A21" s="87">
        <f>ROW() - ROW(Table_sounds[N])</f>
        <v>19</v>
      </c>
      <c r="B21" s="48" t="s">
        <v>2170</v>
      </c>
      <c r="C21" s="48" t="s">
        <v>2145</v>
      </c>
      <c r="D21" s="48" t="s">
        <v>2171</v>
      </c>
    </row>
    <row r="22">
      <c r="A22" s="87">
        <f>ROW() - ROW(Table_sounds[N])</f>
        <v>20</v>
      </c>
      <c r="B22" s="48" t="s">
        <v>2172</v>
      </c>
      <c r="C22" s="48" t="s">
        <v>2145</v>
      </c>
      <c r="D22" s="48" t="s">
        <v>2173</v>
      </c>
    </row>
    <row r="23">
      <c r="A23" s="87">
        <f>ROW() - ROW(Table_sounds[N])</f>
        <v>21</v>
      </c>
      <c r="B23" s="48" t="s">
        <v>2174</v>
      </c>
      <c r="C23" s="48" t="s">
        <v>2145</v>
      </c>
      <c r="D23" s="48" t="s">
        <v>2175</v>
      </c>
    </row>
    <row r="24">
      <c r="A24" s="87">
        <f>ROW() - ROW(Table_sounds[N])</f>
        <v>22</v>
      </c>
      <c r="B24" s="48" t="s">
        <v>2176</v>
      </c>
      <c r="C24" s="48" t="s">
        <v>2145</v>
      </c>
      <c r="D24" s="48" t="s">
        <v>2177</v>
      </c>
    </row>
    <row r="25">
      <c r="A25" s="87">
        <f>ROW() - ROW(Table_sounds[N])</f>
        <v>23</v>
      </c>
      <c r="B25" s="48" t="s">
        <v>2178</v>
      </c>
      <c r="C25" s="48" t="s">
        <v>2145</v>
      </c>
      <c r="D25" s="48" t="s">
        <v>2179</v>
      </c>
    </row>
    <row r="26">
      <c r="A26" s="87">
        <f>ROW() - ROW(Table_sounds[N])</f>
        <v>24</v>
      </c>
      <c r="B26" s="48" t="s">
        <v>2180</v>
      </c>
      <c r="C26" s="48" t="s">
        <v>2145</v>
      </c>
      <c r="D26" s="48" t="s">
        <v>2181</v>
      </c>
    </row>
    <row r="27">
      <c r="A27" s="87">
        <f>ROW() - ROW(Table_sounds[N])</f>
        <v>25</v>
      </c>
      <c r="B27" s="48" t="s">
        <v>2182</v>
      </c>
      <c r="C27" s="48" t="s">
        <v>2145</v>
      </c>
      <c r="D27" s="48" t="s">
        <v>2183</v>
      </c>
    </row>
    <row r="28">
      <c r="A28" s="87">
        <f>ROW() - ROW(Table_sounds[N])</f>
        <v>26</v>
      </c>
      <c r="B28" s="48" t="s">
        <v>2184</v>
      </c>
      <c r="C28" s="48" t="s">
        <v>2145</v>
      </c>
      <c r="D28" s="48" t="s">
        <v>2185</v>
      </c>
    </row>
    <row r="29">
      <c r="A29" s="87">
        <f>ROW() - ROW(Table_sounds[N])</f>
        <v>27</v>
      </c>
      <c r="B29" s="48" t="s">
        <v>2186</v>
      </c>
      <c r="C29" s="48" t="s">
        <v>2145</v>
      </c>
      <c r="D29" s="48" t="s">
        <v>2187</v>
      </c>
    </row>
    <row r="30">
      <c r="A30" s="87">
        <f>ROW() - ROW(Table_sounds[N])</f>
        <v>28</v>
      </c>
      <c r="B30" s="48" t="s">
        <v>2188</v>
      </c>
      <c r="C30" s="48" t="s">
        <v>2145</v>
      </c>
      <c r="D30" s="48" t="s">
        <v>2189</v>
      </c>
    </row>
    <row r="31">
      <c r="A31" s="87">
        <f>ROW() - ROW(Table_sounds[N])</f>
        <v>29</v>
      </c>
      <c r="B31" s="48" t="s">
        <v>2190</v>
      </c>
      <c r="C31" s="48" t="s">
        <v>2145</v>
      </c>
      <c r="D31" s="48" t="s">
        <v>2191</v>
      </c>
    </row>
    <row r="32">
      <c r="A32" s="87">
        <f>ROW() - ROW(Table_sounds[N])</f>
        <v>30</v>
      </c>
      <c r="B32" s="48" t="s">
        <v>2192</v>
      </c>
      <c r="C32" s="48" t="s">
        <v>2145</v>
      </c>
      <c r="D32" s="48" t="s">
        <v>2193</v>
      </c>
    </row>
    <row r="33">
      <c r="A33" s="87">
        <f>ROW() - ROW(Table_sounds[N])</f>
        <v>31</v>
      </c>
      <c r="B33" s="48" t="s">
        <v>2194</v>
      </c>
      <c r="C33" s="48" t="s">
        <v>2145</v>
      </c>
      <c r="D33" s="48" t="s">
        <v>2195</v>
      </c>
    </row>
    <row r="34">
      <c r="A34" s="87">
        <f>ROW() - ROW(Table_sounds[N])</f>
        <v>32</v>
      </c>
      <c r="B34" s="48" t="s">
        <v>2196</v>
      </c>
      <c r="C34" s="48" t="s">
        <v>2145</v>
      </c>
      <c r="D34" s="48" t="s">
        <v>2197</v>
      </c>
    </row>
    <row r="35">
      <c r="A35" s="87">
        <f>ROW() - ROW(Table_sounds[N])</f>
        <v>33</v>
      </c>
      <c r="B35" s="48" t="s">
        <v>2198</v>
      </c>
      <c r="C35" s="48" t="s">
        <v>2145</v>
      </c>
      <c r="D35" s="48" t="s">
        <v>2199</v>
      </c>
    </row>
    <row r="36">
      <c r="A36" s="87">
        <f>ROW() - ROW(Table_sounds[N])</f>
        <v>34</v>
      </c>
      <c r="B36" s="48" t="s">
        <v>2200</v>
      </c>
      <c r="C36" s="48" t="s">
        <v>2145</v>
      </c>
      <c r="D36" s="48" t="s">
        <v>2201</v>
      </c>
    </row>
    <row r="37">
      <c r="A37" s="87">
        <f>ROW() - ROW(Table_sounds[N])</f>
        <v>35</v>
      </c>
      <c r="B37" s="48" t="s">
        <v>2202</v>
      </c>
      <c r="C37" s="48" t="s">
        <v>2145</v>
      </c>
      <c r="D37" s="48" t="s">
        <v>2203</v>
      </c>
    </row>
    <row r="38">
      <c r="A38" s="87">
        <f>ROW() - ROW(Table_sounds[N])</f>
        <v>36</v>
      </c>
      <c r="B38" s="48" t="s">
        <v>2204</v>
      </c>
      <c r="C38" s="48" t="s">
        <v>2145</v>
      </c>
      <c r="D38" s="48" t="s">
        <v>2205</v>
      </c>
    </row>
    <row r="39">
      <c r="A39" s="87">
        <f>ROW() - ROW(Table_sounds[N])</f>
        <v>37</v>
      </c>
      <c r="B39" s="48" t="s">
        <v>2206</v>
      </c>
      <c r="C39" s="48" t="s">
        <v>2145</v>
      </c>
      <c r="D39" s="48" t="s">
        <v>2207</v>
      </c>
    </row>
    <row r="40">
      <c r="A40" s="87">
        <f>ROW() - ROW(Table_sounds[N])</f>
        <v>38</v>
      </c>
      <c r="B40" s="48" t="s">
        <v>2208</v>
      </c>
      <c r="C40" s="48" t="s">
        <v>2145</v>
      </c>
      <c r="D40" s="48" t="s">
        <v>2209</v>
      </c>
    </row>
    <row r="41">
      <c r="A41" s="87">
        <f>ROW() - ROW(Table_sounds[N])</f>
        <v>39</v>
      </c>
      <c r="B41" s="48" t="s">
        <v>2210</v>
      </c>
      <c r="C41" s="48" t="s">
        <v>2145</v>
      </c>
      <c r="D41" s="48" t="s">
        <v>2211</v>
      </c>
    </row>
    <row r="42">
      <c r="A42" s="87">
        <f>ROW() - ROW(Table_sounds[N])</f>
        <v>40</v>
      </c>
      <c r="B42" s="48" t="s">
        <v>2212</v>
      </c>
      <c r="C42" s="48" t="s">
        <v>2145</v>
      </c>
      <c r="D42" s="48" t="s">
        <v>2213</v>
      </c>
    </row>
    <row r="43">
      <c r="A43" s="87">
        <f>ROW() - ROW(Table_sounds[N])</f>
        <v>41</v>
      </c>
      <c r="B43" s="48" t="s">
        <v>22</v>
      </c>
      <c r="C43" s="48" t="s">
        <v>2145</v>
      </c>
      <c r="D43" s="48" t="s">
        <v>22</v>
      </c>
    </row>
    <row r="44">
      <c r="A44" s="87">
        <f>ROW() - ROW(Table_sounds[N])</f>
        <v>42</v>
      </c>
      <c r="B44" s="48" t="s">
        <v>1701</v>
      </c>
      <c r="C44" s="48" t="s">
        <v>2145</v>
      </c>
      <c r="D44" s="48" t="s">
        <v>1701</v>
      </c>
    </row>
    <row r="45">
      <c r="A45" s="87">
        <f>ROW() - ROW(Table_sounds[N])</f>
        <v>43</v>
      </c>
      <c r="B45" s="48" t="s">
        <v>2214</v>
      </c>
      <c r="C45" s="48" t="s">
        <v>2145</v>
      </c>
      <c r="D45" s="48" t="s">
        <v>2214</v>
      </c>
    </row>
    <row r="46">
      <c r="A46" s="87">
        <f>ROW() - ROW(Table_sounds[N])</f>
        <v>44</v>
      </c>
      <c r="B46" s="48" t="s">
        <v>2215</v>
      </c>
      <c r="C46" s="48" t="s">
        <v>2145</v>
      </c>
      <c r="D46" s="48" t="s">
        <v>2215</v>
      </c>
    </row>
    <row r="47">
      <c r="A47" s="87">
        <f>ROW() - ROW(Table_sounds[N])</f>
        <v>45</v>
      </c>
      <c r="B47" s="48" t="s">
        <v>2216</v>
      </c>
      <c r="C47" s="48" t="s">
        <v>2145</v>
      </c>
      <c r="D47" s="48" t="s">
        <v>2216</v>
      </c>
    </row>
    <row r="48">
      <c r="A48" s="87">
        <f>ROW() - ROW(Table_sounds[N])</f>
        <v>46</v>
      </c>
      <c r="B48" s="48" t="s">
        <v>2217</v>
      </c>
      <c r="C48" s="48" t="s">
        <v>2145</v>
      </c>
      <c r="D48" s="48" t="s">
        <v>2218</v>
      </c>
    </row>
    <row r="49">
      <c r="A49" s="87">
        <f>ROW() - ROW(Table_sounds[N])</f>
        <v>47</v>
      </c>
      <c r="B49" s="48" t="s">
        <v>2219</v>
      </c>
      <c r="C49" s="48" t="s">
        <v>2145</v>
      </c>
      <c r="D49" s="48" t="s">
        <v>2220</v>
      </c>
    </row>
    <row r="50">
      <c r="A50" s="87">
        <f>ROW() - ROW(Table_sounds[N])</f>
        <v>48</v>
      </c>
      <c r="B50" s="48" t="s">
        <v>2221</v>
      </c>
      <c r="C50" s="48" t="s">
        <v>2145</v>
      </c>
      <c r="D50" s="48" t="s">
        <v>2222</v>
      </c>
    </row>
    <row r="51">
      <c r="A51" s="87">
        <f>ROW() - ROW(Table_sounds[N])</f>
        <v>49</v>
      </c>
      <c r="B51" s="48" t="s">
        <v>2223</v>
      </c>
      <c r="C51" s="48" t="s">
        <v>2145</v>
      </c>
      <c r="D51" s="48" t="s">
        <v>2224</v>
      </c>
    </row>
    <row r="52">
      <c r="A52" s="87">
        <f>ROW() - ROW(Table_sounds[N])</f>
        <v>50</v>
      </c>
      <c r="B52" s="48" t="s">
        <v>2225</v>
      </c>
      <c r="C52" s="48" t="s">
        <v>2145</v>
      </c>
      <c r="D52" s="48" t="s">
        <v>2226</v>
      </c>
    </row>
    <row r="53">
      <c r="A53" s="87">
        <f>ROW() - ROW(Table_sounds[N])</f>
        <v>51</v>
      </c>
      <c r="B53" s="48" t="s">
        <v>2227</v>
      </c>
      <c r="C53" s="48" t="s">
        <v>2145</v>
      </c>
      <c r="D53" s="48" t="s">
        <v>2227</v>
      </c>
    </row>
    <row r="54">
      <c r="A54" s="87">
        <f>ROW() - ROW(Table_sounds[N])</f>
        <v>52</v>
      </c>
      <c r="B54" s="48" t="s">
        <v>2228</v>
      </c>
      <c r="C54" s="48" t="s">
        <v>2145</v>
      </c>
      <c r="D54" s="48" t="s">
        <v>2229</v>
      </c>
    </row>
    <row r="55">
      <c r="A55" s="87">
        <f>ROW() - ROW(Table_sounds[N])</f>
        <v>53</v>
      </c>
      <c r="B55" s="48" t="s">
        <v>2230</v>
      </c>
      <c r="C55" s="48" t="s">
        <v>2145</v>
      </c>
      <c r="D55" s="48" t="s">
        <v>2231</v>
      </c>
    </row>
    <row r="56">
      <c r="A56" s="87">
        <f>ROW() - ROW(Table_sounds[N])</f>
        <v>54</v>
      </c>
      <c r="B56" s="48" t="s">
        <v>2232</v>
      </c>
      <c r="C56" s="48" t="s">
        <v>2145</v>
      </c>
      <c r="D56" s="48" t="s">
        <v>2233</v>
      </c>
    </row>
    <row r="57">
      <c r="A57" s="87">
        <f>ROW() - ROW(Table_sounds[N])</f>
        <v>55</v>
      </c>
      <c r="B57" s="48" t="s">
        <v>2234</v>
      </c>
      <c r="C57" s="48" t="s">
        <v>2145</v>
      </c>
      <c r="D57" s="48" t="s">
        <v>2235</v>
      </c>
    </row>
    <row r="58">
      <c r="A58" s="87">
        <f>ROW() - ROW(Table_sounds[N])</f>
        <v>56</v>
      </c>
      <c r="B58" s="48" t="s">
        <v>2236</v>
      </c>
      <c r="C58" s="48" t="s">
        <v>2145</v>
      </c>
      <c r="D58" s="48" t="s">
        <v>2236</v>
      </c>
    </row>
    <row r="59">
      <c r="A59" s="87">
        <f>ROW() - ROW(Table_sounds[N])</f>
        <v>57</v>
      </c>
      <c r="B59" s="48" t="s">
        <v>2237</v>
      </c>
      <c r="C59" s="48" t="s">
        <v>2145</v>
      </c>
      <c r="D59" s="48" t="s">
        <v>2238</v>
      </c>
    </row>
    <row r="60">
      <c r="A60" s="87">
        <f>ROW() - ROW(Table_sounds[N])</f>
        <v>58</v>
      </c>
      <c r="B60" s="48" t="s">
        <v>2239</v>
      </c>
      <c r="C60" s="48" t="s">
        <v>2145</v>
      </c>
      <c r="D60" s="48" t="s">
        <v>2240</v>
      </c>
    </row>
    <row r="61">
      <c r="A61" s="87">
        <f>ROW() - ROW(Table_sounds[N])</f>
        <v>59</v>
      </c>
      <c r="B61" s="48" t="s">
        <v>2241</v>
      </c>
      <c r="C61" s="48" t="s">
        <v>2145</v>
      </c>
      <c r="D61" s="48" t="s">
        <v>2242</v>
      </c>
    </row>
    <row r="62">
      <c r="A62" s="87">
        <f>ROW() - ROW(Table_sounds[N])</f>
        <v>60</v>
      </c>
      <c r="B62" s="48" t="s">
        <v>2243</v>
      </c>
      <c r="C62" s="48" t="s">
        <v>2145</v>
      </c>
      <c r="D62" s="48" t="s">
        <v>2244</v>
      </c>
    </row>
    <row r="63">
      <c r="A63" s="87">
        <f>ROW() - ROW(Table_sounds[N])</f>
        <v>61</v>
      </c>
      <c r="B63" s="48" t="s">
        <v>2245</v>
      </c>
      <c r="C63" s="48" t="s">
        <v>2145</v>
      </c>
      <c r="D63" s="48" t="s">
        <v>2246</v>
      </c>
    </row>
    <row r="64">
      <c r="A64" s="87">
        <f>ROW() - ROW(Table_sounds[N])</f>
        <v>62</v>
      </c>
      <c r="B64" s="48" t="s">
        <v>2247</v>
      </c>
      <c r="C64" s="48" t="s">
        <v>2145</v>
      </c>
      <c r="D64" s="48" t="s">
        <v>2248</v>
      </c>
    </row>
    <row r="65">
      <c r="A65" s="87">
        <f>ROW() - ROW(Table_sounds[N])</f>
        <v>63</v>
      </c>
      <c r="B65" s="48" t="s">
        <v>2249</v>
      </c>
      <c r="C65" s="48" t="s">
        <v>2145</v>
      </c>
      <c r="D65" s="48" t="s">
        <v>2250</v>
      </c>
    </row>
    <row r="66">
      <c r="A66" s="87">
        <f>ROW() - ROW(Table_sounds[N])</f>
        <v>64</v>
      </c>
      <c r="B66" s="48" t="s">
        <v>2251</v>
      </c>
      <c r="C66" s="48" t="s">
        <v>2145</v>
      </c>
      <c r="D66" s="48" t="s">
        <v>2252</v>
      </c>
    </row>
    <row r="67">
      <c r="A67" s="87">
        <f>ROW() - ROW(Table_sounds[N])</f>
        <v>65</v>
      </c>
      <c r="B67" s="48" t="s">
        <v>2253</v>
      </c>
      <c r="C67" s="48" t="s">
        <v>2145</v>
      </c>
      <c r="D67" s="48" t="s">
        <v>2254</v>
      </c>
    </row>
    <row r="68">
      <c r="A68" s="87">
        <f>ROW() - ROW(Table_sounds[N])</f>
        <v>66</v>
      </c>
      <c r="B68" s="48" t="s">
        <v>2255</v>
      </c>
      <c r="C68" s="48" t="s">
        <v>2145</v>
      </c>
      <c r="D68" s="48" t="s">
        <v>2256</v>
      </c>
    </row>
    <row r="69">
      <c r="A69" s="87">
        <f>ROW() - ROW(Table_sounds[N])</f>
        <v>67</v>
      </c>
      <c r="B69" s="48" t="s">
        <v>2257</v>
      </c>
      <c r="C69" s="48" t="s">
        <v>2145</v>
      </c>
      <c r="D69" s="48" t="s">
        <v>2258</v>
      </c>
    </row>
    <row r="70">
      <c r="A70" s="87">
        <f>ROW() - ROW(Table_sounds[N])</f>
        <v>68</v>
      </c>
      <c r="B70" s="48" t="s">
        <v>2259</v>
      </c>
      <c r="C70" s="48" t="s">
        <v>2145</v>
      </c>
      <c r="D70" s="48" t="s">
        <v>2260</v>
      </c>
    </row>
    <row r="71">
      <c r="A71" s="87">
        <f>ROW() - ROW(Table_sounds[N])</f>
        <v>69</v>
      </c>
      <c r="B71" s="48" t="s">
        <v>2261</v>
      </c>
      <c r="C71" s="48" t="s">
        <v>2145</v>
      </c>
      <c r="D71" s="48" t="s">
        <v>2262</v>
      </c>
    </row>
    <row r="72">
      <c r="A72" s="87">
        <f>ROW() - ROW(Table_sounds[N])</f>
        <v>70</v>
      </c>
      <c r="B72" s="48" t="s">
        <v>2263</v>
      </c>
      <c r="C72" s="48" t="s">
        <v>2145</v>
      </c>
      <c r="D72" s="48" t="s">
        <v>2264</v>
      </c>
    </row>
    <row r="73">
      <c r="A73" s="87">
        <f>ROW() - ROW(Table_sounds[N])</f>
        <v>71</v>
      </c>
      <c r="B73" s="48" t="s">
        <v>2265</v>
      </c>
      <c r="C73" s="48" t="s">
        <v>2145</v>
      </c>
      <c r="D73" s="48" t="s">
        <v>2266</v>
      </c>
    </row>
    <row r="74">
      <c r="A74" s="87">
        <f>ROW() - ROW(Table_sounds[N])</f>
        <v>72</v>
      </c>
      <c r="B74" s="48" t="s">
        <v>2267</v>
      </c>
      <c r="C74" s="48" t="s">
        <v>2145</v>
      </c>
      <c r="D74" s="48" t="s">
        <v>2268</v>
      </c>
    </row>
    <row r="75">
      <c r="A75" s="87">
        <f>ROW() - ROW(Table_sounds[N])</f>
        <v>73</v>
      </c>
      <c r="B75" s="48" t="s">
        <v>2269</v>
      </c>
      <c r="C75" s="48" t="s">
        <v>2145</v>
      </c>
      <c r="D75" s="48" t="s">
        <v>2270</v>
      </c>
    </row>
    <row r="76">
      <c r="A76" s="87">
        <f>ROW() - ROW(Table_sounds[N])</f>
        <v>74</v>
      </c>
      <c r="B76" s="48" t="s">
        <v>2271</v>
      </c>
      <c r="C76" s="48" t="s">
        <v>2145</v>
      </c>
      <c r="D76" s="48" t="s">
        <v>2272</v>
      </c>
    </row>
    <row r="77">
      <c r="A77" s="87">
        <f>ROW() - ROW(Table_sounds[N])</f>
        <v>75</v>
      </c>
      <c r="B77" s="48" t="s">
        <v>2273</v>
      </c>
      <c r="C77" s="48" t="s">
        <v>2145</v>
      </c>
      <c r="D77" s="48" t="s">
        <v>2274</v>
      </c>
    </row>
    <row r="78">
      <c r="A78" s="87">
        <f>ROW() - ROW(Table_sounds[N])</f>
        <v>76</v>
      </c>
      <c r="B78" s="48" t="s">
        <v>2275</v>
      </c>
      <c r="C78" s="48" t="s">
        <v>2145</v>
      </c>
      <c r="D78" s="48" t="s">
        <v>2276</v>
      </c>
    </row>
    <row r="79">
      <c r="A79" s="87">
        <f>ROW() - ROW(Table_sounds[N])</f>
        <v>77</v>
      </c>
      <c r="B79" s="48" t="s">
        <v>2277</v>
      </c>
      <c r="C79" s="48" t="s">
        <v>2145</v>
      </c>
      <c r="D79" s="48" t="s">
        <v>2278</v>
      </c>
    </row>
    <row r="80">
      <c r="A80" s="87">
        <f>ROW() - ROW(Table_sounds[N])</f>
        <v>78</v>
      </c>
      <c r="B80" s="48" t="s">
        <v>2279</v>
      </c>
      <c r="C80" s="48" t="s">
        <v>2145</v>
      </c>
      <c r="D80" s="48" t="s">
        <v>2280</v>
      </c>
    </row>
    <row r="81">
      <c r="A81" s="87">
        <f>ROW() - ROW(Table_sounds[N])</f>
        <v>79</v>
      </c>
      <c r="B81" s="48" t="s">
        <v>2281</v>
      </c>
      <c r="C81" s="48" t="s">
        <v>2145</v>
      </c>
      <c r="D81" s="48" t="s">
        <v>2282</v>
      </c>
    </row>
    <row r="82">
      <c r="A82" s="87">
        <f>ROW() - ROW(Table_sounds[N])</f>
        <v>80</v>
      </c>
      <c r="B82" s="48" t="s">
        <v>2283</v>
      </c>
      <c r="C82" s="48" t="s">
        <v>2145</v>
      </c>
      <c r="D82" s="48" t="s">
        <v>2284</v>
      </c>
    </row>
    <row r="83">
      <c r="A83" s="87">
        <f>ROW() - ROW(Table_sounds[N])</f>
        <v>81</v>
      </c>
      <c r="B83" s="48" t="s">
        <v>2285</v>
      </c>
      <c r="C83" s="48" t="s">
        <v>2145</v>
      </c>
      <c r="D83" s="48" t="s">
        <v>2286</v>
      </c>
    </row>
    <row r="84">
      <c r="A84" s="87">
        <f>ROW() - ROW(Table_sounds[N])</f>
        <v>82</v>
      </c>
      <c r="B84" s="48" t="s">
        <v>2287</v>
      </c>
      <c r="C84" s="48" t="s">
        <v>2145</v>
      </c>
      <c r="D84" s="48" t="s">
        <v>2287</v>
      </c>
    </row>
    <row r="85">
      <c r="A85" s="87">
        <f>ROW() - ROW(Table_sounds[N])</f>
        <v>83</v>
      </c>
      <c r="B85" s="48" t="s">
        <v>2288</v>
      </c>
      <c r="C85" s="48" t="s">
        <v>2145</v>
      </c>
      <c r="D85" s="48" t="s">
        <v>2288</v>
      </c>
    </row>
    <row r="86">
      <c r="A86" s="87">
        <f>ROW() - ROW(Table_sounds[N])</f>
        <v>84</v>
      </c>
      <c r="B86" s="48" t="s">
        <v>2289</v>
      </c>
      <c r="C86" s="48" t="s">
        <v>2145</v>
      </c>
      <c r="D86" s="48" t="s">
        <v>2289</v>
      </c>
    </row>
    <row r="87">
      <c r="A87" s="87">
        <f>ROW() - ROW(Table_sounds[N])</f>
        <v>85</v>
      </c>
      <c r="B87" s="48" t="s">
        <v>2290</v>
      </c>
      <c r="C87" s="48" t="s">
        <v>2145</v>
      </c>
      <c r="D87" s="48" t="s">
        <v>2290</v>
      </c>
    </row>
    <row r="88">
      <c r="A88" s="87">
        <f>ROW() - ROW(Table_sounds[N])</f>
        <v>86</v>
      </c>
      <c r="B88" s="48" t="s">
        <v>2291</v>
      </c>
      <c r="C88" s="48" t="s">
        <v>2145</v>
      </c>
      <c r="D88" s="48" t="s">
        <v>2292</v>
      </c>
    </row>
    <row r="89">
      <c r="A89" s="87">
        <f>ROW() - ROW(Table_sounds[N])</f>
        <v>87</v>
      </c>
      <c r="B89" s="48" t="s">
        <v>2293</v>
      </c>
      <c r="C89" s="48" t="s">
        <v>2145</v>
      </c>
      <c r="D89" s="48" t="s">
        <v>2294</v>
      </c>
    </row>
    <row r="90">
      <c r="A90" s="87">
        <f>ROW() - ROW(Table_sounds[N])</f>
        <v>88</v>
      </c>
      <c r="B90" s="48" t="s">
        <v>2295</v>
      </c>
      <c r="C90" s="48" t="s">
        <v>2145</v>
      </c>
      <c r="D90" s="48" t="s">
        <v>2296</v>
      </c>
    </row>
    <row r="91">
      <c r="A91" s="87">
        <f>ROW() - ROW(Table_sounds[N])</f>
        <v>89</v>
      </c>
      <c r="B91" s="48" t="s">
        <v>2297</v>
      </c>
      <c r="C91" s="48" t="s">
        <v>2145</v>
      </c>
      <c r="D91" s="48" t="s">
        <v>2298</v>
      </c>
    </row>
    <row r="92">
      <c r="A92" s="87">
        <f>ROW() - ROW(Table_sounds[N])</f>
        <v>90</v>
      </c>
      <c r="B92" s="48" t="s">
        <v>2299</v>
      </c>
      <c r="C92" s="48" t="s">
        <v>2145</v>
      </c>
      <c r="D92" s="48" t="s">
        <v>2300</v>
      </c>
    </row>
    <row r="93">
      <c r="A93" s="87">
        <f>ROW() - ROW(Table_sounds[N])</f>
        <v>91</v>
      </c>
      <c r="B93" s="48" t="s">
        <v>2301</v>
      </c>
      <c r="C93" s="48" t="s">
        <v>2145</v>
      </c>
      <c r="D93" s="48" t="s">
        <v>2302</v>
      </c>
    </row>
    <row r="94">
      <c r="A94" s="87">
        <f>ROW() - ROW(Table_sounds[N])</f>
        <v>92</v>
      </c>
      <c r="B94" s="48" t="s">
        <v>2303</v>
      </c>
      <c r="C94" s="48" t="s">
        <v>2145</v>
      </c>
      <c r="D94" s="48" t="s">
        <v>2304</v>
      </c>
    </row>
    <row r="95">
      <c r="A95" s="87">
        <f>ROW() - ROW(Table_sounds[N])</f>
        <v>93</v>
      </c>
      <c r="B95" s="48" t="s">
        <v>2305</v>
      </c>
      <c r="C95" s="48" t="s">
        <v>2145</v>
      </c>
      <c r="D95" s="48" t="s">
        <v>2306</v>
      </c>
    </row>
    <row r="96">
      <c r="A96" s="87">
        <f>ROW() - ROW(Table_sounds[N])</f>
        <v>94</v>
      </c>
      <c r="B96" s="48" t="s">
        <v>2307</v>
      </c>
      <c r="C96" s="48" t="s">
        <v>2145</v>
      </c>
      <c r="D96" s="48" t="s">
        <v>2308</v>
      </c>
    </row>
    <row r="97">
      <c r="A97" s="87">
        <f>ROW() - ROW(Table_sounds[N])</f>
        <v>95</v>
      </c>
      <c r="B97" s="48" t="s">
        <v>2309</v>
      </c>
      <c r="C97" s="48" t="s">
        <v>2145</v>
      </c>
      <c r="D97" s="48" t="s">
        <v>2310</v>
      </c>
    </row>
    <row r="98">
      <c r="A98" s="87">
        <f>ROW() - ROW(Table_sounds[N])</f>
        <v>96</v>
      </c>
      <c r="B98" s="48" t="s">
        <v>2311</v>
      </c>
      <c r="C98" s="48" t="s">
        <v>2145</v>
      </c>
      <c r="D98" s="48" t="s">
        <v>2312</v>
      </c>
    </row>
    <row r="99">
      <c r="A99" s="87">
        <f>ROW() - ROW(Table_sounds[N])</f>
        <v>97</v>
      </c>
      <c r="B99" s="48" t="s">
        <v>2313</v>
      </c>
      <c r="C99" s="48" t="s">
        <v>2145</v>
      </c>
      <c r="D99" s="48" t="s">
        <v>2313</v>
      </c>
    </row>
    <row r="100">
      <c r="A100" s="87">
        <f>ROW() - ROW(Table_sounds[N])</f>
        <v>98</v>
      </c>
      <c r="B100" s="48" t="s">
        <v>2314</v>
      </c>
      <c r="C100" s="48" t="s">
        <v>2145</v>
      </c>
      <c r="D100" s="48" t="s">
        <v>2315</v>
      </c>
    </row>
    <row r="101">
      <c r="A101" s="87">
        <f>ROW() - ROW(Table_sounds[N])</f>
        <v>99</v>
      </c>
      <c r="B101" s="48" t="s">
        <v>2316</v>
      </c>
      <c r="C101" s="48" t="s">
        <v>2145</v>
      </c>
      <c r="D101" s="48" t="s">
        <v>2317</v>
      </c>
    </row>
    <row r="102">
      <c r="A102" s="87">
        <f>ROW() - ROW(Table_sounds[N])</f>
        <v>100</v>
      </c>
      <c r="B102" s="48" t="s">
        <v>2318</v>
      </c>
      <c r="C102" s="48" t="s">
        <v>2145</v>
      </c>
      <c r="D102" s="48" t="s">
        <v>2319</v>
      </c>
    </row>
    <row r="103">
      <c r="A103" s="87">
        <f>ROW() - ROW(Table_sounds[N])</f>
        <v>101</v>
      </c>
      <c r="B103" s="48" t="s">
        <v>2320</v>
      </c>
      <c r="C103" s="48" t="s">
        <v>2145</v>
      </c>
      <c r="D103" s="48" t="s">
        <v>2321</v>
      </c>
    </row>
    <row r="104">
      <c r="A104" s="87">
        <f>ROW() - ROW(Table_sounds[N])</f>
        <v>102</v>
      </c>
      <c r="B104" s="48" t="s">
        <v>2322</v>
      </c>
      <c r="C104" s="48" t="s">
        <v>2145</v>
      </c>
      <c r="D104" s="48" t="s">
        <v>2323</v>
      </c>
    </row>
    <row r="105">
      <c r="A105" s="87">
        <f>ROW() - ROW(Table_sounds[N])</f>
        <v>103</v>
      </c>
      <c r="B105" s="48" t="s">
        <v>2324</v>
      </c>
      <c r="C105" s="48" t="s">
        <v>2145</v>
      </c>
      <c r="D105" s="48" t="s">
        <v>2325</v>
      </c>
    </row>
    <row r="106">
      <c r="A106" s="87">
        <f>ROW() - ROW(Table_sounds[N])</f>
        <v>104</v>
      </c>
      <c r="B106" s="48" t="s">
        <v>2326</v>
      </c>
      <c r="C106" s="48" t="s">
        <v>2145</v>
      </c>
      <c r="D106" s="48" t="s">
        <v>2327</v>
      </c>
    </row>
    <row r="107">
      <c r="A107" s="87">
        <f>ROW() - ROW(Table_sounds[N])</f>
        <v>105</v>
      </c>
      <c r="B107" s="48" t="s">
        <v>2328</v>
      </c>
      <c r="C107" s="48" t="s">
        <v>2145</v>
      </c>
      <c r="D107" s="48" t="s">
        <v>2329</v>
      </c>
    </row>
    <row r="108">
      <c r="A108" s="87">
        <f>ROW() - ROW(Table_sounds[N])</f>
        <v>106</v>
      </c>
      <c r="B108" s="48" t="s">
        <v>2330</v>
      </c>
      <c r="C108" s="48" t="s">
        <v>2145</v>
      </c>
      <c r="D108" s="48" t="s">
        <v>2331</v>
      </c>
    </row>
    <row r="109">
      <c r="A109" s="87">
        <f>ROW() - ROW(Table_sounds[N])</f>
        <v>107</v>
      </c>
      <c r="B109" s="48" t="s">
        <v>2332</v>
      </c>
      <c r="C109" s="48" t="s">
        <v>2145</v>
      </c>
      <c r="D109" s="48" t="s">
        <v>2333</v>
      </c>
    </row>
    <row r="110">
      <c r="A110" s="87">
        <f>ROW() - ROW(Table_sounds[N])</f>
        <v>108</v>
      </c>
      <c r="B110" s="48" t="s">
        <v>2334</v>
      </c>
      <c r="C110" s="48" t="s">
        <v>2145</v>
      </c>
      <c r="D110" s="48" t="s">
        <v>2335</v>
      </c>
    </row>
    <row r="111">
      <c r="A111" s="87">
        <f>ROW() - ROW(Table_sounds[N])</f>
        <v>109</v>
      </c>
      <c r="B111" s="48" t="s">
        <v>2336</v>
      </c>
      <c r="C111" s="48" t="s">
        <v>2145</v>
      </c>
      <c r="D111" s="48" t="s">
        <v>2337</v>
      </c>
    </row>
    <row r="112">
      <c r="A112" s="87">
        <f>ROW() - ROW(Table_sounds[N])</f>
        <v>110</v>
      </c>
      <c r="B112" s="48" t="s">
        <v>2338</v>
      </c>
      <c r="C112" s="48" t="s">
        <v>2145</v>
      </c>
      <c r="D112" s="48" t="s">
        <v>2339</v>
      </c>
    </row>
    <row r="113">
      <c r="A113" s="87">
        <f>ROW() - ROW(Table_sounds[N])</f>
        <v>111</v>
      </c>
      <c r="B113" s="48" t="s">
        <v>2340</v>
      </c>
      <c r="C113" s="48" t="s">
        <v>2145</v>
      </c>
      <c r="D113" s="48" t="s">
        <v>2341</v>
      </c>
    </row>
    <row r="114">
      <c r="A114" s="87">
        <f>ROW() - ROW(Table_sounds[N])</f>
        <v>112</v>
      </c>
      <c r="B114" s="48" t="s">
        <v>2342</v>
      </c>
      <c r="C114" s="48" t="s">
        <v>2145</v>
      </c>
      <c r="D114" s="48" t="s">
        <v>2343</v>
      </c>
    </row>
    <row r="115">
      <c r="A115" s="87">
        <f>ROW() - ROW(Table_sounds[N])</f>
        <v>113</v>
      </c>
      <c r="B115" s="48" t="s">
        <v>2344</v>
      </c>
      <c r="C115" s="48" t="s">
        <v>2145</v>
      </c>
      <c r="D115" s="48" t="s">
        <v>2345</v>
      </c>
    </row>
    <row r="116">
      <c r="A116" s="87">
        <f>ROW() - ROW(Table_sounds[N])</f>
        <v>114</v>
      </c>
      <c r="B116" s="48" t="s">
        <v>2346</v>
      </c>
      <c r="C116" s="48" t="s">
        <v>2145</v>
      </c>
      <c r="D116" s="48" t="s">
        <v>2347</v>
      </c>
    </row>
    <row r="117">
      <c r="A117" s="87">
        <f>ROW() - ROW(Table_sounds[N])</f>
        <v>115</v>
      </c>
      <c r="B117" s="48" t="s">
        <v>2348</v>
      </c>
      <c r="C117" s="48" t="s">
        <v>2145</v>
      </c>
      <c r="D117" s="48" t="s">
        <v>2349</v>
      </c>
    </row>
    <row r="118">
      <c r="A118" s="87">
        <f>ROW() - ROW(Table_sounds[N])</f>
        <v>116</v>
      </c>
      <c r="B118" s="48" t="s">
        <v>2350</v>
      </c>
      <c r="C118" s="48" t="s">
        <v>2145</v>
      </c>
      <c r="D118" s="48" t="s">
        <v>2351</v>
      </c>
    </row>
    <row r="119">
      <c r="A119" s="87">
        <f>ROW() - ROW(Table_sounds[N])</f>
        <v>117</v>
      </c>
      <c r="B119" s="48" t="s">
        <v>2352</v>
      </c>
      <c r="C119" s="48" t="s">
        <v>2145</v>
      </c>
      <c r="D119" s="48" t="s">
        <v>2353</v>
      </c>
    </row>
    <row r="120">
      <c r="A120" s="87">
        <f>ROW() - ROW(Table_sounds[N])</f>
        <v>118</v>
      </c>
      <c r="B120" s="48" t="s">
        <v>2354</v>
      </c>
      <c r="C120" s="48" t="s">
        <v>2145</v>
      </c>
      <c r="D120" s="48" t="s">
        <v>2355</v>
      </c>
    </row>
    <row r="121">
      <c r="A121" s="87">
        <f>ROW() - ROW(Table_sounds[N])</f>
        <v>119</v>
      </c>
      <c r="B121" s="48" t="s">
        <v>2356</v>
      </c>
      <c r="C121" s="48" t="s">
        <v>2145</v>
      </c>
      <c r="D121" s="48" t="s">
        <v>2357</v>
      </c>
    </row>
    <row r="122">
      <c r="A122" s="87">
        <f>ROW() - ROW(Table_sounds[N])</f>
        <v>120</v>
      </c>
      <c r="B122" s="48" t="s">
        <v>2358</v>
      </c>
      <c r="C122" s="48" t="s">
        <v>2145</v>
      </c>
      <c r="D122" s="48" t="s">
        <v>2359</v>
      </c>
    </row>
    <row r="123">
      <c r="A123" s="87">
        <f>ROW() - ROW(Table_sounds[N])</f>
        <v>121</v>
      </c>
      <c r="B123" s="48" t="s">
        <v>2360</v>
      </c>
      <c r="C123" s="48" t="s">
        <v>2145</v>
      </c>
      <c r="D123" s="48" t="s">
        <v>2361</v>
      </c>
    </row>
    <row r="124">
      <c r="A124" s="87">
        <f>ROW() - ROW(Table_sounds[N])</f>
        <v>122</v>
      </c>
      <c r="B124" s="48" t="s">
        <v>2362</v>
      </c>
      <c r="C124" s="48" t="s">
        <v>2145</v>
      </c>
      <c r="D124" s="48" t="s">
        <v>2363</v>
      </c>
    </row>
    <row r="125">
      <c r="A125" s="87">
        <f>ROW() - ROW(Table_sounds[N])</f>
        <v>123</v>
      </c>
      <c r="B125" s="48" t="s">
        <v>2364</v>
      </c>
      <c r="C125" s="48" t="s">
        <v>2145</v>
      </c>
      <c r="D125" s="48" t="s">
        <v>2365</v>
      </c>
    </row>
    <row r="126">
      <c r="A126" s="87">
        <f>ROW() - ROW(Table_sounds[N])</f>
        <v>124</v>
      </c>
      <c r="B126" s="48" t="s">
        <v>2366</v>
      </c>
      <c r="C126" s="48" t="s">
        <v>2145</v>
      </c>
      <c r="D126" s="48" t="s">
        <v>2367</v>
      </c>
    </row>
    <row r="127">
      <c r="A127" s="87">
        <f>ROW() - ROW(Table_sounds[N])</f>
        <v>125</v>
      </c>
      <c r="B127" s="48" t="s">
        <v>2368</v>
      </c>
      <c r="C127" s="48" t="s">
        <v>2145</v>
      </c>
      <c r="D127" s="48" t="s">
        <v>2369</v>
      </c>
    </row>
    <row r="128">
      <c r="A128" s="87">
        <f>ROW() - ROW(Table_sounds[N])</f>
        <v>126</v>
      </c>
      <c r="B128" s="48" t="s">
        <v>2370</v>
      </c>
      <c r="C128" s="48" t="s">
        <v>2145</v>
      </c>
      <c r="D128" s="48" t="s">
        <v>2371</v>
      </c>
    </row>
    <row r="129">
      <c r="A129" s="87">
        <f>ROW() - ROW(Table_sounds[N])</f>
        <v>127</v>
      </c>
      <c r="B129" s="48" t="s">
        <v>2372</v>
      </c>
      <c r="C129" s="48" t="s">
        <v>2145</v>
      </c>
      <c r="D129" s="48" t="s">
        <v>2373</v>
      </c>
    </row>
    <row r="130">
      <c r="A130" s="87">
        <f>ROW() - ROW(Table_sounds[N])</f>
        <v>128</v>
      </c>
      <c r="B130" s="48" t="s">
        <v>2374</v>
      </c>
      <c r="C130" s="48" t="s">
        <v>2145</v>
      </c>
      <c r="D130" s="48" t="s">
        <v>2374</v>
      </c>
    </row>
    <row r="131">
      <c r="A131" s="87">
        <f>ROW() - ROW(Table_sounds[N])</f>
        <v>129</v>
      </c>
      <c r="B131" s="48" t="s">
        <v>2375</v>
      </c>
      <c r="C131" s="48" t="s">
        <v>2145</v>
      </c>
      <c r="D131" s="48" t="s">
        <v>2376</v>
      </c>
    </row>
    <row r="132">
      <c r="A132" s="87">
        <f>ROW() - ROW(Table_sounds[N])</f>
        <v>130</v>
      </c>
      <c r="B132" s="48" t="s">
        <v>2377</v>
      </c>
      <c r="C132" s="48" t="s">
        <v>2145</v>
      </c>
      <c r="D132" s="48" t="s">
        <v>2378</v>
      </c>
    </row>
    <row r="133">
      <c r="A133" s="87">
        <f>ROW() - ROW(Table_sounds[N])</f>
        <v>131</v>
      </c>
      <c r="B133" s="48" t="s">
        <v>2379</v>
      </c>
      <c r="C133" s="48" t="s">
        <v>2145</v>
      </c>
      <c r="D133" s="48" t="s">
        <v>2380</v>
      </c>
    </row>
    <row r="134">
      <c r="A134" s="87">
        <f>ROW() - ROW(Table_sounds[N])</f>
        <v>132</v>
      </c>
      <c r="B134" s="48" t="s">
        <v>2381</v>
      </c>
      <c r="C134" s="48" t="s">
        <v>2145</v>
      </c>
      <c r="D134" s="48" t="s">
        <v>2382</v>
      </c>
    </row>
    <row r="135">
      <c r="A135" s="87">
        <f>ROW() - ROW(Table_sounds[N])</f>
        <v>133</v>
      </c>
      <c r="B135" s="48" t="s">
        <v>2383</v>
      </c>
      <c r="C135" s="48" t="s">
        <v>2145</v>
      </c>
      <c r="D135" s="48" t="s">
        <v>2384</v>
      </c>
    </row>
    <row r="136">
      <c r="A136" s="87">
        <f>ROW() - ROW(Table_sounds[N])</f>
        <v>134</v>
      </c>
      <c r="B136" s="48" t="s">
        <v>2385</v>
      </c>
      <c r="C136" s="48" t="s">
        <v>2145</v>
      </c>
      <c r="D136" s="48" t="s">
        <v>2386</v>
      </c>
    </row>
    <row r="137">
      <c r="A137" s="87">
        <f>ROW() - ROW(Table_sounds[N])</f>
        <v>135</v>
      </c>
      <c r="B137" s="48" t="s">
        <v>2387</v>
      </c>
      <c r="C137" s="48" t="s">
        <v>2145</v>
      </c>
      <c r="D137" s="48" t="s">
        <v>2388</v>
      </c>
    </row>
    <row r="138">
      <c r="A138" s="87">
        <f>ROW() - ROW(Table_sounds[N])</f>
        <v>136</v>
      </c>
      <c r="B138" s="48" t="s">
        <v>2389</v>
      </c>
      <c r="C138" s="48" t="s">
        <v>2145</v>
      </c>
      <c r="D138" s="48" t="s">
        <v>2390</v>
      </c>
    </row>
    <row r="139">
      <c r="A139" s="87">
        <f>ROW() - ROW(Table_sounds[N])</f>
        <v>137</v>
      </c>
      <c r="B139" s="48" t="s">
        <v>2391</v>
      </c>
      <c r="C139" s="48" t="s">
        <v>2145</v>
      </c>
      <c r="D139" s="48" t="s">
        <v>2392</v>
      </c>
    </row>
    <row r="140">
      <c r="A140" s="87">
        <f>ROW() - ROW(Table_sounds[N])</f>
        <v>138</v>
      </c>
      <c r="B140" s="48" t="s">
        <v>2393</v>
      </c>
      <c r="C140" s="48" t="s">
        <v>2145</v>
      </c>
      <c r="D140" s="48" t="s">
        <v>2394</v>
      </c>
    </row>
    <row r="141">
      <c r="A141" s="87">
        <f>ROW() - ROW(Table_sounds[N])</f>
        <v>139</v>
      </c>
      <c r="B141" s="48" t="s">
        <v>2395</v>
      </c>
      <c r="C141" s="48" t="s">
        <v>2145</v>
      </c>
      <c r="D141" s="48" t="s">
        <v>2396</v>
      </c>
    </row>
    <row r="142">
      <c r="A142" s="87">
        <f>ROW() - ROW(Table_sounds[N])</f>
        <v>140</v>
      </c>
      <c r="B142" s="48" t="s">
        <v>1517</v>
      </c>
      <c r="C142" s="48" t="s">
        <v>2145</v>
      </c>
      <c r="D142" s="48" t="s">
        <v>1517</v>
      </c>
    </row>
    <row r="143">
      <c r="A143" s="87">
        <f>ROW() - ROW(Table_sounds[N])</f>
        <v>141</v>
      </c>
      <c r="B143" s="48" t="s">
        <v>2397</v>
      </c>
      <c r="C143" s="48" t="s">
        <v>2145</v>
      </c>
      <c r="D143" s="48" t="s">
        <v>2398</v>
      </c>
    </row>
    <row r="144">
      <c r="A144" s="87">
        <f>ROW() - ROW(Table_sounds[N])</f>
        <v>142</v>
      </c>
      <c r="B144" s="48" t="s">
        <v>2399</v>
      </c>
      <c r="C144" s="48" t="s">
        <v>2145</v>
      </c>
      <c r="D144" s="48" t="s">
        <v>2400</v>
      </c>
    </row>
    <row r="145">
      <c r="A145" s="87">
        <f>ROW() - ROW(Table_sounds[N])</f>
        <v>143</v>
      </c>
      <c r="B145" s="48" t="s">
        <v>2401</v>
      </c>
      <c r="C145" s="48" t="s">
        <v>2145</v>
      </c>
      <c r="D145" s="48" t="s">
        <v>2402</v>
      </c>
    </row>
    <row r="146">
      <c r="A146" s="87">
        <f>ROW() - ROW(Table_sounds[N])</f>
        <v>144</v>
      </c>
      <c r="B146" s="48" t="s">
        <v>2403</v>
      </c>
      <c r="C146" s="48" t="s">
        <v>2145</v>
      </c>
      <c r="D146" s="48" t="s">
        <v>2404</v>
      </c>
    </row>
    <row r="147">
      <c r="A147" s="87">
        <f>ROW() - ROW(Table_sounds[N])</f>
        <v>145</v>
      </c>
      <c r="B147" s="48" t="s">
        <v>2405</v>
      </c>
      <c r="C147" s="48" t="s">
        <v>2145</v>
      </c>
      <c r="D147" s="48" t="s">
        <v>2406</v>
      </c>
    </row>
    <row r="148">
      <c r="A148" s="87">
        <f>ROW() - ROW(Table_sounds[N])</f>
        <v>146</v>
      </c>
      <c r="B148" s="48" t="s">
        <v>2407</v>
      </c>
      <c r="C148" s="48" t="s">
        <v>2145</v>
      </c>
      <c r="D148" s="48" t="s">
        <v>2408</v>
      </c>
    </row>
    <row r="149">
      <c r="A149" s="87">
        <f>ROW() - ROW(Table_sounds[N])</f>
        <v>147</v>
      </c>
      <c r="B149" s="48" t="s">
        <v>2409</v>
      </c>
      <c r="C149" s="48" t="s">
        <v>2145</v>
      </c>
      <c r="D149" s="48" t="s">
        <v>2410</v>
      </c>
    </row>
    <row r="150">
      <c r="A150" s="87">
        <f>ROW() - ROW(Table_sounds[N])</f>
        <v>148</v>
      </c>
      <c r="B150" s="48" t="s">
        <v>2411</v>
      </c>
      <c r="C150" s="48" t="s">
        <v>2145</v>
      </c>
      <c r="D150" s="48" t="s">
        <v>2412</v>
      </c>
    </row>
    <row r="151">
      <c r="A151" s="87">
        <f>ROW() - ROW(Table_sounds[N])</f>
        <v>149</v>
      </c>
      <c r="B151" s="48" t="s">
        <v>2413</v>
      </c>
      <c r="C151" s="48" t="s">
        <v>2145</v>
      </c>
      <c r="D151" s="48" t="s">
        <v>2414</v>
      </c>
    </row>
    <row r="152">
      <c r="A152" s="87">
        <f>ROW() - ROW(Table_sounds[N])</f>
        <v>150</v>
      </c>
      <c r="B152" s="48" t="s">
        <v>2415</v>
      </c>
      <c r="C152" s="48" t="s">
        <v>2145</v>
      </c>
      <c r="D152" s="48" t="s">
        <v>2416</v>
      </c>
    </row>
    <row r="153">
      <c r="A153" s="87">
        <f>ROW() - ROW(Table_sounds[N])</f>
        <v>151</v>
      </c>
      <c r="B153" s="54" t="s">
        <v>2417</v>
      </c>
      <c r="C153" s="75" t="s">
        <v>2145</v>
      </c>
      <c r="D153" s="54" t="s">
        <v>2418</v>
      </c>
    </row>
    <row r="154">
      <c r="A154" s="87">
        <f>ROW() - ROW(Table_sounds[N])</f>
        <v>152</v>
      </c>
      <c r="B154" s="54" t="s">
        <v>2419</v>
      </c>
      <c r="C154" s="75" t="s">
        <v>2145</v>
      </c>
      <c r="D154" s="54" t="s">
        <v>2420</v>
      </c>
    </row>
    <row r="155">
      <c r="A155" s="87">
        <f>ROW() - ROW(Table_sounds[N])</f>
        <v>153</v>
      </c>
      <c r="B155" s="54" t="s">
        <v>2421</v>
      </c>
      <c r="C155" s="75" t="s">
        <v>2145</v>
      </c>
      <c r="D155" s="54" t="s">
        <v>2422</v>
      </c>
    </row>
    <row r="156">
      <c r="A156" s="87">
        <f>ROW() - ROW(Table_sounds[N])</f>
        <v>154</v>
      </c>
      <c r="B156" s="54" t="s">
        <v>2423</v>
      </c>
      <c r="C156" s="75" t="s">
        <v>2145</v>
      </c>
      <c r="D156" s="54" t="s">
        <v>2424</v>
      </c>
    </row>
    <row r="157">
      <c r="A157" s="87">
        <f>ROW() - ROW(Table_sounds[N])</f>
        <v>155</v>
      </c>
      <c r="B157" s="54" t="s">
        <v>2425</v>
      </c>
      <c r="C157" s="75" t="s">
        <v>2145</v>
      </c>
      <c r="D157" s="54" t="s">
        <v>2426</v>
      </c>
    </row>
    <row r="158">
      <c r="A158" s="87">
        <f>ROW() - ROW(Table_sounds[N])</f>
        <v>156</v>
      </c>
      <c r="B158" s="48" t="s">
        <v>2427</v>
      </c>
      <c r="C158" s="48" t="s">
        <v>2145</v>
      </c>
      <c r="D158" s="48" t="s">
        <v>2428</v>
      </c>
    </row>
    <row r="159">
      <c r="A159" s="87">
        <f>ROW() - ROW(Table_sounds[N])</f>
        <v>157</v>
      </c>
      <c r="B159" s="48" t="s">
        <v>2429</v>
      </c>
      <c r="C159" s="48" t="s">
        <v>2145</v>
      </c>
      <c r="D159" s="48" t="s">
        <v>2430</v>
      </c>
    </row>
    <row r="160">
      <c r="A160" s="87">
        <f>ROW() - ROW(Table_sounds[N])</f>
        <v>158</v>
      </c>
      <c r="B160" s="48" t="s">
        <v>2431</v>
      </c>
      <c r="C160" s="48" t="s">
        <v>2145</v>
      </c>
      <c r="D160" s="48" t="s">
        <v>2432</v>
      </c>
    </row>
    <row r="161">
      <c r="A161" s="87">
        <f>ROW() - ROW(Table_sounds[N])</f>
        <v>159</v>
      </c>
      <c r="B161" s="48" t="s">
        <v>2433</v>
      </c>
      <c r="C161" s="48" t="s">
        <v>2145</v>
      </c>
      <c r="D161" s="48" t="s">
        <v>2434</v>
      </c>
    </row>
    <row r="162">
      <c r="A162" s="87">
        <f>ROW() - ROW(Table_sounds[N])</f>
        <v>160</v>
      </c>
      <c r="B162" s="48" t="s">
        <v>2435</v>
      </c>
      <c r="C162" s="48" t="s">
        <v>2145</v>
      </c>
      <c r="D162" s="48" t="s">
        <v>2436</v>
      </c>
    </row>
    <row r="163">
      <c r="A163" s="87">
        <f>ROW() - ROW(Table_sounds[N])</f>
        <v>161</v>
      </c>
      <c r="B163" s="48" t="s">
        <v>2437</v>
      </c>
      <c r="C163" s="48" t="s">
        <v>2145</v>
      </c>
      <c r="D163" s="48" t="s">
        <v>2438</v>
      </c>
    </row>
    <row r="164">
      <c r="A164" s="87">
        <f>ROW() - ROW(Table_sounds[N])</f>
        <v>162</v>
      </c>
      <c r="B164" s="48" t="s">
        <v>2439</v>
      </c>
      <c r="C164" s="48" t="s">
        <v>2145</v>
      </c>
      <c r="D164" s="48" t="s">
        <v>2440</v>
      </c>
    </row>
    <row r="165">
      <c r="A165" s="87">
        <f>ROW() - ROW(Table_sounds[N])</f>
        <v>163</v>
      </c>
      <c r="B165" s="48" t="s">
        <v>2441</v>
      </c>
      <c r="C165" s="48" t="s">
        <v>2145</v>
      </c>
      <c r="D165" s="48" t="s">
        <v>2442</v>
      </c>
    </row>
    <row r="166">
      <c r="A166" s="87">
        <f>ROW() - ROW(Table_sounds[N])</f>
        <v>164</v>
      </c>
      <c r="B166" s="48" t="s">
        <v>2443</v>
      </c>
      <c r="C166" s="48" t="s">
        <v>2145</v>
      </c>
      <c r="D166" s="48" t="s">
        <v>2444</v>
      </c>
    </row>
    <row r="167">
      <c r="A167" s="87">
        <f>ROW() - ROW(Table_sounds[N])</f>
        <v>165</v>
      </c>
      <c r="B167" s="48" t="s">
        <v>2445</v>
      </c>
      <c r="C167" s="48" t="s">
        <v>2145</v>
      </c>
      <c r="D167" s="48" t="s">
        <v>2446</v>
      </c>
    </row>
    <row r="168">
      <c r="A168" s="87">
        <f>ROW() - ROW(Table_sounds[N])</f>
        <v>166</v>
      </c>
      <c r="B168" s="48" t="s">
        <v>2447</v>
      </c>
      <c r="C168" s="48" t="s">
        <v>2145</v>
      </c>
      <c r="D168" s="48" t="s">
        <v>2448</v>
      </c>
    </row>
    <row r="169">
      <c r="A169" s="87">
        <f>ROW() - ROW(Table_sounds[N])</f>
        <v>167</v>
      </c>
      <c r="B169" s="48" t="s">
        <v>2449</v>
      </c>
      <c r="C169" s="48" t="s">
        <v>2145</v>
      </c>
      <c r="D169" s="48" t="s">
        <v>2450</v>
      </c>
    </row>
    <row r="170">
      <c r="A170" s="87">
        <f>ROW() - ROW(Table_sounds[N])</f>
        <v>168</v>
      </c>
      <c r="B170" s="48" t="s">
        <v>2451</v>
      </c>
      <c r="C170" s="48" t="s">
        <v>2145</v>
      </c>
      <c r="D170" s="48" t="s">
        <v>2452</v>
      </c>
    </row>
    <row r="171">
      <c r="A171" s="87">
        <f>ROW() - ROW(Table_sounds[N])</f>
        <v>169</v>
      </c>
      <c r="B171" s="48" t="s">
        <v>2453</v>
      </c>
      <c r="C171" s="48" t="s">
        <v>2145</v>
      </c>
      <c r="D171" s="48" t="s">
        <v>2454</v>
      </c>
    </row>
    <row r="172">
      <c r="A172" s="87">
        <f>ROW() - ROW(Table_sounds[N])</f>
        <v>170</v>
      </c>
      <c r="B172" s="48" t="s">
        <v>2455</v>
      </c>
      <c r="C172" s="48" t="s">
        <v>2145</v>
      </c>
      <c r="D172" s="48" t="s">
        <v>2456</v>
      </c>
    </row>
    <row r="173">
      <c r="A173" s="87">
        <f>ROW() - ROW(Table_sounds[N])</f>
        <v>171</v>
      </c>
      <c r="B173" s="48" t="s">
        <v>2457</v>
      </c>
      <c r="C173" s="48" t="s">
        <v>2145</v>
      </c>
      <c r="D173" s="48" t="s">
        <v>2458</v>
      </c>
    </row>
    <row r="174">
      <c r="A174" s="87">
        <f>ROW() - ROW(Table_sounds[N])</f>
        <v>172</v>
      </c>
      <c r="B174" s="48" t="s">
        <v>2459</v>
      </c>
      <c r="C174" s="48" t="s">
        <v>2145</v>
      </c>
      <c r="D174" s="48" t="s">
        <v>2460</v>
      </c>
    </row>
    <row r="175">
      <c r="A175" s="87">
        <f>ROW() - ROW(Table_sounds[N])</f>
        <v>173</v>
      </c>
      <c r="B175" s="48" t="s">
        <v>2461</v>
      </c>
      <c r="C175" s="48" t="s">
        <v>2145</v>
      </c>
      <c r="D175" s="48" t="s">
        <v>2462</v>
      </c>
    </row>
    <row r="176">
      <c r="A176" s="87">
        <f>ROW() - ROW(Table_sounds[N])</f>
        <v>174</v>
      </c>
      <c r="B176" s="48" t="s">
        <v>2463</v>
      </c>
      <c r="C176" s="48" t="s">
        <v>2145</v>
      </c>
      <c r="D176" s="48" t="s">
        <v>2464</v>
      </c>
    </row>
    <row r="177">
      <c r="A177" s="87">
        <f>ROW() - ROW(Table_sounds[N])</f>
        <v>175</v>
      </c>
      <c r="B177" s="48" t="s">
        <v>2465</v>
      </c>
      <c r="C177" s="48" t="s">
        <v>2145</v>
      </c>
      <c r="D177" s="48" t="s">
        <v>2466</v>
      </c>
    </row>
    <row r="178">
      <c r="A178" s="87">
        <f>ROW() - ROW(Table_sounds[N])</f>
        <v>176</v>
      </c>
      <c r="B178" s="48" t="s">
        <v>2467</v>
      </c>
      <c r="C178" s="48" t="s">
        <v>2145</v>
      </c>
      <c r="D178" s="48" t="s">
        <v>2467</v>
      </c>
    </row>
    <row r="179">
      <c r="A179" s="87">
        <f>ROW() - ROW(Table_sounds[N])</f>
        <v>177</v>
      </c>
      <c r="B179" s="48" t="s">
        <v>2468</v>
      </c>
      <c r="C179" s="48" t="s">
        <v>2145</v>
      </c>
      <c r="D179" s="48" t="s">
        <v>2469</v>
      </c>
    </row>
    <row r="180">
      <c r="A180" s="87">
        <f>ROW() - ROW(Table_sounds[N])</f>
        <v>178</v>
      </c>
      <c r="B180" s="48" t="s">
        <v>2470</v>
      </c>
      <c r="C180" s="48" t="s">
        <v>2145</v>
      </c>
      <c r="D180" s="48" t="s">
        <v>2471</v>
      </c>
    </row>
    <row r="181">
      <c r="A181" s="87">
        <f>ROW() - ROW(Table_sounds[N])</f>
        <v>179</v>
      </c>
      <c r="B181" s="48" t="s">
        <v>2472</v>
      </c>
      <c r="C181" s="48" t="s">
        <v>2145</v>
      </c>
      <c r="D181" s="48" t="s">
        <v>2473</v>
      </c>
    </row>
    <row r="182">
      <c r="A182" s="87">
        <f>ROW() - ROW(Table_sounds[N])</f>
        <v>180</v>
      </c>
      <c r="B182" s="48" t="s">
        <v>2474</v>
      </c>
      <c r="C182" s="48" t="s">
        <v>2145</v>
      </c>
      <c r="D182" s="48" t="s">
        <v>2475</v>
      </c>
    </row>
    <row r="183">
      <c r="A183" s="87">
        <f>ROW() - ROW(Table_sounds[N])</f>
        <v>181</v>
      </c>
      <c r="B183" s="48" t="s">
        <v>2476</v>
      </c>
      <c r="C183" s="48" t="s">
        <v>2145</v>
      </c>
      <c r="D183" s="48" t="s">
        <v>2477</v>
      </c>
    </row>
    <row r="184">
      <c r="A184" s="87">
        <f>ROW() - ROW(Table_sounds[N])</f>
        <v>182</v>
      </c>
      <c r="B184" s="48" t="s">
        <v>2478</v>
      </c>
      <c r="C184" s="48" t="s">
        <v>2145</v>
      </c>
      <c r="D184" s="48" t="s">
        <v>2479</v>
      </c>
    </row>
    <row r="185">
      <c r="A185" s="87">
        <f>ROW() - ROW(Table_sounds[N])</f>
        <v>183</v>
      </c>
      <c r="B185" s="48" t="s">
        <v>2480</v>
      </c>
      <c r="C185" s="48" t="s">
        <v>2145</v>
      </c>
      <c r="D185" s="87" t="s">
        <v>2481</v>
      </c>
    </row>
    <row r="186">
      <c r="A186" s="87">
        <f>ROW() - ROW(Table_sounds[N])</f>
        <v>184</v>
      </c>
      <c r="B186" s="48" t="s">
        <v>2482</v>
      </c>
      <c r="C186" s="48" t="s">
        <v>2145</v>
      </c>
      <c r="D186" s="87" t="s">
        <v>2483</v>
      </c>
    </row>
    <row r="187">
      <c r="A187" s="87">
        <f>ROW() - ROW(Table_sounds[N])</f>
        <v>185</v>
      </c>
      <c r="B187" s="48" t="s">
        <v>2484</v>
      </c>
      <c r="C187" s="48" t="s">
        <v>2145</v>
      </c>
      <c r="D187" s="87" t="s">
        <v>2485</v>
      </c>
    </row>
    <row r="188">
      <c r="A188" s="87">
        <f>ROW() - ROW(Table_sounds[N])</f>
        <v>186</v>
      </c>
      <c r="B188" s="48" t="s">
        <v>2486</v>
      </c>
      <c r="C188" s="48" t="s">
        <v>2145</v>
      </c>
      <c r="D188" s="87" t="s">
        <v>2487</v>
      </c>
    </row>
    <row r="189">
      <c r="A189" s="87">
        <f>ROW() - ROW(Table_sounds[N])</f>
        <v>187</v>
      </c>
      <c r="B189" s="48" t="s">
        <v>2488</v>
      </c>
      <c r="C189" s="48" t="s">
        <v>2145</v>
      </c>
      <c r="D189" s="87" t="s">
        <v>2489</v>
      </c>
    </row>
    <row r="190">
      <c r="A190" s="87">
        <f>ROW() - ROW(Table_sounds[N])</f>
        <v>188</v>
      </c>
      <c r="B190" s="48" t="s">
        <v>2490</v>
      </c>
      <c r="C190" s="48" t="s">
        <v>2145</v>
      </c>
      <c r="D190" s="87" t="s">
        <v>2491</v>
      </c>
    </row>
    <row r="191">
      <c r="A191" s="87">
        <f>ROW() - ROW(Table_sounds[N])</f>
        <v>189</v>
      </c>
      <c r="B191" s="48" t="s">
        <v>2492</v>
      </c>
      <c r="C191" s="48" t="s">
        <v>2145</v>
      </c>
      <c r="D191" s="87" t="s">
        <v>2493</v>
      </c>
    </row>
    <row r="192">
      <c r="A192" s="87">
        <f>ROW() - ROW(Table_sounds[N])</f>
        <v>190</v>
      </c>
      <c r="B192" s="48" t="s">
        <v>2494</v>
      </c>
      <c r="C192" s="48" t="s">
        <v>2145</v>
      </c>
      <c r="D192" s="87" t="s">
        <v>2495</v>
      </c>
    </row>
    <row r="193">
      <c r="A193" s="87">
        <f>ROW() - ROW(Table_sounds[N])</f>
        <v>191</v>
      </c>
      <c r="B193" s="48" t="s">
        <v>2496</v>
      </c>
      <c r="C193" s="48" t="s">
        <v>2145</v>
      </c>
      <c r="D193" s="87" t="s">
        <v>2497</v>
      </c>
    </row>
    <row r="194">
      <c r="A194" s="87">
        <f>ROW() - ROW(Table_sounds[N])</f>
        <v>192</v>
      </c>
      <c r="B194" s="48" t="s">
        <v>2498</v>
      </c>
      <c r="C194" s="48" t="s">
        <v>2145</v>
      </c>
      <c r="D194" s="87" t="s">
        <v>2499</v>
      </c>
    </row>
    <row r="195">
      <c r="A195" s="87">
        <f>ROW() - ROW(Table_sounds[N])</f>
        <v>193</v>
      </c>
      <c r="B195" s="48" t="s">
        <v>2500</v>
      </c>
      <c r="C195" s="48" t="s">
        <v>2145</v>
      </c>
      <c r="D195" s="87" t="s">
        <v>2501</v>
      </c>
    </row>
    <row r="196">
      <c r="A196" s="87">
        <f>ROW() - ROW(Table_sounds[N])</f>
        <v>194</v>
      </c>
      <c r="B196" s="48" t="s">
        <v>2502</v>
      </c>
      <c r="C196" s="48" t="s">
        <v>2145</v>
      </c>
      <c r="D196" s="87" t="s">
        <v>2503</v>
      </c>
    </row>
    <row r="197">
      <c r="A197" s="87">
        <f>ROW() - ROW(Table_sounds[N])</f>
        <v>195</v>
      </c>
      <c r="B197" s="48" t="s">
        <v>2504</v>
      </c>
      <c r="C197" s="48" t="s">
        <v>2145</v>
      </c>
      <c r="D197" s="87" t="s">
        <v>2505</v>
      </c>
    </row>
    <row r="198">
      <c r="A198" s="87">
        <f>ROW() - ROW(Table_sounds[N])</f>
        <v>196</v>
      </c>
      <c r="B198" s="48" t="s">
        <v>2506</v>
      </c>
      <c r="C198" s="48" t="s">
        <v>2145</v>
      </c>
      <c r="D198" s="87" t="s">
        <v>2507</v>
      </c>
    </row>
    <row r="199">
      <c r="A199" s="87">
        <f>ROW() - ROW(Table_sounds[N])</f>
        <v>197</v>
      </c>
      <c r="B199" s="48" t="s">
        <v>2508</v>
      </c>
      <c r="C199" s="48" t="s">
        <v>2145</v>
      </c>
      <c r="D199" s="87" t="s">
        <v>2509</v>
      </c>
    </row>
    <row r="200">
      <c r="A200" s="87">
        <f>ROW() - ROW(Table_sounds[N])</f>
        <v>198</v>
      </c>
      <c r="B200" s="48" t="s">
        <v>2510</v>
      </c>
      <c r="C200" s="48" t="s">
        <v>2145</v>
      </c>
      <c r="D200" s="87" t="s">
        <v>2511</v>
      </c>
    </row>
    <row r="201">
      <c r="A201" s="87">
        <f>ROW() - ROW(Table_sounds[N])</f>
        <v>199</v>
      </c>
      <c r="B201" s="48" t="s">
        <v>2512</v>
      </c>
      <c r="C201" s="48" t="s">
        <v>2145</v>
      </c>
      <c r="D201" s="87" t="s">
        <v>2513</v>
      </c>
    </row>
    <row r="202">
      <c r="A202" s="87">
        <f>ROW() - ROW(Table_sounds[N])</f>
        <v>200</v>
      </c>
      <c r="B202" s="48" t="s">
        <v>2514</v>
      </c>
      <c r="C202" s="48" t="s">
        <v>2145</v>
      </c>
      <c r="D202" s="87" t="s">
        <v>2515</v>
      </c>
    </row>
    <row r="203">
      <c r="A203" s="87">
        <f>ROW() - ROW(Table_sounds[N])</f>
        <v>201</v>
      </c>
      <c r="B203" s="48" t="s">
        <v>2516</v>
      </c>
      <c r="C203" s="48" t="s">
        <v>2145</v>
      </c>
      <c r="D203" s="87" t="s">
        <v>2517</v>
      </c>
    </row>
    <row r="204">
      <c r="A204" s="87">
        <f>ROW() - ROW(Table_sounds[N])</f>
        <v>202</v>
      </c>
      <c r="B204" s="48" t="s">
        <v>2518</v>
      </c>
      <c r="C204" s="48" t="s">
        <v>2145</v>
      </c>
      <c r="D204" s="87" t="s">
        <v>2519</v>
      </c>
    </row>
    <row r="205">
      <c r="A205" s="87">
        <f>ROW() - ROW(Table_sounds[N])</f>
        <v>203</v>
      </c>
      <c r="B205" s="48" t="s">
        <v>2520</v>
      </c>
      <c r="C205" s="48" t="s">
        <v>2145</v>
      </c>
      <c r="D205" s="87" t="s">
        <v>2521</v>
      </c>
    </row>
    <row r="206">
      <c r="A206" s="87">
        <f>ROW() - ROW(Table_sounds[N])</f>
        <v>204</v>
      </c>
      <c r="B206" s="48" t="s">
        <v>2522</v>
      </c>
      <c r="C206" s="48" t="s">
        <v>2145</v>
      </c>
      <c r="D206" s="87" t="s">
        <v>2523</v>
      </c>
    </row>
    <row r="207">
      <c r="A207" s="87">
        <f>ROW() - ROW(Table_sounds[N])</f>
        <v>205</v>
      </c>
      <c r="B207" s="48" t="s">
        <v>2524</v>
      </c>
      <c r="C207" s="48" t="s">
        <v>2145</v>
      </c>
      <c r="D207" s="87" t="s">
        <v>2525</v>
      </c>
    </row>
    <row r="208">
      <c r="A208" s="87">
        <f>ROW() - ROW(Table_sounds[N])</f>
        <v>206</v>
      </c>
      <c r="B208" s="48" t="s">
        <v>2526</v>
      </c>
      <c r="C208" s="48" t="s">
        <v>2145</v>
      </c>
      <c r="D208" s="87" t="s">
        <v>2527</v>
      </c>
    </row>
    <row r="209">
      <c r="A209" s="87">
        <f>ROW() - ROW(Table_sounds[N])</f>
        <v>207</v>
      </c>
      <c r="B209" s="48" t="s">
        <v>2528</v>
      </c>
      <c r="C209" s="48" t="s">
        <v>2145</v>
      </c>
      <c r="D209" s="87" t="s">
        <v>2529</v>
      </c>
    </row>
    <row r="210">
      <c r="A210" s="87">
        <f>ROW() - ROW(Table_sounds[N])</f>
        <v>208</v>
      </c>
      <c r="B210" s="48" t="s">
        <v>2530</v>
      </c>
      <c r="C210" s="48" t="s">
        <v>2145</v>
      </c>
      <c r="D210" s="87" t="s">
        <v>2531</v>
      </c>
    </row>
    <row r="211">
      <c r="A211" s="87">
        <f>ROW() - ROW(Table_sounds[N])</f>
        <v>209</v>
      </c>
      <c r="B211" s="48" t="s">
        <v>2532</v>
      </c>
      <c r="C211" s="48" t="s">
        <v>2145</v>
      </c>
      <c r="D211" s="87" t="s">
        <v>2533</v>
      </c>
    </row>
    <row r="212">
      <c r="A212" s="87">
        <f>ROW() - ROW(Table_sounds[N])</f>
        <v>210</v>
      </c>
      <c r="B212" s="48" t="s">
        <v>2534</v>
      </c>
      <c r="C212" s="48" t="s">
        <v>2145</v>
      </c>
      <c r="D212" s="87" t="s">
        <v>2535</v>
      </c>
    </row>
    <row r="213">
      <c r="A213" s="87">
        <f>ROW() - ROW(Table_sounds[N])</f>
        <v>211</v>
      </c>
      <c r="B213" s="48" t="s">
        <v>2536</v>
      </c>
      <c r="C213" s="48" t="s">
        <v>2145</v>
      </c>
      <c r="D213" s="87" t="s">
        <v>2537</v>
      </c>
    </row>
    <row r="214">
      <c r="A214" s="87">
        <f>ROW() - ROW(Table_sounds[N])</f>
        <v>212</v>
      </c>
      <c r="B214" s="48" t="s">
        <v>2538</v>
      </c>
      <c r="C214" s="48" t="s">
        <v>2145</v>
      </c>
      <c r="D214" s="87" t="s">
        <v>2539</v>
      </c>
    </row>
    <row r="215">
      <c r="A215" s="87">
        <f>ROW() - ROW(Table_sounds[N])</f>
        <v>213</v>
      </c>
      <c r="B215" s="48" t="s">
        <v>2540</v>
      </c>
      <c r="C215" s="48" t="s">
        <v>2145</v>
      </c>
      <c r="D215" s="87" t="s">
        <v>2541</v>
      </c>
    </row>
    <row r="216">
      <c r="A216" s="87">
        <f>ROW() - ROW(Table_sounds[N])</f>
        <v>214</v>
      </c>
      <c r="B216" s="48" t="s">
        <v>2542</v>
      </c>
      <c r="C216" s="48" t="s">
        <v>2145</v>
      </c>
      <c r="D216" s="87" t="s">
        <v>2543</v>
      </c>
    </row>
    <row r="217">
      <c r="A217" s="87">
        <f>ROW() - ROW(Table_sounds[N])</f>
        <v>215</v>
      </c>
      <c r="B217" s="48" t="s">
        <v>2544</v>
      </c>
      <c r="C217" s="48" t="s">
        <v>2145</v>
      </c>
      <c r="D217" s="87" t="s">
        <v>2545</v>
      </c>
    </row>
    <row r="218">
      <c r="A218" s="87">
        <f>ROW() - ROW(Table_sounds[N])</f>
        <v>216</v>
      </c>
      <c r="B218" s="48" t="s">
        <v>2546</v>
      </c>
      <c r="C218" s="48" t="s">
        <v>2145</v>
      </c>
      <c r="D218" s="87" t="s">
        <v>2547</v>
      </c>
    </row>
    <row r="219">
      <c r="A219" s="87">
        <f>ROW() - ROW(Table_sounds[N])</f>
        <v>217</v>
      </c>
      <c r="B219" s="48" t="s">
        <v>2548</v>
      </c>
      <c r="C219" s="48" t="s">
        <v>2145</v>
      </c>
      <c r="D219" s="87" t="s">
        <v>2549</v>
      </c>
    </row>
    <row r="220">
      <c r="A220" s="87">
        <f>ROW() - ROW(Table_sounds[N])</f>
        <v>218</v>
      </c>
      <c r="B220" s="48" t="s">
        <v>2550</v>
      </c>
      <c r="C220" s="48" t="s">
        <v>2145</v>
      </c>
      <c r="D220" s="87" t="s">
        <v>2551</v>
      </c>
    </row>
    <row r="221">
      <c r="A221" s="87">
        <f>ROW() - ROW(Table_sounds[N])</f>
        <v>219</v>
      </c>
      <c r="B221" s="48" t="s">
        <v>2552</v>
      </c>
      <c r="C221" s="48" t="s">
        <v>2145</v>
      </c>
      <c r="D221" s="87" t="s">
        <v>2553</v>
      </c>
    </row>
    <row r="222">
      <c r="A222" s="87">
        <f>ROW() - ROW(Table_sounds[N])</f>
        <v>220</v>
      </c>
      <c r="B222" s="48" t="s">
        <v>2554</v>
      </c>
      <c r="C222" s="48" t="s">
        <v>2145</v>
      </c>
      <c r="D222" s="87" t="s">
        <v>2555</v>
      </c>
    </row>
    <row r="223">
      <c r="A223" s="87">
        <f>ROW() - ROW(Table_sounds[N])</f>
        <v>221</v>
      </c>
      <c r="B223" s="48" t="s">
        <v>2556</v>
      </c>
      <c r="C223" s="48" t="s">
        <v>2145</v>
      </c>
      <c r="D223" s="87" t="s">
        <v>2557</v>
      </c>
    </row>
    <row r="224">
      <c r="A224" s="87">
        <f>ROW() - ROW(Table_sounds[N])</f>
        <v>222</v>
      </c>
      <c r="B224" s="48" t="s">
        <v>2558</v>
      </c>
      <c r="C224" s="48" t="s">
        <v>2145</v>
      </c>
      <c r="D224" s="87" t="s">
        <v>2559</v>
      </c>
    </row>
    <row r="225">
      <c r="A225" s="87">
        <f>ROW() - ROW(Table_sounds[N])</f>
        <v>223</v>
      </c>
      <c r="B225" s="48" t="s">
        <v>2560</v>
      </c>
      <c r="C225" s="48" t="s">
        <v>2145</v>
      </c>
      <c r="D225" s="87" t="s">
        <v>2561</v>
      </c>
    </row>
    <row r="226">
      <c r="A226" s="87">
        <f>ROW() - ROW(Table_sounds[N])</f>
        <v>224</v>
      </c>
      <c r="B226" s="48" t="s">
        <v>2562</v>
      </c>
      <c r="C226" s="48" t="s">
        <v>2145</v>
      </c>
      <c r="D226" s="87" t="s">
        <v>2563</v>
      </c>
    </row>
    <row r="227">
      <c r="A227" s="87">
        <f>ROW() - ROW(Table_sounds[N])</f>
        <v>225</v>
      </c>
      <c r="B227" s="48" t="s">
        <v>2564</v>
      </c>
      <c r="C227" s="48" t="s">
        <v>2145</v>
      </c>
      <c r="D227" s="87" t="s">
        <v>2565</v>
      </c>
    </row>
    <row r="228">
      <c r="A228" s="87">
        <f>ROW() - ROW(Table_sounds[N])</f>
        <v>226</v>
      </c>
      <c r="B228" s="48" t="s">
        <v>2566</v>
      </c>
      <c r="C228" s="48" t="s">
        <v>2145</v>
      </c>
      <c r="D228" s="87" t="s">
        <v>2567</v>
      </c>
    </row>
    <row r="229">
      <c r="A229" s="87">
        <f>ROW() - ROW(Table_sounds[N])</f>
        <v>227</v>
      </c>
      <c r="B229" s="48" t="s">
        <v>2568</v>
      </c>
      <c r="C229" s="48" t="s">
        <v>2145</v>
      </c>
      <c r="D229" s="87" t="s">
        <v>2569</v>
      </c>
    </row>
    <row r="230">
      <c r="A230" s="87">
        <f>ROW() - ROW(Table_sounds[N])</f>
        <v>228</v>
      </c>
      <c r="B230" s="48" t="s">
        <v>2570</v>
      </c>
      <c r="C230" s="48" t="s">
        <v>2145</v>
      </c>
      <c r="D230" s="48" t="s">
        <v>2571</v>
      </c>
    </row>
    <row r="231">
      <c r="A231" s="87">
        <f>ROW() - ROW(Table_sounds[N])</f>
        <v>229</v>
      </c>
      <c r="B231" s="48" t="s">
        <v>2572</v>
      </c>
      <c r="C231" s="48" t="s">
        <v>2145</v>
      </c>
      <c r="D231" s="48" t="s">
        <v>2573</v>
      </c>
    </row>
    <row r="232">
      <c r="A232" s="87">
        <f>ROW() - ROW(Table_sounds[N])</f>
        <v>230</v>
      </c>
      <c r="B232" s="48" t="s">
        <v>2574</v>
      </c>
      <c r="C232" s="48" t="s">
        <v>2145</v>
      </c>
      <c r="D232" s="48" t="s">
        <v>2575</v>
      </c>
    </row>
    <row r="233">
      <c r="A233" s="87">
        <f>ROW() - ROW(Table_sounds[N])</f>
        <v>231</v>
      </c>
      <c r="B233" s="48" t="s">
        <v>2576</v>
      </c>
      <c r="C233" s="48" t="s">
        <v>2145</v>
      </c>
      <c r="D233" s="87" t="s">
        <v>2577</v>
      </c>
    </row>
    <row r="234">
      <c r="A234" s="87">
        <f>ROW() - ROW(Table_sounds[N])</f>
        <v>232</v>
      </c>
      <c r="B234" s="48" t="s">
        <v>2578</v>
      </c>
      <c r="C234" s="48" t="s">
        <v>2145</v>
      </c>
      <c r="D234" s="87" t="s">
        <v>2579</v>
      </c>
    </row>
    <row r="235">
      <c r="A235" s="87">
        <f>ROW() - ROW(Table_sounds[N])</f>
        <v>233</v>
      </c>
      <c r="B235" s="48" t="s">
        <v>2580</v>
      </c>
      <c r="C235" s="48" t="s">
        <v>2145</v>
      </c>
      <c r="D235" s="87" t="s">
        <v>2581</v>
      </c>
    </row>
    <row r="236">
      <c r="A236" s="87">
        <f>ROW() - ROW(Table_sounds[N])</f>
        <v>234</v>
      </c>
      <c r="B236" s="48" t="s">
        <v>2582</v>
      </c>
      <c r="C236" s="48" t="s">
        <v>2145</v>
      </c>
      <c r="D236" s="87" t="s">
        <v>2583</v>
      </c>
    </row>
    <row r="237">
      <c r="A237" s="87">
        <f>ROW() - ROW(Table_sounds[N])</f>
        <v>235</v>
      </c>
      <c r="B237" s="48" t="s">
        <v>2584</v>
      </c>
      <c r="C237" s="48" t="s">
        <v>2145</v>
      </c>
      <c r="D237" s="87" t="s">
        <v>2585</v>
      </c>
    </row>
    <row r="238">
      <c r="A238" s="87">
        <f>ROW() - ROW(Table_sounds[N])</f>
        <v>236</v>
      </c>
      <c r="B238" s="48" t="s">
        <v>2586</v>
      </c>
      <c r="C238" s="48" t="s">
        <v>2145</v>
      </c>
      <c r="D238" s="87" t="s">
        <v>2587</v>
      </c>
    </row>
    <row r="239">
      <c r="A239" s="87">
        <f>ROW() - ROW(Table_sounds[N])</f>
        <v>237</v>
      </c>
      <c r="B239" s="48" t="s">
        <v>2588</v>
      </c>
      <c r="C239" s="48" t="s">
        <v>2145</v>
      </c>
      <c r="D239" s="87" t="s">
        <v>2589</v>
      </c>
    </row>
    <row r="240">
      <c r="A240" s="87">
        <f>ROW() - ROW(Table_sounds[N])</f>
        <v>238</v>
      </c>
      <c r="B240" s="48" t="s">
        <v>2590</v>
      </c>
      <c r="C240" s="48" t="s">
        <v>2145</v>
      </c>
      <c r="D240" s="48" t="s">
        <v>2591</v>
      </c>
    </row>
    <row r="241">
      <c r="A241" s="87">
        <f>ROW() - ROW(Table_sounds[N])</f>
        <v>239</v>
      </c>
      <c r="B241" s="48" t="s">
        <v>2592</v>
      </c>
      <c r="C241" s="48" t="s">
        <v>2145</v>
      </c>
      <c r="D241" s="48" t="s">
        <v>2593</v>
      </c>
    </row>
    <row r="242">
      <c r="A242" s="87">
        <f>ROW() - ROW(Table_sounds[N])</f>
        <v>240</v>
      </c>
      <c r="B242" s="48" t="s">
        <v>2594</v>
      </c>
      <c r="C242" s="48" t="s">
        <v>2145</v>
      </c>
      <c r="D242" s="48" t="s">
        <v>2595</v>
      </c>
    </row>
    <row r="243">
      <c r="A243" s="87">
        <f>ROW() - ROW(Table_sounds[N])</f>
        <v>241</v>
      </c>
      <c r="B243" s="48" t="s">
        <v>1608</v>
      </c>
      <c r="C243" s="48" t="s">
        <v>2145</v>
      </c>
      <c r="D243" s="48" t="s">
        <v>1608</v>
      </c>
    </row>
    <row r="244">
      <c r="A244" s="87">
        <f>ROW() - ROW(Table_sounds[N])</f>
        <v>242</v>
      </c>
      <c r="B244" s="48" t="s">
        <v>2596</v>
      </c>
      <c r="C244" s="48" t="s">
        <v>2145</v>
      </c>
      <c r="D244" s="48" t="s">
        <v>2597</v>
      </c>
    </row>
    <row r="245">
      <c r="A245" s="87">
        <f>ROW() - ROW(Table_sounds[N])</f>
        <v>243</v>
      </c>
      <c r="B245" s="48" t="s">
        <v>2598</v>
      </c>
      <c r="C245" s="48" t="s">
        <v>2145</v>
      </c>
      <c r="D245" s="48" t="s">
        <v>2599</v>
      </c>
    </row>
    <row r="246">
      <c r="A246" s="87">
        <f>ROW() - ROW(Table_sounds[N])</f>
        <v>244</v>
      </c>
      <c r="B246" s="48" t="s">
        <v>2600</v>
      </c>
      <c r="C246" s="48" t="s">
        <v>2145</v>
      </c>
      <c r="D246" s="48" t="s">
        <v>2601</v>
      </c>
    </row>
    <row r="247">
      <c r="A247" s="87">
        <f>ROW() - ROW(Table_sounds[N])</f>
        <v>245</v>
      </c>
      <c r="B247" s="48" t="s">
        <v>2602</v>
      </c>
      <c r="C247" s="48" t="s">
        <v>2145</v>
      </c>
      <c r="D247" s="48" t="s">
        <v>2602</v>
      </c>
    </row>
    <row r="248">
      <c r="A248" s="87">
        <f>ROW() - ROW(Table_sounds[N])</f>
        <v>246</v>
      </c>
      <c r="B248" s="48" t="s">
        <v>2603</v>
      </c>
      <c r="C248" s="48" t="s">
        <v>2145</v>
      </c>
      <c r="D248" s="48" t="s">
        <v>2604</v>
      </c>
    </row>
    <row r="249">
      <c r="A249" s="87">
        <f>ROW() - ROW(Table_sounds[N])</f>
        <v>247</v>
      </c>
      <c r="B249" s="48" t="s">
        <v>2605</v>
      </c>
      <c r="C249" s="48" t="s">
        <v>2145</v>
      </c>
      <c r="D249" s="48" t="s">
        <v>2606</v>
      </c>
    </row>
    <row r="250">
      <c r="A250" s="87">
        <f>ROW() - ROW(Table_sounds[N])</f>
        <v>248</v>
      </c>
      <c r="B250" s="48" t="s">
        <v>1645</v>
      </c>
      <c r="C250" s="48" t="s">
        <v>2145</v>
      </c>
      <c r="D250" s="48" t="s">
        <v>1645</v>
      </c>
    </row>
    <row r="251">
      <c r="A251" s="87">
        <f>ROW() - ROW(Table_sounds[N])</f>
        <v>249</v>
      </c>
      <c r="B251" s="48" t="s">
        <v>1649</v>
      </c>
      <c r="C251" s="48" t="s">
        <v>2145</v>
      </c>
      <c r="D251" s="48" t="s">
        <v>1649</v>
      </c>
    </row>
    <row r="252">
      <c r="A252" s="87">
        <f>ROW() - ROW(Table_sounds[N])</f>
        <v>250</v>
      </c>
      <c r="B252" s="48" t="s">
        <v>2607</v>
      </c>
      <c r="C252" s="48" t="s">
        <v>2145</v>
      </c>
      <c r="D252" s="48" t="s">
        <v>2608</v>
      </c>
    </row>
    <row r="253">
      <c r="A253" s="87">
        <f>ROW() - ROW(Table_sounds[N])</f>
        <v>251</v>
      </c>
      <c r="B253" s="48" t="s">
        <v>2609</v>
      </c>
      <c r="C253" s="48" t="s">
        <v>2145</v>
      </c>
      <c r="D253" s="48" t="s">
        <v>2610</v>
      </c>
    </row>
    <row r="254">
      <c r="A254" s="87">
        <f>ROW() - ROW(Table_sounds[N])</f>
        <v>252</v>
      </c>
      <c r="B254" s="48" t="s">
        <v>2611</v>
      </c>
      <c r="C254" s="48" t="s">
        <v>2145</v>
      </c>
      <c r="D254" s="48" t="s">
        <v>2612</v>
      </c>
    </row>
    <row r="255">
      <c r="A255" s="87">
        <f>ROW() - ROW(Table_sounds[N])</f>
        <v>253</v>
      </c>
      <c r="B255" s="48" t="s">
        <v>2613</v>
      </c>
      <c r="C255" s="48" t="s">
        <v>2145</v>
      </c>
      <c r="D255" s="48" t="s">
        <v>2614</v>
      </c>
    </row>
    <row r="256">
      <c r="A256" s="87">
        <f>ROW() - ROW(Table_sounds[N])</f>
        <v>254</v>
      </c>
      <c r="B256" s="48" t="s">
        <v>2615</v>
      </c>
      <c r="C256" s="48" t="s">
        <v>2145</v>
      </c>
      <c r="D256" s="48" t="s">
        <v>2616</v>
      </c>
    </row>
    <row r="257">
      <c r="A257" s="87">
        <f>ROW() - ROW(Table_sounds[N])</f>
        <v>255</v>
      </c>
      <c r="B257" s="48" t="s">
        <v>2617</v>
      </c>
      <c r="C257" s="48" t="s">
        <v>2145</v>
      </c>
      <c r="D257" s="48" t="s">
        <v>2618</v>
      </c>
    </row>
    <row r="258">
      <c r="A258" s="87">
        <f>ROW() - ROW(Table_sounds[N])</f>
        <v>256</v>
      </c>
      <c r="B258" s="48" t="s">
        <v>2619</v>
      </c>
      <c r="C258" s="48" t="s">
        <v>2145</v>
      </c>
      <c r="D258" s="48" t="s">
        <v>2620</v>
      </c>
    </row>
    <row r="259">
      <c r="A259" s="87">
        <f>ROW() - ROW(Table_sounds[N])</f>
        <v>257</v>
      </c>
      <c r="B259" s="48" t="s">
        <v>2621</v>
      </c>
      <c r="C259" s="48" t="s">
        <v>2145</v>
      </c>
      <c r="D259" s="48" t="s">
        <v>2622</v>
      </c>
    </row>
    <row r="260">
      <c r="A260" s="87">
        <f>ROW() - ROW(Table_sounds[N])</f>
        <v>258</v>
      </c>
      <c r="B260" s="48" t="s">
        <v>2623</v>
      </c>
      <c r="C260" s="48" t="s">
        <v>2145</v>
      </c>
      <c r="D260" s="48" t="s">
        <v>2624</v>
      </c>
    </row>
    <row r="261">
      <c r="A261" s="87">
        <f>ROW() - ROW(Table_sounds[N])</f>
        <v>259</v>
      </c>
      <c r="B261" s="48" t="s">
        <v>2625</v>
      </c>
      <c r="C261" s="48" t="s">
        <v>2145</v>
      </c>
      <c r="D261" s="48" t="s">
        <v>2626</v>
      </c>
    </row>
    <row r="262">
      <c r="A262" s="87">
        <f>ROW() - ROW(Table_sounds[N])</f>
        <v>260</v>
      </c>
      <c r="B262" s="48" t="s">
        <v>2627</v>
      </c>
      <c r="C262" s="48" t="s">
        <v>2145</v>
      </c>
      <c r="D262" s="48" t="s">
        <v>2628</v>
      </c>
    </row>
    <row r="263">
      <c r="A263" s="87">
        <f>ROW() - ROW(Table_sounds[N])</f>
        <v>261</v>
      </c>
      <c r="B263" s="48" t="s">
        <v>2629</v>
      </c>
      <c r="C263" s="48" t="s">
        <v>2145</v>
      </c>
      <c r="D263" s="48" t="s">
        <v>2630</v>
      </c>
    </row>
    <row r="264">
      <c r="A264" s="87">
        <f>ROW() - ROW(Table_sounds[N])</f>
        <v>262</v>
      </c>
      <c r="B264" s="48" t="s">
        <v>2631</v>
      </c>
      <c r="C264" s="48" t="s">
        <v>2145</v>
      </c>
      <c r="D264" s="48" t="s">
        <v>2632</v>
      </c>
    </row>
    <row r="265">
      <c r="A265" s="87">
        <f>ROW() - ROW(Table_sounds[N])</f>
        <v>263</v>
      </c>
      <c r="B265" s="48" t="s">
        <v>2633</v>
      </c>
      <c r="C265" s="48" t="s">
        <v>2145</v>
      </c>
      <c r="D265" s="48" t="s">
        <v>2634</v>
      </c>
    </row>
    <row r="266">
      <c r="A266" s="87">
        <f>ROW() - ROW(Table_sounds[N])</f>
        <v>264</v>
      </c>
      <c r="B266" s="48" t="s">
        <v>2635</v>
      </c>
      <c r="C266" s="48" t="s">
        <v>2145</v>
      </c>
      <c r="D266" s="48" t="s">
        <v>2636</v>
      </c>
    </row>
    <row r="267">
      <c r="A267" s="87">
        <f>ROW() - ROW(Table_sounds[N])</f>
        <v>265</v>
      </c>
      <c r="B267" s="48" t="s">
        <v>2637</v>
      </c>
      <c r="C267" s="48" t="s">
        <v>2145</v>
      </c>
      <c r="D267" s="48" t="s">
        <v>2638</v>
      </c>
    </row>
    <row r="268">
      <c r="A268" s="87">
        <f>ROW() - ROW(Table_sounds[N])</f>
        <v>266</v>
      </c>
      <c r="B268" s="48" t="s">
        <v>2639</v>
      </c>
      <c r="C268" s="48" t="s">
        <v>2145</v>
      </c>
      <c r="D268" s="48" t="s">
        <v>2640</v>
      </c>
    </row>
    <row r="269">
      <c r="A269" s="87">
        <f>ROW() - ROW(Table_sounds[N])</f>
        <v>267</v>
      </c>
      <c r="B269" s="48" t="s">
        <v>2641</v>
      </c>
      <c r="C269" s="48" t="s">
        <v>2145</v>
      </c>
      <c r="D269" s="48" t="s">
        <v>2642</v>
      </c>
    </row>
    <row r="270">
      <c r="A270" s="87">
        <f>ROW() - ROW(Table_sounds[N])</f>
        <v>268</v>
      </c>
      <c r="B270" s="48" t="s">
        <v>2643</v>
      </c>
      <c r="C270" s="48" t="s">
        <v>2145</v>
      </c>
      <c r="D270" s="48" t="s">
        <v>2644</v>
      </c>
    </row>
    <row r="271">
      <c r="A271" s="87">
        <f>ROW() - ROW(Table_sounds[N])</f>
        <v>269</v>
      </c>
      <c r="B271" s="48" t="s">
        <v>2645</v>
      </c>
      <c r="C271" s="48" t="s">
        <v>2145</v>
      </c>
      <c r="D271" s="48" t="s">
        <v>2646</v>
      </c>
    </row>
    <row r="272">
      <c r="A272" s="87">
        <f>ROW() - ROW(Table_sounds[N])</f>
        <v>270</v>
      </c>
      <c r="B272" s="48" t="s">
        <v>2647</v>
      </c>
      <c r="C272" s="48" t="s">
        <v>2145</v>
      </c>
      <c r="D272" s="48" t="s">
        <v>2648</v>
      </c>
    </row>
    <row r="273">
      <c r="A273" s="87">
        <f>ROW() - ROW(Table_sounds[N])</f>
        <v>271</v>
      </c>
      <c r="B273" s="48" t="s">
        <v>2649</v>
      </c>
      <c r="C273" s="48" t="s">
        <v>2145</v>
      </c>
      <c r="D273" s="48" t="s">
        <v>2650</v>
      </c>
    </row>
    <row r="274">
      <c r="A274" s="87">
        <f>ROW() - ROW(Table_sounds[N])</f>
        <v>272</v>
      </c>
      <c r="B274" s="48" t="s">
        <v>1675</v>
      </c>
      <c r="C274" s="48" t="s">
        <v>2145</v>
      </c>
      <c r="D274" s="48" t="s">
        <v>1675</v>
      </c>
    </row>
    <row r="275">
      <c r="A275" s="87">
        <f>ROW() - ROW(Table_sounds[N])</f>
        <v>273</v>
      </c>
      <c r="B275" s="48" t="s">
        <v>2651</v>
      </c>
      <c r="C275" s="48" t="s">
        <v>2145</v>
      </c>
      <c r="D275" s="48" t="s">
        <v>2652</v>
      </c>
    </row>
    <row r="276">
      <c r="A276" s="87">
        <f>ROW() - ROW(Table_sounds[N])</f>
        <v>274</v>
      </c>
      <c r="B276" s="48" t="s">
        <v>2653</v>
      </c>
      <c r="C276" s="48" t="s">
        <v>2145</v>
      </c>
      <c r="D276" s="48" t="s">
        <v>2654</v>
      </c>
    </row>
    <row r="277">
      <c r="A277" s="87">
        <f>ROW() - ROW(Table_sounds[N])</f>
        <v>275</v>
      </c>
      <c r="B277" s="48" t="s">
        <v>2655</v>
      </c>
      <c r="C277" s="48" t="s">
        <v>2145</v>
      </c>
      <c r="D277" s="48" t="s">
        <v>2656</v>
      </c>
    </row>
    <row r="278">
      <c r="A278" s="87">
        <f>ROW() - ROW(Table_sounds[N])</f>
        <v>276</v>
      </c>
      <c r="B278" s="48" t="s">
        <v>2657</v>
      </c>
      <c r="C278" s="48" t="s">
        <v>2145</v>
      </c>
      <c r="D278" s="48" t="s">
        <v>2658</v>
      </c>
    </row>
    <row r="279">
      <c r="A279" s="87">
        <f>ROW() - ROW(Table_sounds[N])</f>
        <v>277</v>
      </c>
      <c r="B279" s="48" t="s">
        <v>2659</v>
      </c>
      <c r="C279" s="48" t="s">
        <v>2145</v>
      </c>
      <c r="D279" s="48" t="s">
        <v>2660</v>
      </c>
    </row>
    <row r="280">
      <c r="A280" s="87">
        <f>ROW() - ROW(Table_sounds[N])</f>
        <v>278</v>
      </c>
      <c r="B280" s="48" t="s">
        <v>2661</v>
      </c>
      <c r="C280" s="48" t="s">
        <v>2145</v>
      </c>
      <c r="D280" s="48" t="s">
        <v>2662</v>
      </c>
    </row>
    <row r="281">
      <c r="A281" s="87">
        <f>ROW() - ROW(Table_sounds[N])</f>
        <v>279</v>
      </c>
      <c r="B281" s="48" t="s">
        <v>2663</v>
      </c>
      <c r="C281" s="48" t="s">
        <v>2145</v>
      </c>
      <c r="D281" s="48" t="s">
        <v>2664</v>
      </c>
    </row>
    <row r="282">
      <c r="A282" s="87">
        <f>ROW() - ROW(Table_sounds[N])</f>
        <v>280</v>
      </c>
      <c r="B282" s="48" t="s">
        <v>2665</v>
      </c>
      <c r="C282" s="48" t="s">
        <v>2145</v>
      </c>
      <c r="D282" s="48" t="s">
        <v>2666</v>
      </c>
    </row>
    <row r="283">
      <c r="A283" s="87">
        <f>ROW() - ROW(Table_sounds[N])</f>
        <v>281</v>
      </c>
      <c r="B283" s="48" t="s">
        <v>2667</v>
      </c>
      <c r="C283" s="48" t="s">
        <v>2145</v>
      </c>
      <c r="D283" s="48" t="s">
        <v>2668</v>
      </c>
    </row>
    <row r="284">
      <c r="A284" s="87">
        <f>ROW() - ROW(Table_sounds[N])</f>
        <v>282</v>
      </c>
      <c r="B284" s="48" t="s">
        <v>2669</v>
      </c>
      <c r="C284" s="48" t="s">
        <v>2145</v>
      </c>
      <c r="D284" s="48" t="s">
        <v>2670</v>
      </c>
    </row>
    <row r="285">
      <c r="A285" s="87">
        <f>ROW() - ROW(Table_sounds[N])</f>
        <v>283</v>
      </c>
      <c r="B285" s="48" t="s">
        <v>2671</v>
      </c>
      <c r="C285" s="48" t="s">
        <v>2145</v>
      </c>
      <c r="D285" s="48" t="s">
        <v>2672</v>
      </c>
    </row>
    <row r="286">
      <c r="A286" s="87">
        <f>ROW() - ROW(Table_sounds[N])</f>
        <v>284</v>
      </c>
      <c r="B286" s="48" t="s">
        <v>2673</v>
      </c>
      <c r="C286" s="48" t="s">
        <v>2145</v>
      </c>
      <c r="D286" s="48" t="s">
        <v>2674</v>
      </c>
    </row>
    <row r="287">
      <c r="A287" s="87">
        <f>ROW() - ROW(Table_sounds[N])</f>
        <v>285</v>
      </c>
      <c r="B287" s="48" t="s">
        <v>2675</v>
      </c>
      <c r="C287" s="48" t="s">
        <v>2145</v>
      </c>
      <c r="D287" s="48" t="s">
        <v>2675</v>
      </c>
    </row>
    <row r="288">
      <c r="A288" s="87">
        <f>ROW() - ROW(Table_sounds[N])</f>
        <v>286</v>
      </c>
      <c r="B288" s="48" t="s">
        <v>2676</v>
      </c>
      <c r="C288" s="48" t="s">
        <v>2145</v>
      </c>
      <c r="D288" s="48" t="s">
        <v>2677</v>
      </c>
    </row>
    <row r="289">
      <c r="A289" s="87">
        <f>ROW() - ROW(Table_sounds[N])</f>
        <v>287</v>
      </c>
      <c r="B289" s="48" t="s">
        <v>2678</v>
      </c>
      <c r="C289" s="48" t="s">
        <v>2145</v>
      </c>
      <c r="D289" s="48" t="s">
        <v>2679</v>
      </c>
    </row>
    <row r="290">
      <c r="A290" s="87">
        <f>ROW() - ROW(Table_sounds[N])</f>
        <v>288</v>
      </c>
      <c r="B290" s="48" t="s">
        <v>1687</v>
      </c>
      <c r="C290" s="48" t="s">
        <v>2145</v>
      </c>
      <c r="D290" s="48" t="s">
        <v>1687</v>
      </c>
    </row>
    <row r="291">
      <c r="A291" s="87">
        <f>ROW() - ROW(Table_sounds[N])</f>
        <v>289</v>
      </c>
      <c r="B291" s="48" t="s">
        <v>2680</v>
      </c>
      <c r="C291" s="48" t="s">
        <v>2145</v>
      </c>
      <c r="D291" s="48" t="s">
        <v>2681</v>
      </c>
    </row>
    <row r="292">
      <c r="A292" s="87">
        <f>ROW() - ROW(Table_sounds[N])</f>
        <v>290</v>
      </c>
      <c r="B292" s="48" t="s">
        <v>2682</v>
      </c>
      <c r="C292" s="48" t="s">
        <v>2145</v>
      </c>
      <c r="D292" s="48" t="s">
        <v>2683</v>
      </c>
    </row>
    <row r="293">
      <c r="A293" s="87">
        <f>ROW() - ROW(Table_sounds[N])</f>
        <v>291</v>
      </c>
      <c r="B293" s="48" t="s">
        <v>2684</v>
      </c>
      <c r="C293" s="48" t="s">
        <v>2145</v>
      </c>
      <c r="D293" s="48" t="s">
        <v>2684</v>
      </c>
    </row>
    <row r="294">
      <c r="A294" s="87">
        <f>ROW() - ROW(Table_sounds[N])</f>
        <v>292</v>
      </c>
      <c r="B294" s="48" t="s">
        <v>2685</v>
      </c>
      <c r="C294" s="48" t="s">
        <v>2145</v>
      </c>
      <c r="D294" s="48" t="s">
        <v>2685</v>
      </c>
    </row>
    <row r="295">
      <c r="A295" s="87">
        <f>ROW() - ROW(Table_sounds[N])</f>
        <v>293</v>
      </c>
      <c r="B295" s="48" t="s">
        <v>2686</v>
      </c>
      <c r="C295" s="48" t="s">
        <v>2145</v>
      </c>
      <c r="D295" s="48" t="s">
        <v>2687</v>
      </c>
    </row>
    <row r="296">
      <c r="A296" s="87">
        <f>ROW() - ROW(Table_sounds[N])</f>
        <v>294</v>
      </c>
      <c r="B296" s="48" t="s">
        <v>2688</v>
      </c>
      <c r="C296" s="48" t="s">
        <v>2145</v>
      </c>
      <c r="D296" s="48" t="s">
        <v>2689</v>
      </c>
    </row>
    <row r="297">
      <c r="A297" s="87">
        <f>ROW() - ROW(Table_sounds[N])</f>
        <v>295</v>
      </c>
      <c r="B297" s="48" t="s">
        <v>2690</v>
      </c>
      <c r="C297" s="48" t="s">
        <v>2145</v>
      </c>
      <c r="D297" s="48" t="s">
        <v>2691</v>
      </c>
    </row>
    <row r="298">
      <c r="A298" s="87">
        <f>ROW() - ROW(Table_sounds[N])</f>
        <v>296</v>
      </c>
      <c r="B298" s="48" t="s">
        <v>2692</v>
      </c>
      <c r="C298" s="48" t="s">
        <v>2145</v>
      </c>
      <c r="D298" s="48" t="s">
        <v>2693</v>
      </c>
    </row>
    <row r="299">
      <c r="A299" s="87">
        <f>ROW() - ROW(Table_sounds[N])</f>
        <v>297</v>
      </c>
      <c r="B299" s="48" t="s">
        <v>2694</v>
      </c>
      <c r="C299" s="48" t="s">
        <v>2145</v>
      </c>
      <c r="D299" s="48" t="s">
        <v>2695</v>
      </c>
    </row>
    <row r="300">
      <c r="A300" s="87">
        <f>ROW() - ROW(Table_sounds[N])</f>
        <v>298</v>
      </c>
      <c r="B300" s="48" t="s">
        <v>2696</v>
      </c>
      <c r="C300" s="48" t="s">
        <v>2145</v>
      </c>
      <c r="D300" s="48" t="s">
        <v>2697</v>
      </c>
    </row>
    <row r="301">
      <c r="A301" s="87">
        <f>ROW() - ROW(Table_sounds[N])</f>
        <v>299</v>
      </c>
      <c r="B301" s="48" t="s">
        <v>2698</v>
      </c>
      <c r="C301" s="48" t="s">
        <v>2145</v>
      </c>
      <c r="D301" s="48" t="s">
        <v>2699</v>
      </c>
    </row>
    <row r="302">
      <c r="A302" s="87">
        <f>ROW() - ROW(Table_sounds[N])</f>
        <v>300</v>
      </c>
      <c r="B302" s="48" t="s">
        <v>2700</v>
      </c>
      <c r="C302" s="48" t="s">
        <v>2145</v>
      </c>
      <c r="D302" s="48" t="s">
        <v>2700</v>
      </c>
    </row>
    <row r="303">
      <c r="A303" s="87">
        <f>ROW() - ROW(Table_sounds[N])</f>
        <v>301</v>
      </c>
      <c r="B303" s="48" t="s">
        <v>2701</v>
      </c>
      <c r="C303" s="48" t="s">
        <v>2145</v>
      </c>
      <c r="D303" s="48" t="s">
        <v>2701</v>
      </c>
    </row>
    <row r="304">
      <c r="A304" s="87">
        <f>ROW() - ROW(Table_sounds[N])</f>
        <v>302</v>
      </c>
      <c r="B304" s="48" t="s">
        <v>2702</v>
      </c>
      <c r="C304" s="48" t="s">
        <v>2145</v>
      </c>
      <c r="D304" s="48" t="s">
        <v>2702</v>
      </c>
    </row>
    <row r="305">
      <c r="A305" s="87">
        <f>ROW() - ROW(Table_sounds[N])</f>
        <v>303</v>
      </c>
      <c r="B305" s="48" t="s">
        <v>2703</v>
      </c>
      <c r="C305" s="48" t="s">
        <v>2145</v>
      </c>
      <c r="D305" s="48" t="s">
        <v>2703</v>
      </c>
    </row>
    <row r="306">
      <c r="A306" s="87">
        <f>ROW() - ROW(Table_sounds[N])</f>
        <v>304</v>
      </c>
      <c r="B306" s="48" t="s">
        <v>2704</v>
      </c>
      <c r="C306" s="48" t="s">
        <v>2145</v>
      </c>
      <c r="D306" s="48" t="s">
        <v>2704</v>
      </c>
    </row>
    <row r="307">
      <c r="A307" s="87">
        <f>ROW() - ROW(Table_sounds[N])</f>
        <v>305</v>
      </c>
      <c r="B307" s="48" t="s">
        <v>2705</v>
      </c>
      <c r="C307" s="48" t="s">
        <v>2145</v>
      </c>
      <c r="D307" s="48" t="s">
        <v>2705</v>
      </c>
    </row>
    <row r="308">
      <c r="A308" s="87">
        <f>ROW() - ROW(Table_sounds[N])</f>
        <v>306</v>
      </c>
      <c r="B308" s="48" t="s">
        <v>2706</v>
      </c>
      <c r="C308" s="48" t="s">
        <v>2145</v>
      </c>
      <c r="D308" s="48" t="s">
        <v>2706</v>
      </c>
    </row>
    <row r="309">
      <c r="A309" s="87">
        <f>ROW() - ROW(Table_sounds[N])</f>
        <v>307</v>
      </c>
      <c r="B309" s="48" t="s">
        <v>2707</v>
      </c>
      <c r="C309" s="48" t="s">
        <v>2145</v>
      </c>
      <c r="D309" s="48" t="s">
        <v>2707</v>
      </c>
    </row>
    <row r="310">
      <c r="A310" s="87">
        <f>ROW() - ROW(Table_sounds[N])</f>
        <v>308</v>
      </c>
      <c r="B310" s="48" t="s">
        <v>2708</v>
      </c>
      <c r="C310" s="48" t="s">
        <v>2145</v>
      </c>
      <c r="D310" s="48" t="s">
        <v>2709</v>
      </c>
    </row>
    <row r="311">
      <c r="A311" s="87">
        <f>ROW() - ROW(Table_sounds[N])</f>
        <v>309</v>
      </c>
      <c r="B311" s="48" t="s">
        <v>2710</v>
      </c>
      <c r="C311" s="48" t="s">
        <v>2145</v>
      </c>
      <c r="D311" s="48" t="s">
        <v>2711</v>
      </c>
    </row>
    <row r="312">
      <c r="A312" s="87">
        <f>ROW() - ROW(Table_sounds[N])</f>
        <v>310</v>
      </c>
      <c r="B312" s="48" t="s">
        <v>2712</v>
      </c>
      <c r="C312" s="48" t="s">
        <v>2145</v>
      </c>
      <c r="D312" s="48" t="s">
        <v>2713</v>
      </c>
    </row>
    <row r="313">
      <c r="A313" s="87">
        <f>ROW() - ROW(Table_sounds[N])</f>
        <v>311</v>
      </c>
      <c r="B313" s="48" t="s">
        <v>2714</v>
      </c>
      <c r="C313" s="48" t="s">
        <v>2145</v>
      </c>
      <c r="D313" s="48" t="s">
        <v>2715</v>
      </c>
    </row>
    <row r="314">
      <c r="A314" s="87">
        <f>ROW() - ROW(Table_sounds[N])</f>
        <v>312</v>
      </c>
      <c r="B314" s="48" t="s">
        <v>2716</v>
      </c>
      <c r="C314" s="48" t="s">
        <v>2145</v>
      </c>
      <c r="D314" s="48" t="s">
        <v>2717</v>
      </c>
    </row>
    <row r="315">
      <c r="A315" s="87">
        <f>ROW() - ROW(Table_sounds[N])</f>
        <v>313</v>
      </c>
      <c r="B315" s="48" t="s">
        <v>2718</v>
      </c>
      <c r="C315" s="48" t="s">
        <v>2145</v>
      </c>
      <c r="D315" s="48" t="s">
        <v>2719</v>
      </c>
    </row>
    <row r="316">
      <c r="A316" s="87">
        <f>ROW() - ROW(Table_sounds[N])</f>
        <v>314</v>
      </c>
      <c r="B316" s="48" t="s">
        <v>2720</v>
      </c>
      <c r="C316" s="48" t="s">
        <v>2145</v>
      </c>
      <c r="D316" s="48" t="s">
        <v>2721</v>
      </c>
    </row>
    <row r="317">
      <c r="A317" s="87">
        <f>ROW() - ROW(Table_sounds[N])</f>
        <v>315</v>
      </c>
      <c r="B317" s="48" t="s">
        <v>2722</v>
      </c>
      <c r="C317" s="48" t="s">
        <v>2145</v>
      </c>
      <c r="D317" s="48" t="s">
        <v>2723</v>
      </c>
    </row>
    <row r="318">
      <c r="A318" s="87">
        <f>ROW() - ROW(Table_sounds[N])</f>
        <v>316</v>
      </c>
      <c r="B318" s="48" t="s">
        <v>2724</v>
      </c>
      <c r="C318" s="48" t="s">
        <v>2145</v>
      </c>
      <c r="D318" s="48" t="s">
        <v>2725</v>
      </c>
    </row>
    <row r="319">
      <c r="A319" s="87">
        <f>ROW() - ROW(Table_sounds[N])</f>
        <v>317</v>
      </c>
      <c r="B319" s="48" t="s">
        <v>1721</v>
      </c>
      <c r="C319" s="48" t="s">
        <v>2145</v>
      </c>
      <c r="D319" s="48" t="s">
        <v>1721</v>
      </c>
    </row>
    <row r="320">
      <c r="A320" s="87">
        <f>ROW() - ROW(Table_sounds[N])</f>
        <v>318</v>
      </c>
      <c r="B320" s="48" t="s">
        <v>2726</v>
      </c>
      <c r="C320" s="48" t="s">
        <v>2145</v>
      </c>
      <c r="D320" s="48" t="s">
        <v>2727</v>
      </c>
    </row>
    <row r="321">
      <c r="A321" s="87">
        <f>ROW() - ROW(Table_sounds[N])</f>
        <v>319</v>
      </c>
      <c r="B321" s="48" t="s">
        <v>2728</v>
      </c>
      <c r="C321" s="48" t="s">
        <v>2145</v>
      </c>
      <c r="D321" s="48" t="s">
        <v>2729</v>
      </c>
    </row>
    <row r="322">
      <c r="A322" s="87">
        <f>ROW() - ROW(Table_sounds[N])</f>
        <v>320</v>
      </c>
      <c r="B322" s="48" t="s">
        <v>1731</v>
      </c>
      <c r="C322" s="48" t="s">
        <v>2145</v>
      </c>
      <c r="D322" s="48" t="s">
        <v>1731</v>
      </c>
    </row>
    <row r="323">
      <c r="A323" s="87">
        <f>ROW() - ROW(Table_sounds[N])</f>
        <v>321</v>
      </c>
      <c r="B323" s="48" t="s">
        <v>2730</v>
      </c>
      <c r="C323" s="48" t="s">
        <v>2145</v>
      </c>
      <c r="D323" s="48" t="s">
        <v>2731</v>
      </c>
    </row>
    <row r="324">
      <c r="A324" s="87">
        <f>ROW() - ROW(Table_sounds[N])</f>
        <v>322</v>
      </c>
      <c r="B324" s="48" t="s">
        <v>2732</v>
      </c>
      <c r="C324" s="48" t="s">
        <v>2145</v>
      </c>
      <c r="D324" s="48" t="s">
        <v>2732</v>
      </c>
    </row>
    <row r="325">
      <c r="A325" s="87">
        <f>ROW() - ROW(Table_sounds[N])</f>
        <v>323</v>
      </c>
      <c r="B325" s="48" t="s">
        <v>2733</v>
      </c>
      <c r="C325" s="48" t="s">
        <v>2145</v>
      </c>
      <c r="D325" s="48" t="s">
        <v>2734</v>
      </c>
    </row>
    <row r="326">
      <c r="A326" s="87">
        <f>ROW() - ROW(Table_sounds[N])</f>
        <v>324</v>
      </c>
      <c r="B326" s="48" t="s">
        <v>2735</v>
      </c>
      <c r="C326" s="48" t="s">
        <v>2145</v>
      </c>
      <c r="D326" s="48" t="s">
        <v>2736</v>
      </c>
    </row>
    <row r="327">
      <c r="A327" s="87">
        <f>ROW() - ROW(Table_sounds[N])</f>
        <v>325</v>
      </c>
      <c r="B327" s="48" t="s">
        <v>2737</v>
      </c>
      <c r="C327" s="48" t="s">
        <v>2145</v>
      </c>
      <c r="D327" s="48" t="s">
        <v>2738</v>
      </c>
    </row>
    <row r="328">
      <c r="A328" s="87">
        <f>ROW() - ROW(Table_sounds[N])</f>
        <v>326</v>
      </c>
      <c r="B328" s="48" t="s">
        <v>2739</v>
      </c>
      <c r="C328" s="48" t="s">
        <v>2145</v>
      </c>
      <c r="D328" s="48" t="s">
        <v>2740</v>
      </c>
    </row>
    <row r="329">
      <c r="A329" s="87">
        <f>ROW() - ROW(Table_sounds[N])</f>
        <v>327</v>
      </c>
      <c r="B329" s="48" t="s">
        <v>2741</v>
      </c>
      <c r="C329" s="48" t="s">
        <v>2145</v>
      </c>
      <c r="D329" s="48" t="s">
        <v>2742</v>
      </c>
    </row>
    <row r="330">
      <c r="A330" s="87">
        <f>ROW() - ROW(Table_sounds[N])</f>
        <v>328</v>
      </c>
      <c r="B330" s="48" t="s">
        <v>1749</v>
      </c>
      <c r="C330" s="48" t="s">
        <v>2145</v>
      </c>
      <c r="D330" s="48" t="s">
        <v>1749</v>
      </c>
    </row>
    <row r="331">
      <c r="A331" s="87">
        <f>ROW() - ROW(Table_sounds[N])</f>
        <v>329</v>
      </c>
      <c r="B331" s="48" t="s">
        <v>1751</v>
      </c>
      <c r="C331" s="48" t="s">
        <v>2145</v>
      </c>
      <c r="D331" s="48" t="s">
        <v>1751</v>
      </c>
    </row>
    <row r="332">
      <c r="A332" s="87">
        <f>ROW() - ROW(Table_sounds[N])</f>
        <v>330</v>
      </c>
      <c r="B332" s="48" t="s">
        <v>2743</v>
      </c>
      <c r="C332" s="48" t="s">
        <v>2145</v>
      </c>
      <c r="D332" s="48" t="s">
        <v>2743</v>
      </c>
    </row>
    <row r="333">
      <c r="A333" s="87">
        <f>ROW() - ROW(Table_sounds[N])</f>
        <v>331</v>
      </c>
      <c r="B333" s="48" t="s">
        <v>2744</v>
      </c>
      <c r="C333" s="48" t="s">
        <v>2145</v>
      </c>
      <c r="D333" s="48" t="s">
        <v>2745</v>
      </c>
    </row>
    <row r="334">
      <c r="A334" s="87">
        <f>ROW() - ROW(Table_sounds[N])</f>
        <v>332</v>
      </c>
      <c r="B334" s="48" t="s">
        <v>2746</v>
      </c>
      <c r="C334" s="48" t="s">
        <v>2145</v>
      </c>
      <c r="D334" s="48" t="s">
        <v>2747</v>
      </c>
    </row>
    <row r="335">
      <c r="A335" s="87">
        <f>ROW() - ROW(Table_sounds[N])</f>
        <v>333</v>
      </c>
      <c r="B335" s="48" t="s">
        <v>2748</v>
      </c>
      <c r="C335" s="48" t="s">
        <v>2145</v>
      </c>
      <c r="D335" s="48" t="s">
        <v>2749</v>
      </c>
    </row>
    <row r="336">
      <c r="A336" s="87">
        <f>ROW() - ROW(Table_sounds[N])</f>
        <v>334</v>
      </c>
      <c r="B336" s="48" t="s">
        <v>2750</v>
      </c>
      <c r="C336" s="48" t="s">
        <v>2145</v>
      </c>
      <c r="D336" s="48" t="s">
        <v>2751</v>
      </c>
    </row>
    <row r="337">
      <c r="A337" s="87">
        <f>ROW() - ROW(Table_sounds[N])</f>
        <v>335</v>
      </c>
      <c r="B337" s="48" t="s">
        <v>2752</v>
      </c>
      <c r="C337" s="48" t="s">
        <v>2145</v>
      </c>
      <c r="D337" s="48" t="s">
        <v>2753</v>
      </c>
    </row>
    <row r="338">
      <c r="A338" s="87">
        <f>ROW() - ROW(Table_sounds[N])</f>
        <v>336</v>
      </c>
      <c r="B338" s="48" t="s">
        <v>2754</v>
      </c>
      <c r="C338" s="48" t="s">
        <v>2145</v>
      </c>
      <c r="D338" s="48" t="s">
        <v>2755</v>
      </c>
    </row>
    <row r="339">
      <c r="A339" s="87">
        <f>ROW() - ROW(Table_sounds[N])</f>
        <v>337</v>
      </c>
      <c r="B339" s="48" t="s">
        <v>2756</v>
      </c>
      <c r="C339" s="48" t="s">
        <v>2145</v>
      </c>
      <c r="D339" s="48" t="s">
        <v>2757</v>
      </c>
    </row>
    <row r="340">
      <c r="A340" s="87">
        <f>ROW() - ROW(Table_sounds[N])</f>
        <v>338</v>
      </c>
      <c r="B340" s="48" t="s">
        <v>1781</v>
      </c>
      <c r="C340" s="48" t="s">
        <v>2145</v>
      </c>
      <c r="D340" s="48" t="s">
        <v>1781</v>
      </c>
    </row>
    <row r="341">
      <c r="A341" s="87">
        <f>ROW() - ROW(Table_sounds[N])</f>
        <v>339</v>
      </c>
      <c r="B341" s="48" t="s">
        <v>2758</v>
      </c>
      <c r="C341" s="48" t="s">
        <v>2145</v>
      </c>
      <c r="D341" s="48" t="s">
        <v>2759</v>
      </c>
    </row>
    <row r="342">
      <c r="A342" s="87">
        <f>ROW() - ROW(Table_sounds[N])</f>
        <v>340</v>
      </c>
      <c r="B342" s="48" t="s">
        <v>2760</v>
      </c>
      <c r="C342" s="48" t="s">
        <v>2145</v>
      </c>
      <c r="D342" s="48" t="s">
        <v>2761</v>
      </c>
    </row>
    <row r="343">
      <c r="A343" s="87">
        <f>ROW() - ROW(Table_sounds[N])</f>
        <v>341</v>
      </c>
      <c r="B343" s="48" t="s">
        <v>2762</v>
      </c>
      <c r="C343" s="48" t="s">
        <v>2145</v>
      </c>
      <c r="D343" s="48" t="s">
        <v>2763</v>
      </c>
    </row>
    <row r="344">
      <c r="A344" s="87">
        <f>ROW() - ROW(Table_sounds[N])</f>
        <v>342</v>
      </c>
      <c r="B344" s="48" t="s">
        <v>2764</v>
      </c>
      <c r="C344" s="48" t="s">
        <v>2145</v>
      </c>
      <c r="D344" s="48" t="s">
        <v>2765</v>
      </c>
    </row>
    <row r="345">
      <c r="A345" s="87">
        <f>ROW() - ROW(Table_sounds[N])</f>
        <v>343</v>
      </c>
      <c r="B345" s="48" t="s">
        <v>2766</v>
      </c>
      <c r="C345" s="48" t="s">
        <v>2145</v>
      </c>
      <c r="D345" s="48" t="s">
        <v>2767</v>
      </c>
    </row>
    <row r="346">
      <c r="A346" s="87">
        <f>ROW() - ROW(Table_sounds[N])</f>
        <v>344</v>
      </c>
      <c r="B346" s="48" t="s">
        <v>2768</v>
      </c>
      <c r="C346" s="48" t="s">
        <v>2145</v>
      </c>
      <c r="D346" s="48" t="s">
        <v>2769</v>
      </c>
    </row>
    <row r="347">
      <c r="A347" s="87">
        <f>ROW() - ROW(Table_sounds[N])</f>
        <v>345</v>
      </c>
      <c r="B347" s="48" t="s">
        <v>2770</v>
      </c>
      <c r="C347" s="48" t="s">
        <v>2145</v>
      </c>
      <c r="D347" s="48" t="s">
        <v>2771</v>
      </c>
    </row>
    <row r="348">
      <c r="A348" s="87">
        <f>ROW() - ROW(Table_sounds[N])</f>
        <v>346</v>
      </c>
      <c r="B348" s="48" t="s">
        <v>2772</v>
      </c>
      <c r="C348" s="48" t="s">
        <v>2145</v>
      </c>
      <c r="D348" s="48" t="s">
        <v>2773</v>
      </c>
    </row>
    <row r="349">
      <c r="A349" s="87">
        <f>ROW() - ROW(Table_sounds[N])</f>
        <v>347</v>
      </c>
      <c r="B349" s="48" t="s">
        <v>2774</v>
      </c>
      <c r="C349" s="48" t="s">
        <v>2145</v>
      </c>
      <c r="D349" s="48" t="s">
        <v>2775</v>
      </c>
    </row>
    <row r="350">
      <c r="A350" s="87">
        <f>ROW() - ROW(Table_sounds[N])</f>
        <v>348</v>
      </c>
      <c r="B350" s="48" t="s">
        <v>2776</v>
      </c>
      <c r="C350" s="48" t="s">
        <v>2145</v>
      </c>
      <c r="D350" s="48" t="s">
        <v>2777</v>
      </c>
    </row>
    <row r="351">
      <c r="A351" s="87">
        <f>ROW() - ROW(Table_sounds[N])</f>
        <v>349</v>
      </c>
      <c r="B351" s="48" t="s">
        <v>2778</v>
      </c>
      <c r="C351" s="48" t="s">
        <v>2145</v>
      </c>
      <c r="D351" s="48" t="s">
        <v>2779</v>
      </c>
    </row>
    <row r="352">
      <c r="A352" s="87">
        <f>ROW() - ROW(Table_sounds[N])</f>
        <v>350</v>
      </c>
      <c r="B352" s="48" t="s">
        <v>2780</v>
      </c>
      <c r="C352" s="48" t="s">
        <v>2145</v>
      </c>
      <c r="D352" s="48" t="s">
        <v>2781</v>
      </c>
    </row>
    <row r="353">
      <c r="A353" s="87">
        <f>ROW() - ROW(Table_sounds[N])</f>
        <v>351</v>
      </c>
      <c r="B353" s="48" t="s">
        <v>2782</v>
      </c>
      <c r="C353" s="48" t="s">
        <v>2145</v>
      </c>
      <c r="D353" s="48" t="s">
        <v>2783</v>
      </c>
    </row>
    <row r="354">
      <c r="A354" s="87">
        <f>ROW() - ROW(Table_sounds[N])</f>
        <v>352</v>
      </c>
      <c r="B354" s="48" t="s">
        <v>2784</v>
      </c>
      <c r="C354" s="48" t="s">
        <v>2145</v>
      </c>
      <c r="D354" s="48" t="s">
        <v>2785</v>
      </c>
    </row>
    <row r="355">
      <c r="A355" s="87">
        <f>ROW() - ROW(Table_sounds[N])</f>
        <v>353</v>
      </c>
      <c r="B355" s="48" t="s">
        <v>2786</v>
      </c>
      <c r="C355" s="48" t="s">
        <v>2145</v>
      </c>
      <c r="D355" s="48" t="s">
        <v>2787</v>
      </c>
    </row>
    <row r="356">
      <c r="A356" s="87">
        <f>ROW() - ROW(Table_sounds[N])</f>
        <v>354</v>
      </c>
      <c r="B356" s="48" t="s">
        <v>2788</v>
      </c>
      <c r="C356" s="48" t="s">
        <v>2145</v>
      </c>
      <c r="D356" s="48" t="s">
        <v>2789</v>
      </c>
    </row>
    <row r="357">
      <c r="A357" s="87">
        <f>ROW() - ROW(Table_sounds[N])</f>
        <v>355</v>
      </c>
      <c r="B357" s="48" t="s">
        <v>2790</v>
      </c>
      <c r="C357" s="48" t="s">
        <v>2145</v>
      </c>
      <c r="D357" s="48" t="s">
        <v>2791</v>
      </c>
    </row>
    <row r="358">
      <c r="A358" s="87">
        <f>ROW() - ROW(Table_sounds[N])</f>
        <v>356</v>
      </c>
      <c r="B358" s="48" t="s">
        <v>2792</v>
      </c>
      <c r="C358" s="48" t="s">
        <v>2145</v>
      </c>
      <c r="D358" s="48" t="s">
        <v>2793</v>
      </c>
    </row>
    <row r="359">
      <c r="A359" s="87">
        <f>ROW() - ROW(Table_sounds[N])</f>
        <v>357</v>
      </c>
      <c r="B359" s="48" t="s">
        <v>2794</v>
      </c>
      <c r="C359" s="48" t="s">
        <v>2145</v>
      </c>
      <c r="D359" s="48" t="s">
        <v>2795</v>
      </c>
    </row>
    <row r="360">
      <c r="A360" s="87">
        <f>ROW() - ROW(Table_sounds[N])</f>
        <v>358</v>
      </c>
      <c r="B360" s="48" t="s">
        <v>1837</v>
      </c>
      <c r="C360" s="48" t="s">
        <v>2145</v>
      </c>
      <c r="D360" s="48" t="s">
        <v>1837</v>
      </c>
    </row>
    <row r="361">
      <c r="A361" s="87">
        <f>ROW() - ROW(Table_sounds[N])</f>
        <v>359</v>
      </c>
      <c r="B361" s="48" t="s">
        <v>2796</v>
      </c>
      <c r="C361" s="48" t="s">
        <v>2145</v>
      </c>
      <c r="D361" s="48" t="s">
        <v>2797</v>
      </c>
    </row>
    <row r="362">
      <c r="A362" s="87">
        <f>ROW() - ROW(Table_sounds[N])</f>
        <v>360</v>
      </c>
      <c r="B362" s="48" t="s">
        <v>2798</v>
      </c>
      <c r="C362" s="48" t="s">
        <v>2145</v>
      </c>
      <c r="D362" s="48" t="s">
        <v>2799</v>
      </c>
    </row>
    <row r="363">
      <c r="A363" s="87">
        <f>ROW() - ROW(Table_sounds[N])</f>
        <v>361</v>
      </c>
      <c r="B363" s="48" t="s">
        <v>2800</v>
      </c>
      <c r="C363" s="48" t="s">
        <v>2145</v>
      </c>
      <c r="D363" s="48" t="s">
        <v>2801</v>
      </c>
    </row>
    <row r="364">
      <c r="A364" s="87">
        <f>ROW() - ROW(Table_sounds[N])</f>
        <v>362</v>
      </c>
      <c r="B364" s="48" t="s">
        <v>2802</v>
      </c>
      <c r="C364" s="48" t="s">
        <v>2145</v>
      </c>
      <c r="D364" s="48" t="s">
        <v>2802</v>
      </c>
    </row>
    <row r="365">
      <c r="A365" s="87">
        <f>ROW() - ROW(Table_sounds[N])</f>
        <v>363</v>
      </c>
      <c r="B365" s="48" t="s">
        <v>2803</v>
      </c>
      <c r="C365" s="48" t="s">
        <v>2145</v>
      </c>
      <c r="D365" s="48" t="s">
        <v>2803</v>
      </c>
    </row>
    <row r="366">
      <c r="A366" s="87">
        <f>ROW() - ROW(Table_sounds[N])</f>
        <v>364</v>
      </c>
      <c r="B366" s="48" t="s">
        <v>2804</v>
      </c>
      <c r="C366" s="48" t="s">
        <v>2145</v>
      </c>
      <c r="D366" s="48" t="s">
        <v>2805</v>
      </c>
    </row>
    <row r="367">
      <c r="A367" s="87">
        <f>ROW() - ROW(Table_sounds[N])</f>
        <v>365</v>
      </c>
      <c r="B367" s="48" t="s">
        <v>2806</v>
      </c>
      <c r="C367" s="48" t="s">
        <v>2145</v>
      </c>
      <c r="D367" s="48" t="s">
        <v>2807</v>
      </c>
    </row>
    <row r="368">
      <c r="A368" s="87">
        <f>ROW() - ROW(Table_sounds[N])</f>
        <v>366</v>
      </c>
      <c r="B368" s="48" t="s">
        <v>2808</v>
      </c>
      <c r="C368" s="48" t="s">
        <v>2145</v>
      </c>
      <c r="D368" s="48" t="s">
        <v>2809</v>
      </c>
    </row>
    <row r="369">
      <c r="A369" s="87">
        <f>ROW() - ROW(Table_sounds[N])</f>
        <v>367</v>
      </c>
      <c r="B369" s="48" t="s">
        <v>2810</v>
      </c>
      <c r="C369" s="48" t="s">
        <v>2145</v>
      </c>
      <c r="D369" s="48" t="s">
        <v>2811</v>
      </c>
    </row>
    <row r="370">
      <c r="A370" s="87">
        <f>ROW() - ROW(Table_sounds[N])</f>
        <v>368</v>
      </c>
      <c r="B370" s="48" t="s">
        <v>2812</v>
      </c>
      <c r="C370" s="48" t="s">
        <v>2145</v>
      </c>
      <c r="D370" s="48" t="s">
        <v>2813</v>
      </c>
    </row>
    <row r="371">
      <c r="A371" s="87">
        <f>ROW() - ROW(Table_sounds[N])</f>
        <v>369</v>
      </c>
      <c r="B371" s="48" t="s">
        <v>2814</v>
      </c>
      <c r="C371" s="48" t="s">
        <v>2145</v>
      </c>
      <c r="D371" s="48" t="s">
        <v>2815</v>
      </c>
    </row>
    <row r="372">
      <c r="A372" s="87">
        <f>ROW() - ROW(Table_sounds[N])</f>
        <v>370</v>
      </c>
      <c r="B372" s="48" t="s">
        <v>1892</v>
      </c>
      <c r="C372" s="48" t="s">
        <v>2145</v>
      </c>
      <c r="D372" s="48" t="s">
        <v>1892</v>
      </c>
    </row>
    <row r="373">
      <c r="A373" s="87">
        <f>ROW() - ROW(Table_sounds[N])</f>
        <v>371</v>
      </c>
      <c r="B373" s="48" t="s">
        <v>2816</v>
      </c>
      <c r="C373" s="48" t="s">
        <v>2145</v>
      </c>
      <c r="D373" s="48" t="s">
        <v>2817</v>
      </c>
    </row>
    <row r="374">
      <c r="A374" s="87">
        <f>ROW() - ROW(Table_sounds[N])</f>
        <v>372</v>
      </c>
      <c r="B374" s="48" t="s">
        <v>2818</v>
      </c>
      <c r="C374" s="48" t="s">
        <v>2145</v>
      </c>
      <c r="D374" s="48" t="s">
        <v>2819</v>
      </c>
    </row>
    <row r="375">
      <c r="A375" s="87">
        <f>ROW() - ROW(Table_sounds[N])</f>
        <v>373</v>
      </c>
      <c r="B375" s="48" t="s">
        <v>2820</v>
      </c>
      <c r="C375" s="48" t="s">
        <v>2145</v>
      </c>
      <c r="D375" s="48" t="s">
        <v>2821</v>
      </c>
    </row>
    <row r="376">
      <c r="A376" s="87">
        <f>ROW() - ROW(Table_sounds[N])</f>
        <v>374</v>
      </c>
      <c r="B376" s="48" t="s">
        <v>2822</v>
      </c>
      <c r="C376" s="48" t="s">
        <v>2145</v>
      </c>
      <c r="D376" s="48" t="s">
        <v>2822</v>
      </c>
    </row>
    <row r="377">
      <c r="A377" s="87">
        <f>ROW() - ROW(Table_sounds[N])</f>
        <v>375</v>
      </c>
      <c r="B377" s="48" t="s">
        <v>2823</v>
      </c>
      <c r="C377" s="48" t="s">
        <v>2145</v>
      </c>
      <c r="D377" s="48" t="s">
        <v>2823</v>
      </c>
    </row>
    <row r="378">
      <c r="A378" s="87">
        <f>ROW() - ROW(Table_sounds[N])</f>
        <v>376</v>
      </c>
      <c r="B378" s="48" t="s">
        <v>2824</v>
      </c>
      <c r="C378" s="48" t="s">
        <v>2145</v>
      </c>
      <c r="D378" s="48" t="s">
        <v>2824</v>
      </c>
    </row>
    <row r="379">
      <c r="A379" s="87">
        <f>ROW() - ROW(Table_sounds[N])</f>
        <v>377</v>
      </c>
      <c r="B379" s="48" t="s">
        <v>2825</v>
      </c>
      <c r="C379" s="48" t="s">
        <v>2145</v>
      </c>
      <c r="D379" s="48" t="s">
        <v>2826</v>
      </c>
    </row>
    <row r="380">
      <c r="A380" s="87">
        <f>ROW() - ROW(Table_sounds[N])</f>
        <v>378</v>
      </c>
      <c r="B380" s="48" t="s">
        <v>2827</v>
      </c>
      <c r="C380" s="48" t="s">
        <v>2145</v>
      </c>
      <c r="D380" s="48" t="s">
        <v>2827</v>
      </c>
    </row>
    <row r="381">
      <c r="A381" s="87">
        <f>ROW() - ROW(Table_sounds[N])</f>
        <v>379</v>
      </c>
      <c r="B381" s="48" t="s">
        <v>2828</v>
      </c>
      <c r="C381" s="48" t="s">
        <v>2145</v>
      </c>
      <c r="D381" s="48" t="s">
        <v>2828</v>
      </c>
    </row>
    <row r="382">
      <c r="A382" s="87">
        <f>ROW() - ROW(Table_sounds[N])</f>
        <v>380</v>
      </c>
      <c r="B382" s="48" t="s">
        <v>2829</v>
      </c>
      <c r="C382" s="48" t="s">
        <v>2145</v>
      </c>
      <c r="D382" s="48" t="s">
        <v>2830</v>
      </c>
    </row>
    <row r="383">
      <c r="A383" s="87">
        <f>ROW() - ROW(Table_sounds[N])</f>
        <v>381</v>
      </c>
      <c r="B383" s="48" t="s">
        <v>2831</v>
      </c>
      <c r="C383" s="48" t="s">
        <v>2145</v>
      </c>
      <c r="D383" s="48" t="s">
        <v>2832</v>
      </c>
    </row>
    <row r="384">
      <c r="A384" s="87">
        <f>ROW() - ROW(Table_sounds[N])</f>
        <v>382</v>
      </c>
      <c r="B384" s="48" t="s">
        <v>1936</v>
      </c>
      <c r="C384" s="48" t="s">
        <v>2145</v>
      </c>
      <c r="D384" s="48" t="s">
        <v>1936</v>
      </c>
    </row>
    <row r="385">
      <c r="A385" s="87">
        <f>ROW() - ROW(Table_sounds[N])</f>
        <v>383</v>
      </c>
      <c r="B385" s="48" t="s">
        <v>1938</v>
      </c>
      <c r="C385" s="48" t="s">
        <v>2145</v>
      </c>
      <c r="D385" s="48" t="s">
        <v>1938</v>
      </c>
    </row>
    <row r="386">
      <c r="A386" s="87">
        <f>ROW() - ROW(Table_sounds[N])</f>
        <v>384</v>
      </c>
      <c r="B386" s="48" t="s">
        <v>2833</v>
      </c>
      <c r="C386" s="48" t="s">
        <v>2145</v>
      </c>
      <c r="D386" s="48" t="s">
        <v>2834</v>
      </c>
    </row>
    <row r="387">
      <c r="A387" s="87">
        <f>ROW() - ROW(Table_sounds[N])</f>
        <v>385</v>
      </c>
      <c r="B387" s="48" t="s">
        <v>2835</v>
      </c>
      <c r="C387" s="48" t="s">
        <v>2145</v>
      </c>
      <c r="D387" s="48" t="s">
        <v>2836</v>
      </c>
    </row>
    <row r="388">
      <c r="A388" s="87">
        <f>ROW() - ROW(Table_sounds[N])</f>
        <v>386</v>
      </c>
      <c r="B388" s="48" t="s">
        <v>2837</v>
      </c>
      <c r="C388" s="48" t="s">
        <v>2145</v>
      </c>
      <c r="D388" s="48" t="s">
        <v>2838</v>
      </c>
    </row>
    <row r="389">
      <c r="A389" s="87">
        <f>ROW() - ROW(Table_sounds[N])</f>
        <v>387</v>
      </c>
      <c r="B389" s="48" t="s">
        <v>2839</v>
      </c>
      <c r="C389" s="48" t="s">
        <v>2145</v>
      </c>
      <c r="D389" s="48" t="s">
        <v>2840</v>
      </c>
    </row>
    <row r="390">
      <c r="A390" s="87">
        <f>ROW() - ROW(Table_sounds[N])</f>
        <v>388</v>
      </c>
      <c r="B390" s="48" t="s">
        <v>2841</v>
      </c>
      <c r="C390" s="48" t="s">
        <v>2145</v>
      </c>
      <c r="D390" s="48" t="s">
        <v>2842</v>
      </c>
    </row>
    <row r="391">
      <c r="A391" s="87">
        <f>ROW() - ROW(Table_sounds[N])</f>
        <v>389</v>
      </c>
      <c r="B391" s="48" t="s">
        <v>2843</v>
      </c>
      <c r="C391" s="48" t="s">
        <v>2145</v>
      </c>
      <c r="D391" s="48" t="s">
        <v>2843</v>
      </c>
    </row>
    <row r="392">
      <c r="A392" s="87">
        <f>ROW() - ROW(Table_sounds[N])</f>
        <v>390</v>
      </c>
      <c r="B392" s="48" t="s">
        <v>2844</v>
      </c>
      <c r="C392" s="48" t="s">
        <v>2145</v>
      </c>
      <c r="D392" s="48" t="s">
        <v>2844</v>
      </c>
    </row>
    <row r="393">
      <c r="A393" s="87">
        <f>ROW() - ROW(Table_sounds[N])</f>
        <v>391</v>
      </c>
      <c r="B393" s="48" t="s">
        <v>2845</v>
      </c>
      <c r="C393" s="48" t="s">
        <v>2145</v>
      </c>
      <c r="D393" s="48" t="s">
        <v>2846</v>
      </c>
    </row>
    <row r="394">
      <c r="A394" s="87">
        <f>ROW() - ROW(Table_sounds[N])</f>
        <v>392</v>
      </c>
      <c r="B394" s="48" t="s">
        <v>2847</v>
      </c>
      <c r="C394" s="48" t="s">
        <v>2145</v>
      </c>
      <c r="D394" s="48" t="s">
        <v>2848</v>
      </c>
    </row>
    <row r="395">
      <c r="A395" s="87">
        <f>ROW() - ROW(Table_sounds[N])</f>
        <v>393</v>
      </c>
      <c r="B395" s="48" t="s">
        <v>2849</v>
      </c>
      <c r="C395" s="48" t="s">
        <v>2145</v>
      </c>
      <c r="D395" s="48" t="s">
        <v>2850</v>
      </c>
    </row>
    <row r="396">
      <c r="A396" s="87">
        <f>ROW() - ROW(Table_sounds[N])</f>
        <v>394</v>
      </c>
      <c r="B396" s="48" t="s">
        <v>2851</v>
      </c>
      <c r="C396" s="48" t="s">
        <v>2145</v>
      </c>
      <c r="D396" s="48" t="s">
        <v>2852</v>
      </c>
    </row>
    <row r="397">
      <c r="A397" s="87">
        <f>ROW() - ROW(Table_sounds[N])</f>
        <v>395</v>
      </c>
      <c r="B397" s="48" t="s">
        <v>2853</v>
      </c>
      <c r="C397" s="48" t="s">
        <v>2145</v>
      </c>
      <c r="D397" s="48" t="s">
        <v>2854</v>
      </c>
    </row>
    <row r="398">
      <c r="A398" s="87">
        <f>ROW() - ROW(Table_sounds[N])</f>
        <v>396</v>
      </c>
      <c r="B398" s="48" t="s">
        <v>2855</v>
      </c>
      <c r="C398" s="48" t="s">
        <v>2145</v>
      </c>
      <c r="D398" s="48" t="s">
        <v>2856</v>
      </c>
    </row>
    <row r="399">
      <c r="A399" s="87">
        <f>ROW() - ROW(Table_sounds[N])</f>
        <v>397</v>
      </c>
      <c r="B399" s="48" t="s">
        <v>2857</v>
      </c>
      <c r="C399" s="48" t="s">
        <v>2145</v>
      </c>
      <c r="D399" s="48" t="s">
        <v>2858</v>
      </c>
    </row>
    <row r="400">
      <c r="A400" s="87">
        <f>ROW() - ROW(Table_sounds[N])</f>
        <v>398</v>
      </c>
      <c r="B400" s="48" t="s">
        <v>2859</v>
      </c>
      <c r="C400" s="48" t="s">
        <v>2145</v>
      </c>
      <c r="D400" s="48" t="s">
        <v>2860</v>
      </c>
    </row>
    <row r="401">
      <c r="A401" s="87">
        <f>ROW() - ROW(Table_sounds[N])</f>
        <v>399</v>
      </c>
      <c r="B401" s="48" t="s">
        <v>2861</v>
      </c>
      <c r="C401" s="48" t="s">
        <v>2145</v>
      </c>
      <c r="D401" s="48" t="s">
        <v>2862</v>
      </c>
    </row>
    <row r="402">
      <c r="A402" s="87">
        <f>ROW() - ROW(Table_sounds[N])</f>
        <v>400</v>
      </c>
      <c r="B402" s="48" t="s">
        <v>2863</v>
      </c>
      <c r="C402" s="48" t="s">
        <v>2145</v>
      </c>
      <c r="D402" s="48" t="s">
        <v>2864</v>
      </c>
    </row>
    <row r="403">
      <c r="A403" s="87">
        <f>ROW() - ROW(Table_sounds[N])</f>
        <v>401</v>
      </c>
      <c r="B403" s="48" t="s">
        <v>2865</v>
      </c>
      <c r="C403" s="48" t="s">
        <v>2145</v>
      </c>
      <c r="D403" s="48" t="s">
        <v>2866</v>
      </c>
    </row>
    <row r="404">
      <c r="A404" s="87">
        <f>ROW() - ROW(Table_sounds[N])</f>
        <v>402</v>
      </c>
      <c r="B404" s="48" t="s">
        <v>2867</v>
      </c>
      <c r="C404" s="48" t="s">
        <v>2145</v>
      </c>
      <c r="D404" s="48" t="s">
        <v>2868</v>
      </c>
    </row>
    <row r="405">
      <c r="A405" s="87">
        <f>ROW() - ROW(Table_sounds[N])</f>
        <v>403</v>
      </c>
      <c r="B405" s="48" t="s">
        <v>2869</v>
      </c>
      <c r="C405" s="48" t="s">
        <v>2145</v>
      </c>
      <c r="D405" s="48" t="s">
        <v>2870</v>
      </c>
    </row>
    <row r="406">
      <c r="A406" s="87">
        <f>ROW() - ROW(Table_sounds[N])</f>
        <v>404</v>
      </c>
      <c r="B406" s="48" t="s">
        <v>2871</v>
      </c>
      <c r="C406" s="48" t="s">
        <v>2145</v>
      </c>
      <c r="D406" s="48" t="s">
        <v>2872</v>
      </c>
    </row>
    <row r="407">
      <c r="A407" s="87">
        <f>ROW() - ROW(Table_sounds[N])</f>
        <v>405</v>
      </c>
      <c r="B407" s="48" t="s">
        <v>2873</v>
      </c>
      <c r="C407" s="48" t="s">
        <v>2145</v>
      </c>
      <c r="D407" s="48" t="s">
        <v>2873</v>
      </c>
    </row>
    <row r="408">
      <c r="A408" s="87">
        <f>ROW() - ROW(Table_sounds[N])</f>
        <v>406</v>
      </c>
      <c r="B408" s="48" t="s">
        <v>2874</v>
      </c>
      <c r="C408" s="48" t="s">
        <v>2145</v>
      </c>
      <c r="D408" s="48" t="s">
        <v>2875</v>
      </c>
    </row>
    <row r="409">
      <c r="A409" s="87">
        <f>ROW() - ROW(Table_sounds[N])</f>
        <v>407</v>
      </c>
      <c r="B409" s="48" t="s">
        <v>2876</v>
      </c>
      <c r="C409" s="48" t="s">
        <v>2145</v>
      </c>
      <c r="D409" s="48" t="s">
        <v>2877</v>
      </c>
    </row>
    <row r="410">
      <c r="A410" s="87">
        <f>ROW() - ROW(Table_sounds[N])</f>
        <v>408</v>
      </c>
      <c r="B410" s="48" t="s">
        <v>2878</v>
      </c>
      <c r="C410" s="48" t="s">
        <v>2145</v>
      </c>
      <c r="D410" s="48" t="s">
        <v>2879</v>
      </c>
    </row>
    <row r="411">
      <c r="A411" s="87">
        <f>ROW() - ROW(Table_sounds[N])</f>
        <v>409</v>
      </c>
      <c r="B411" s="48" t="s">
        <v>2880</v>
      </c>
      <c r="C411" s="48" t="s">
        <v>2145</v>
      </c>
      <c r="D411" s="48" t="s">
        <v>2881</v>
      </c>
    </row>
    <row r="412">
      <c r="A412" s="87">
        <f>ROW() - ROW(Table_sounds[N])</f>
        <v>410</v>
      </c>
      <c r="B412" s="48" t="s">
        <v>2882</v>
      </c>
      <c r="C412" s="48" t="s">
        <v>2145</v>
      </c>
      <c r="D412" s="48" t="s">
        <v>2883</v>
      </c>
    </row>
    <row r="413">
      <c r="A413" s="87">
        <f>ROW() - ROW(Table_sounds[N])</f>
        <v>411</v>
      </c>
      <c r="B413" s="48" t="s">
        <v>2884</v>
      </c>
      <c r="C413" s="48" t="s">
        <v>2145</v>
      </c>
      <c r="D413" s="48" t="s">
        <v>2885</v>
      </c>
    </row>
    <row r="414">
      <c r="A414" s="87">
        <f>ROW() - ROW(Table_sounds[N])</f>
        <v>412</v>
      </c>
      <c r="B414" s="48" t="s">
        <v>2886</v>
      </c>
      <c r="C414" s="48" t="s">
        <v>2145</v>
      </c>
      <c r="D414" s="48" t="s">
        <v>2887</v>
      </c>
    </row>
    <row r="415">
      <c r="A415" s="87">
        <f>ROW() - ROW(Table_sounds[N])</f>
        <v>413</v>
      </c>
      <c r="B415" s="48" t="s">
        <v>2888</v>
      </c>
      <c r="C415" s="48" t="s">
        <v>2145</v>
      </c>
      <c r="D415" s="48" t="s">
        <v>2889</v>
      </c>
    </row>
    <row r="416">
      <c r="A416" s="87">
        <f>ROW() - ROW(Table_sounds[N])</f>
        <v>414</v>
      </c>
      <c r="B416" s="48" t="s">
        <v>2890</v>
      </c>
      <c r="C416" s="48" t="s">
        <v>2145</v>
      </c>
      <c r="D416" s="48" t="s">
        <v>2891</v>
      </c>
    </row>
    <row r="417">
      <c r="A417" s="87">
        <f>ROW() - ROW(Table_sounds[N])</f>
        <v>415</v>
      </c>
      <c r="B417" s="48" t="s">
        <v>1959</v>
      </c>
      <c r="C417" s="48" t="s">
        <v>2145</v>
      </c>
      <c r="D417" s="48" t="s">
        <v>1959</v>
      </c>
    </row>
    <row r="418">
      <c r="A418" s="87">
        <f>ROW() - ROW(Table_sounds[N])</f>
        <v>416</v>
      </c>
      <c r="B418" s="48" t="s">
        <v>2892</v>
      </c>
      <c r="C418" s="48" t="s">
        <v>2145</v>
      </c>
      <c r="D418" s="48" t="s">
        <v>2892</v>
      </c>
    </row>
    <row r="419">
      <c r="A419" s="87">
        <f>ROW() - ROW(Table_sounds[N])</f>
        <v>417</v>
      </c>
      <c r="B419" s="48" t="s">
        <v>2893</v>
      </c>
      <c r="C419" s="48" t="s">
        <v>2145</v>
      </c>
      <c r="D419" s="48" t="s">
        <v>2894</v>
      </c>
    </row>
    <row r="420">
      <c r="A420" s="87">
        <f>ROW() - ROW(Table_sounds[N])</f>
        <v>418</v>
      </c>
      <c r="B420" s="48" t="s">
        <v>2895</v>
      </c>
      <c r="C420" s="48" t="s">
        <v>2145</v>
      </c>
      <c r="D420" s="48" t="s">
        <v>2896</v>
      </c>
    </row>
    <row r="421">
      <c r="A421" s="87">
        <f>ROW() - ROW(Table_sounds[N])</f>
        <v>419</v>
      </c>
      <c r="B421" s="48" t="s">
        <v>2897</v>
      </c>
      <c r="C421" s="48" t="s">
        <v>2145</v>
      </c>
      <c r="D421" s="48" t="s">
        <v>2898</v>
      </c>
    </row>
    <row r="422">
      <c r="A422" s="87">
        <f>ROW() - ROW(Table_sounds[N])</f>
        <v>420</v>
      </c>
      <c r="B422" s="48" t="s">
        <v>2899</v>
      </c>
      <c r="C422" s="48" t="s">
        <v>2145</v>
      </c>
      <c r="D422" s="48" t="s">
        <v>2900</v>
      </c>
    </row>
    <row r="423">
      <c r="A423" s="87">
        <f>ROW() - ROW(Table_sounds[N])</f>
        <v>421</v>
      </c>
      <c r="B423" s="48" t="s">
        <v>2901</v>
      </c>
      <c r="C423" s="48" t="s">
        <v>2145</v>
      </c>
      <c r="D423" s="48" t="s">
        <v>2902</v>
      </c>
    </row>
    <row r="424">
      <c r="A424" s="87">
        <f>ROW() - ROW(Table_sounds[N])</f>
        <v>422</v>
      </c>
      <c r="B424" s="48" t="s">
        <v>2903</v>
      </c>
      <c r="C424" s="48" t="s">
        <v>2145</v>
      </c>
      <c r="D424" s="48" t="s">
        <v>2904</v>
      </c>
    </row>
    <row r="425">
      <c r="A425" s="87">
        <f>ROW() - ROW(Table_sounds[N])</f>
        <v>423</v>
      </c>
      <c r="B425" s="48" t="s">
        <v>2905</v>
      </c>
      <c r="C425" s="48" t="s">
        <v>2145</v>
      </c>
      <c r="D425" s="48" t="s">
        <v>2906</v>
      </c>
    </row>
    <row r="426">
      <c r="A426" s="87">
        <f>ROW() - ROW(Table_sounds[N])</f>
        <v>424</v>
      </c>
      <c r="B426" s="48" t="s">
        <v>2907</v>
      </c>
      <c r="C426" s="48" t="s">
        <v>2145</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58.57"/>
    <col customWidth="1" min="3" max="3" width="43.71"/>
    <col customWidth="1" min="4" max="4" width="46.71"/>
    <col customWidth="1" min="5" max="5" width="38.71"/>
    <col customWidth="1" min="6" max="6" width="45.86"/>
    <col customWidth="1" min="7" max="7" width="53.43"/>
    <col customWidth="1" min="8" max="8" width="52.86"/>
    <col customWidth="1" min="9" max="10" width="32.57"/>
  </cols>
  <sheetData>
    <row r="1">
      <c r="A1" s="1" t="s">
        <v>49</v>
      </c>
      <c r="B1" s="1" t="s">
        <v>2908</v>
      </c>
      <c r="C1" s="29" t="s">
        <v>25</v>
      </c>
      <c r="D1" s="29" t="s">
        <v>2909</v>
      </c>
    </row>
    <row r="2">
      <c r="A2" s="48">
        <f>ROW()-ROW(Table_Dialogs[N])</f>
        <v>0</v>
      </c>
      <c r="B2" s="48" t="s">
        <v>1296</v>
      </c>
      <c r="C2" s="51" t="s">
        <v>361</v>
      </c>
      <c r="D2" s="53" t="s">
        <v>1297</v>
      </c>
    </row>
    <row r="3">
      <c r="A3" s="48">
        <f>ROW()-ROW(Table_Dialogs[N])</f>
        <v>1</v>
      </c>
      <c r="B3" s="48" t="s">
        <v>1353</v>
      </c>
      <c r="C3" s="51" t="s">
        <v>361</v>
      </c>
      <c r="D3" s="53" t="s">
        <v>2910</v>
      </c>
    </row>
    <row r="4">
      <c r="A4" s="48">
        <f>ROW()-ROW(Table_Dialogs[N])</f>
        <v>2</v>
      </c>
      <c r="B4" s="48" t="s">
        <v>1351</v>
      </c>
      <c r="C4" s="51" t="s">
        <v>36</v>
      </c>
      <c r="D4" s="51" t="s">
        <v>2911</v>
      </c>
    </row>
    <row r="5">
      <c r="A5" s="48">
        <f>ROW()-ROW(Table_Dialogs[N])</f>
        <v>3</v>
      </c>
      <c r="B5" s="48" t="s">
        <v>1802</v>
      </c>
      <c r="C5" s="51" t="s">
        <v>36</v>
      </c>
      <c r="D5" s="51" t="s">
        <v>2912</v>
      </c>
    </row>
    <row r="6">
      <c r="A6" s="48">
        <f>ROW()-ROW(Table_Dialogs[N])</f>
        <v>4</v>
      </c>
      <c r="B6" s="48" t="s">
        <v>1361</v>
      </c>
      <c r="C6" s="51" t="s">
        <v>36</v>
      </c>
      <c r="D6" s="51" t="s">
        <v>2913</v>
      </c>
    </row>
    <row r="7">
      <c r="A7" s="48">
        <f>ROW()-ROW(Table_Dialogs[N])</f>
        <v>5</v>
      </c>
      <c r="B7" s="48" t="s">
        <v>1365</v>
      </c>
      <c r="C7" s="51" t="s">
        <v>2914</v>
      </c>
      <c r="D7" s="51" t="s">
        <v>2915</v>
      </c>
    </row>
    <row r="8">
      <c r="A8" s="48">
        <f>ROW()-ROW(Table_Dialogs[N])</f>
        <v>6</v>
      </c>
      <c r="B8" s="48" t="s">
        <v>1368</v>
      </c>
      <c r="C8" s="51" t="s">
        <v>2914</v>
      </c>
      <c r="D8" s="51" t="s">
        <v>2916</v>
      </c>
    </row>
    <row r="9">
      <c r="A9" s="48">
        <f>ROW()-ROW(Table_Dialogs[N])</f>
        <v>7</v>
      </c>
      <c r="B9" s="48" t="s">
        <v>1955</v>
      </c>
      <c r="C9" s="51" t="s">
        <v>2914</v>
      </c>
      <c r="D9" s="51" t="s">
        <v>2917</v>
      </c>
    </row>
    <row r="10">
      <c r="A10" s="48">
        <f>ROW()-ROW(Table_Dialogs[N])</f>
        <v>8</v>
      </c>
      <c r="B10" s="48" t="s">
        <v>1370</v>
      </c>
      <c r="C10" s="51" t="s">
        <v>2918</v>
      </c>
      <c r="D10" s="51" t="s">
        <v>2919</v>
      </c>
    </row>
    <row r="11">
      <c r="A11" s="48">
        <f>ROW()-ROW(Table_Dialogs[N])</f>
        <v>9</v>
      </c>
      <c r="B11" s="48" t="s">
        <v>2920</v>
      </c>
      <c r="C11" s="51" t="s">
        <v>2918</v>
      </c>
      <c r="D11" s="51" t="s">
        <v>2921</v>
      </c>
    </row>
    <row r="12">
      <c r="A12" s="48">
        <f>ROW()-ROW(Table_Dialogs[N])</f>
        <v>10</v>
      </c>
      <c r="B12" s="48" t="s">
        <v>1383</v>
      </c>
      <c r="C12" s="51" t="s">
        <v>2922</v>
      </c>
      <c r="D12" s="51" t="s">
        <v>2923</v>
      </c>
    </row>
    <row r="13">
      <c r="A13" s="48">
        <f>ROW()-ROW(Table_Dialogs[N])</f>
        <v>11</v>
      </c>
      <c r="B13" s="48" t="s">
        <v>1950</v>
      </c>
      <c r="C13" s="51" t="s">
        <v>2922</v>
      </c>
      <c r="D13" s="51" t="s">
        <v>2924</v>
      </c>
    </row>
    <row r="14">
      <c r="A14" s="48">
        <f>ROW()-ROW(Table_Dialogs[N])</f>
        <v>12</v>
      </c>
      <c r="B14" s="48" t="s">
        <v>1384</v>
      </c>
      <c r="C14" s="51" t="s">
        <v>2922</v>
      </c>
      <c r="D14" s="51" t="s">
        <v>2925</v>
      </c>
    </row>
    <row r="15">
      <c r="A15" s="48">
        <f>ROW()-ROW(Table_Dialogs[N])</f>
        <v>13</v>
      </c>
      <c r="B15" s="48" t="s">
        <v>1388</v>
      </c>
      <c r="C15" s="51" t="s">
        <v>448</v>
      </c>
      <c r="D15" s="51" t="s">
        <v>2926</v>
      </c>
    </row>
    <row r="16">
      <c r="A16" s="48">
        <f>ROW()-ROW(Table_Dialogs[N])</f>
        <v>14</v>
      </c>
      <c r="B16" s="48" t="s">
        <v>1390</v>
      </c>
      <c r="C16" s="51" t="s">
        <v>450</v>
      </c>
      <c r="D16" s="51" t="s">
        <v>2927</v>
      </c>
    </row>
    <row r="17">
      <c r="A17" s="48">
        <f>ROW()-ROW(Table_Dialogs[N])</f>
        <v>15</v>
      </c>
      <c r="B17" s="48" t="s">
        <v>2928</v>
      </c>
      <c r="C17" s="51" t="s">
        <v>2929</v>
      </c>
      <c r="D17" s="51" t="s">
        <v>2930</v>
      </c>
    </row>
    <row r="18">
      <c r="A18" s="48">
        <f>ROW()-ROW(Table_Dialogs[N])</f>
        <v>16</v>
      </c>
      <c r="B18" s="48" t="s">
        <v>1391</v>
      </c>
      <c r="C18" s="51" t="s">
        <v>2929</v>
      </c>
      <c r="D18" s="51" t="s">
        <v>2931</v>
      </c>
    </row>
    <row r="19">
      <c r="A19" s="48">
        <f>ROW()-ROW(Table_Dialogs[N])</f>
        <v>17</v>
      </c>
      <c r="B19" s="48" t="s">
        <v>2932</v>
      </c>
      <c r="C19" s="51" t="s">
        <v>2933</v>
      </c>
      <c r="D19" s="51" t="s">
        <v>2934</v>
      </c>
    </row>
    <row r="20">
      <c r="A20" s="48">
        <f>ROW()-ROW(Table_Dialogs[N])</f>
        <v>18</v>
      </c>
      <c r="B20" s="48" t="s">
        <v>1416</v>
      </c>
      <c r="C20" s="51" t="s">
        <v>2933</v>
      </c>
      <c r="D20" s="51" t="s">
        <v>2935</v>
      </c>
    </row>
    <row r="21">
      <c r="A21" s="48">
        <f>ROW()-ROW(Table_Dialogs[N])</f>
        <v>19</v>
      </c>
      <c r="B21" s="48" t="s">
        <v>1424</v>
      </c>
      <c r="C21" s="51" t="s">
        <v>428</v>
      </c>
      <c r="D21" s="51" t="s">
        <v>2936</v>
      </c>
    </row>
    <row r="22">
      <c r="A22" s="48">
        <f>ROW()-ROW(Table_Dialogs[N])</f>
        <v>20</v>
      </c>
      <c r="B22" s="48" t="s">
        <v>1426</v>
      </c>
      <c r="C22" s="51" t="s">
        <v>367</v>
      </c>
      <c r="D22" s="51" t="s">
        <v>2937</v>
      </c>
    </row>
    <row r="23">
      <c r="A23" s="48">
        <f>ROW()-ROW(Table_Dialogs[N])</f>
        <v>21</v>
      </c>
      <c r="B23" s="48" t="s">
        <v>2938</v>
      </c>
      <c r="C23" s="51" t="s">
        <v>428</v>
      </c>
      <c r="D23" s="51" t="s">
        <v>2939</v>
      </c>
    </row>
    <row r="24">
      <c r="A24" s="48">
        <f>ROW()-ROW(Table_Dialogs[N])</f>
        <v>22</v>
      </c>
      <c r="B24" s="48" t="s">
        <v>2940</v>
      </c>
      <c r="C24" s="51" t="s">
        <v>2941</v>
      </c>
      <c r="D24" s="51" t="s">
        <v>2942</v>
      </c>
    </row>
    <row r="25">
      <c r="A25" s="48">
        <f>ROW()-ROW(Table_Dialogs[N])</f>
        <v>23</v>
      </c>
      <c r="B25" s="48" t="s">
        <v>1468</v>
      </c>
      <c r="C25" s="51" t="s">
        <v>2941</v>
      </c>
      <c r="D25" s="51" t="s">
        <v>2943</v>
      </c>
    </row>
    <row r="26">
      <c r="A26" s="48">
        <f>ROW()-ROW(Table_Dialogs[N])</f>
        <v>24</v>
      </c>
      <c r="B26" s="48" t="s">
        <v>2944</v>
      </c>
      <c r="C26" s="51" t="s">
        <v>2941</v>
      </c>
      <c r="D26" s="51" t="s">
        <v>2945</v>
      </c>
    </row>
    <row r="27">
      <c r="A27" s="48">
        <f>ROW()-ROW(Table_Dialogs[N])</f>
        <v>25</v>
      </c>
      <c r="B27" s="48" t="s">
        <v>1470</v>
      </c>
      <c r="C27" s="51" t="s">
        <v>2941</v>
      </c>
      <c r="D27" s="51" t="s">
        <v>2946</v>
      </c>
    </row>
    <row r="28">
      <c r="A28" s="48">
        <f>ROW()-ROW(Table_Dialogs[N])</f>
        <v>26</v>
      </c>
      <c r="B28" s="48" t="s">
        <v>1481</v>
      </c>
      <c r="C28" s="51" t="s">
        <v>2947</v>
      </c>
      <c r="D28" s="51" t="s">
        <v>2948</v>
      </c>
    </row>
    <row r="29">
      <c r="A29" s="48">
        <f>ROW()-ROW(Table_Dialogs[N])</f>
        <v>27</v>
      </c>
      <c r="B29" s="48" t="s">
        <v>2949</v>
      </c>
      <c r="C29" s="51" t="s">
        <v>2947</v>
      </c>
      <c r="D29" s="51" t="s">
        <v>2950</v>
      </c>
    </row>
    <row r="30">
      <c r="A30" s="48">
        <f>ROW()-ROW(Table_Dialogs[N])</f>
        <v>28</v>
      </c>
      <c r="B30" s="48" t="s">
        <v>1482</v>
      </c>
      <c r="C30" s="51" t="s">
        <v>2947</v>
      </c>
      <c r="D30" s="51" t="s">
        <v>2951</v>
      </c>
    </row>
    <row r="31">
      <c r="A31" s="48">
        <f>ROW()-ROW(Table_Dialogs[N])</f>
        <v>29</v>
      </c>
      <c r="B31" s="48" t="s">
        <v>1512</v>
      </c>
      <c r="C31" s="51" t="s">
        <v>2947</v>
      </c>
      <c r="D31" s="51" t="s">
        <v>2952</v>
      </c>
    </row>
    <row r="32">
      <c r="A32" s="48">
        <f>ROW()-ROW(Table_Dialogs[N])</f>
        <v>30</v>
      </c>
      <c r="B32" s="48" t="s">
        <v>1483</v>
      </c>
      <c r="C32" s="51" t="s">
        <v>2953</v>
      </c>
      <c r="D32" s="51" t="s">
        <v>2954</v>
      </c>
    </row>
    <row r="33">
      <c r="A33" s="48">
        <f>ROW()-ROW(Table_Dialogs[N])</f>
        <v>31</v>
      </c>
      <c r="B33" s="48" t="s">
        <v>2955</v>
      </c>
      <c r="C33" s="51" t="s">
        <v>2956</v>
      </c>
      <c r="D33" s="51" t="s">
        <v>2957</v>
      </c>
    </row>
    <row r="34">
      <c r="A34" s="48">
        <f>ROW()-ROW(Table_Dialogs[N])</f>
        <v>32</v>
      </c>
      <c r="B34" s="48" t="s">
        <v>1486</v>
      </c>
      <c r="C34" s="51" t="s">
        <v>2956</v>
      </c>
      <c r="D34" s="51" t="s">
        <v>2958</v>
      </c>
    </row>
    <row r="35">
      <c r="A35" s="48">
        <f>ROW()-ROW(Table_Dialogs[N])</f>
        <v>33</v>
      </c>
      <c r="B35" s="48" t="s">
        <v>2959</v>
      </c>
      <c r="C35" s="51" t="s">
        <v>2960</v>
      </c>
      <c r="D35" s="51" t="s">
        <v>2961</v>
      </c>
    </row>
    <row r="36">
      <c r="A36" s="48">
        <f>ROW()-ROW(Table_Dialogs[N])</f>
        <v>34</v>
      </c>
      <c r="B36" s="48" t="s">
        <v>1492</v>
      </c>
      <c r="C36" s="51" t="s">
        <v>2960</v>
      </c>
      <c r="D36" s="51" t="s">
        <v>2962</v>
      </c>
    </row>
    <row r="37">
      <c r="A37" s="48">
        <f>ROW()-ROW(Table_Dialogs[N])</f>
        <v>35</v>
      </c>
      <c r="B37" s="48" t="s">
        <v>2963</v>
      </c>
      <c r="C37" s="51" t="s">
        <v>2964</v>
      </c>
      <c r="D37" s="51" t="s">
        <v>2965</v>
      </c>
    </row>
    <row r="38">
      <c r="A38" s="48">
        <f>ROW()-ROW(Table_Dialogs[N])</f>
        <v>36</v>
      </c>
      <c r="B38" s="48" t="s">
        <v>1497</v>
      </c>
      <c r="C38" s="51" t="s">
        <v>2964</v>
      </c>
      <c r="D38" s="51" t="s">
        <v>2966</v>
      </c>
    </row>
    <row r="39">
      <c r="A39" s="48">
        <f>ROW()-ROW(Table_Dialogs[N])</f>
        <v>37</v>
      </c>
      <c r="B39" s="48" t="s">
        <v>2967</v>
      </c>
      <c r="C39" s="51" t="s">
        <v>2947</v>
      </c>
      <c r="D39" s="51" t="s">
        <v>2968</v>
      </c>
    </row>
    <row r="40">
      <c r="A40" s="48">
        <f>ROW()-ROW(Table_Dialogs[N])</f>
        <v>38</v>
      </c>
      <c r="B40" s="48" t="s">
        <v>1513</v>
      </c>
      <c r="C40" s="51" t="s">
        <v>2947</v>
      </c>
      <c r="D40" s="51" t="s">
        <v>2969</v>
      </c>
    </row>
    <row r="41">
      <c r="A41" s="48">
        <f>ROW()-ROW(Table_Dialogs[N])</f>
        <v>39</v>
      </c>
      <c r="B41" s="48" t="s">
        <v>1542</v>
      </c>
      <c r="C41" s="51" t="s">
        <v>2960</v>
      </c>
      <c r="D41" s="51" t="s">
        <v>2970</v>
      </c>
    </row>
    <row r="42">
      <c r="A42" s="48">
        <f>ROW()-ROW(Table_Dialogs[N])</f>
        <v>40</v>
      </c>
      <c r="B42" s="48" t="s">
        <v>1543</v>
      </c>
      <c r="C42" s="51" t="s">
        <v>2956</v>
      </c>
      <c r="D42" s="51" t="s">
        <v>1543</v>
      </c>
    </row>
    <row r="43">
      <c r="A43" s="48">
        <f>ROW()-ROW(Table_Dialogs[N])</f>
        <v>41</v>
      </c>
      <c r="B43" s="48" t="s">
        <v>2971</v>
      </c>
      <c r="C43" s="51" t="s">
        <v>2956</v>
      </c>
      <c r="D43" s="51" t="s">
        <v>2972</v>
      </c>
    </row>
    <row r="44">
      <c r="A44" s="48">
        <f>ROW()-ROW(Table_Dialogs[N])</f>
        <v>42</v>
      </c>
      <c r="B44" s="48" t="s">
        <v>1552</v>
      </c>
      <c r="C44" s="51" t="s">
        <v>2973</v>
      </c>
      <c r="D44" s="51" t="s">
        <v>2974</v>
      </c>
    </row>
    <row r="45">
      <c r="A45" s="48">
        <f>ROW()-ROW(Table_Dialogs[N])</f>
        <v>43</v>
      </c>
      <c r="B45" s="48" t="s">
        <v>1554</v>
      </c>
      <c r="C45" s="51" t="s">
        <v>2964</v>
      </c>
      <c r="D45" s="51" t="s">
        <v>2975</v>
      </c>
    </row>
    <row r="46">
      <c r="A46" s="48">
        <f>ROW()-ROW(Table_Dialogs[N])</f>
        <v>44</v>
      </c>
      <c r="B46" s="48" t="s">
        <v>1573</v>
      </c>
      <c r="C46" s="51" t="s">
        <v>367</v>
      </c>
      <c r="D46" s="51" t="s">
        <v>2976</v>
      </c>
    </row>
    <row r="47">
      <c r="A47" s="48">
        <f>ROW()-ROW(Table_Dialogs[N])</f>
        <v>45</v>
      </c>
      <c r="B47" s="48" t="s">
        <v>1579</v>
      </c>
      <c r="C47" s="51" t="s">
        <v>553</v>
      </c>
      <c r="D47" s="51" t="s">
        <v>2977</v>
      </c>
    </row>
    <row r="48">
      <c r="A48" s="48">
        <f>ROW()-ROW(Table_Dialogs[N])</f>
        <v>46</v>
      </c>
      <c r="B48" s="48" t="s">
        <v>1591</v>
      </c>
      <c r="C48" s="51" t="s">
        <v>2978</v>
      </c>
      <c r="D48" s="51" t="s">
        <v>2979</v>
      </c>
    </row>
    <row r="49">
      <c r="A49" s="48">
        <f>ROW()-ROW(Table_Dialogs[N])</f>
        <v>47</v>
      </c>
      <c r="B49" s="48" t="s">
        <v>2980</v>
      </c>
      <c r="C49" s="51" t="s">
        <v>2981</v>
      </c>
      <c r="D49" s="51" t="s">
        <v>2982</v>
      </c>
    </row>
    <row r="50">
      <c r="A50" s="48">
        <f>ROW()-ROW(Table_Dialogs[N])</f>
        <v>48</v>
      </c>
      <c r="B50" s="48" t="s">
        <v>1594</v>
      </c>
      <c r="C50" s="51" t="s">
        <v>2981</v>
      </c>
      <c r="D50" s="51" t="s">
        <v>2983</v>
      </c>
    </row>
    <row r="51">
      <c r="A51" s="48">
        <f>ROW()-ROW(Table_Dialogs[N])</f>
        <v>49</v>
      </c>
      <c r="B51" s="48" t="s">
        <v>1596</v>
      </c>
      <c r="C51" s="51" t="s">
        <v>2984</v>
      </c>
      <c r="D51" s="51" t="s">
        <v>2985</v>
      </c>
    </row>
    <row r="52">
      <c r="A52" s="48">
        <f>ROW()-ROW(Table_Dialogs[N])</f>
        <v>50</v>
      </c>
      <c r="B52" s="48" t="s">
        <v>1619</v>
      </c>
      <c r="C52" s="51" t="s">
        <v>561</v>
      </c>
      <c r="D52" s="51" t="s">
        <v>2986</v>
      </c>
    </row>
    <row r="53">
      <c r="A53" s="48">
        <f>ROW()-ROW(Table_Dialogs[N])</f>
        <v>51</v>
      </c>
      <c r="B53" s="48" t="s">
        <v>1621</v>
      </c>
      <c r="C53" s="51" t="s">
        <v>508</v>
      </c>
      <c r="D53" s="51" t="s">
        <v>2987</v>
      </c>
    </row>
    <row r="54">
      <c r="A54" s="48">
        <f>ROW()-ROW(Table_Dialogs[N])</f>
        <v>52</v>
      </c>
      <c r="B54" s="48" t="s">
        <v>1623</v>
      </c>
      <c r="C54" s="51" t="s">
        <v>555</v>
      </c>
      <c r="D54" s="51" t="s">
        <v>2988</v>
      </c>
    </row>
    <row r="55">
      <c r="A55" s="48">
        <f>ROW()-ROW(Table_Dialogs[N])</f>
        <v>53</v>
      </c>
      <c r="B55" s="48" t="s">
        <v>1630</v>
      </c>
      <c r="C55" s="51" t="s">
        <v>367</v>
      </c>
      <c r="D55" s="51" t="s">
        <v>2989</v>
      </c>
    </row>
    <row r="56">
      <c r="A56" s="48">
        <f>ROW()-ROW(Table_Dialogs[N])</f>
        <v>54</v>
      </c>
      <c r="B56" s="48" t="s">
        <v>1659</v>
      </c>
      <c r="C56" s="51" t="s">
        <v>2990</v>
      </c>
      <c r="D56" s="51" t="s">
        <v>2991</v>
      </c>
    </row>
    <row r="57">
      <c r="A57" s="48">
        <f>ROW()-ROW(Table_Dialogs[N])</f>
        <v>55</v>
      </c>
      <c r="B57" s="48" t="s">
        <v>1660</v>
      </c>
      <c r="C57" s="51" t="s">
        <v>2992</v>
      </c>
      <c r="D57" s="51" t="s">
        <v>2993</v>
      </c>
    </row>
    <row r="58">
      <c r="A58" s="48">
        <f>ROW()-ROW(Table_Dialogs[N])</f>
        <v>56</v>
      </c>
      <c r="B58" s="48" t="s">
        <v>1670</v>
      </c>
      <c r="C58" s="51" t="s">
        <v>2992</v>
      </c>
      <c r="D58" s="51" t="s">
        <v>2994</v>
      </c>
    </row>
    <row r="59">
      <c r="A59" s="48">
        <f>ROW()-ROW(Table_Dialogs[N])</f>
        <v>57</v>
      </c>
      <c r="B59" s="48" t="s">
        <v>1677</v>
      </c>
      <c r="C59" s="51" t="s">
        <v>2995</v>
      </c>
      <c r="D59" s="51" t="s">
        <v>2996</v>
      </c>
    </row>
    <row r="60">
      <c r="A60" s="48">
        <f>ROW()-ROW(Table_Dialogs[N])</f>
        <v>58</v>
      </c>
      <c r="B60" s="48" t="s">
        <v>35</v>
      </c>
      <c r="C60" s="51" t="s">
        <v>36</v>
      </c>
      <c r="D60" s="51" t="s">
        <v>2997</v>
      </c>
    </row>
    <row r="61">
      <c r="A61" s="48">
        <f>ROW()-ROW(Table_Dialogs[N])</f>
        <v>59</v>
      </c>
      <c r="B61" s="48" t="s">
        <v>1707</v>
      </c>
      <c r="C61" s="51" t="s">
        <v>36</v>
      </c>
      <c r="D61" s="51" t="s">
        <v>2998</v>
      </c>
    </row>
    <row r="62">
      <c r="A62" s="48">
        <f>ROW()-ROW(Table_Dialogs[N])</f>
        <v>60</v>
      </c>
      <c r="B62" s="48" t="s">
        <v>1764</v>
      </c>
      <c r="C62" s="51" t="s">
        <v>367</v>
      </c>
      <c r="D62" s="51" t="s">
        <v>2999</v>
      </c>
    </row>
    <row r="63">
      <c r="A63" s="48">
        <f>ROW()-ROW(Table_Dialogs[N])</f>
        <v>61</v>
      </c>
      <c r="B63" s="48" t="s">
        <v>1745</v>
      </c>
      <c r="C63" s="51" t="s">
        <v>367</v>
      </c>
      <c r="D63" s="51" t="s">
        <v>3000</v>
      </c>
    </row>
    <row r="64">
      <c r="A64" s="48">
        <f>ROW()-ROW(Table_Dialogs[N])</f>
        <v>62</v>
      </c>
      <c r="B64" s="48" t="s">
        <v>1805</v>
      </c>
      <c r="C64" s="51" t="s">
        <v>367</v>
      </c>
      <c r="D64" s="51" t="s">
        <v>3001</v>
      </c>
    </row>
    <row r="65">
      <c r="A65" s="48">
        <f>ROW()-ROW(Table_Dialogs[N])</f>
        <v>63</v>
      </c>
      <c r="B65" s="48" t="s">
        <v>1969</v>
      </c>
      <c r="C65" s="51" t="s">
        <v>3002</v>
      </c>
      <c r="D65" s="51" t="s">
        <v>3003</v>
      </c>
    </row>
    <row r="66">
      <c r="A66" s="48">
        <f>ROW()-ROW(Table_Dialogs[N])</f>
        <v>64</v>
      </c>
      <c r="B66" s="48" t="s">
        <v>1975</v>
      </c>
      <c r="C66" s="51" t="s">
        <v>3002</v>
      </c>
      <c r="D66" s="51" t="s">
        <v>3004</v>
      </c>
    </row>
    <row r="67">
      <c r="A67" s="48">
        <f>ROW()-ROW(Table_Dialogs[N])</f>
        <v>65</v>
      </c>
      <c r="B67" s="48" t="s">
        <v>3005</v>
      </c>
      <c r="C67" s="51" t="s">
        <v>361</v>
      </c>
      <c r="D67" s="53" t="s">
        <v>1297</v>
      </c>
    </row>
    <row r="69">
      <c r="A69" s="1" t="s">
        <v>49</v>
      </c>
      <c r="B69" s="1" t="s">
        <v>3006</v>
      </c>
      <c r="C69" s="1" t="s">
        <v>723</v>
      </c>
      <c r="D69" s="29" t="s">
        <v>3007</v>
      </c>
      <c r="E69" s="29" t="s">
        <v>3008</v>
      </c>
      <c r="F69" s="29" t="s">
        <v>3009</v>
      </c>
      <c r="G69" s="29" t="s">
        <v>3010</v>
      </c>
      <c r="H69" s="29" t="s">
        <v>3011</v>
      </c>
    </row>
    <row r="70">
      <c r="A70" s="48">
        <f>ROW()-ROW(Table_Dialog_Options[N])</f>
        <v>0</v>
      </c>
      <c r="B70" s="48" t="s">
        <v>1297</v>
      </c>
      <c r="C70" s="49" t="s">
        <v>730</v>
      </c>
      <c r="D70" s="88" t="s">
        <v>731</v>
      </c>
      <c r="E70" s="52" t="s">
        <v>734</v>
      </c>
      <c r="F70" s="50" t="s">
        <v>1296</v>
      </c>
      <c r="G70" s="89" t="b">
        <v>0</v>
      </c>
      <c r="H70" s="49" t="s">
        <v>1298</v>
      </c>
    </row>
    <row r="71">
      <c r="A71" s="48">
        <f>ROW()-ROW(Table_Dialog_Options[N])</f>
        <v>1</v>
      </c>
      <c r="B71" s="48" t="s">
        <v>2910</v>
      </c>
      <c r="C71" s="49" t="s">
        <v>730</v>
      </c>
      <c r="D71" s="88" t="s">
        <v>731</v>
      </c>
      <c r="E71" s="52" t="s">
        <v>734</v>
      </c>
      <c r="F71" s="50" t="s">
        <v>1296</v>
      </c>
      <c r="G71" s="89" t="b">
        <v>0</v>
      </c>
      <c r="H71" s="49" t="s">
        <v>1298</v>
      </c>
    </row>
    <row r="72">
      <c r="A72" s="48">
        <f>ROW()-ROW(Table_Dialog_Options[N])</f>
        <v>2</v>
      </c>
      <c r="B72" s="48" t="s">
        <v>2911</v>
      </c>
      <c r="C72" s="52" t="s">
        <v>730</v>
      </c>
      <c r="D72" s="88" t="s">
        <v>731</v>
      </c>
      <c r="E72" s="52" t="s">
        <v>734</v>
      </c>
      <c r="F72" s="50" t="s">
        <v>1802</v>
      </c>
      <c r="G72" s="89" t="b">
        <v>0</v>
      </c>
      <c r="H72" s="52" t="s">
        <v>3012</v>
      </c>
    </row>
    <row r="73">
      <c r="A73" s="48">
        <f>ROW()-ROW(Table_Dialog_Options[N])</f>
        <v>3</v>
      </c>
      <c r="B73" s="48" t="s">
        <v>3013</v>
      </c>
      <c r="C73" s="52" t="s">
        <v>730</v>
      </c>
      <c r="D73" s="88" t="s">
        <v>731</v>
      </c>
      <c r="E73" s="52" t="s">
        <v>734</v>
      </c>
      <c r="F73" s="50" t="s">
        <v>1802</v>
      </c>
      <c r="G73" s="89" t="b">
        <v>0</v>
      </c>
      <c r="H73" s="52" t="s">
        <v>3014</v>
      </c>
    </row>
    <row r="74">
      <c r="A74" s="48">
        <f>ROW()-ROW(Table_Dialog_Options[N])</f>
        <v>4</v>
      </c>
      <c r="B74" s="48" t="s">
        <v>3015</v>
      </c>
      <c r="C74" s="52" t="s">
        <v>730</v>
      </c>
      <c r="D74" s="88" t="s">
        <v>731</v>
      </c>
      <c r="E74" s="52" t="s">
        <v>734</v>
      </c>
      <c r="F74" s="50" t="s">
        <v>1802</v>
      </c>
      <c r="G74" s="89" t="b">
        <v>0</v>
      </c>
      <c r="H74" s="52" t="s">
        <v>3016</v>
      </c>
    </row>
    <row r="75">
      <c r="A75" s="48">
        <f>ROW()-ROW(Table_Dialog_Options[N])</f>
        <v>5</v>
      </c>
      <c r="B75" s="48" t="s">
        <v>3017</v>
      </c>
      <c r="C75" s="52" t="s">
        <v>730</v>
      </c>
      <c r="D75" s="88" t="s">
        <v>731</v>
      </c>
      <c r="E75" s="52" t="s">
        <v>734</v>
      </c>
      <c r="F75" s="50" t="s">
        <v>1296</v>
      </c>
      <c r="G75" s="89" t="b">
        <v>0</v>
      </c>
      <c r="H75" s="52" t="s">
        <v>3018</v>
      </c>
    </row>
    <row r="76">
      <c r="A76" s="48">
        <f>ROW()-ROW(Table_Dialog_Options[N])</f>
        <v>6</v>
      </c>
      <c r="B76" s="48" t="s">
        <v>2913</v>
      </c>
      <c r="C76" s="52" t="s">
        <v>730</v>
      </c>
      <c r="D76" s="88" t="s">
        <v>731</v>
      </c>
      <c r="E76" s="52" t="s">
        <v>734</v>
      </c>
      <c r="F76" s="50" t="s">
        <v>1296</v>
      </c>
      <c r="G76" s="89" t="b">
        <v>0</v>
      </c>
      <c r="H76" s="52" t="s">
        <v>3019</v>
      </c>
    </row>
    <row r="77">
      <c r="A77" s="48">
        <f>ROW()-ROW(Table_Dialog_Options[N])</f>
        <v>7</v>
      </c>
      <c r="B77" s="48" t="s">
        <v>2919</v>
      </c>
      <c r="C77" s="52" t="s">
        <v>730</v>
      </c>
      <c r="D77" s="88" t="s">
        <v>731</v>
      </c>
      <c r="E77" s="52" t="s">
        <v>734</v>
      </c>
      <c r="F77" s="50" t="s">
        <v>2920</v>
      </c>
      <c r="G77" s="89" t="b">
        <v>0</v>
      </c>
      <c r="H77" s="52" t="s">
        <v>3020</v>
      </c>
    </row>
    <row r="78">
      <c r="A78" s="48">
        <f>ROW()-ROW(Table_Dialog_Options[N])</f>
        <v>8</v>
      </c>
      <c r="B78" s="48" t="s">
        <v>2917</v>
      </c>
      <c r="C78" s="52" t="s">
        <v>730</v>
      </c>
      <c r="D78" s="88" t="s">
        <v>731</v>
      </c>
      <c r="E78" s="52" t="s">
        <v>734</v>
      </c>
      <c r="F78" s="50" t="s">
        <v>1296</v>
      </c>
      <c r="G78" s="89" t="b">
        <v>0</v>
      </c>
      <c r="H78" s="52" t="s">
        <v>3021</v>
      </c>
    </row>
    <row r="79">
      <c r="A79" s="48">
        <f>ROW()-ROW(Table_Dialog_Options[N])</f>
        <v>9</v>
      </c>
      <c r="B79" s="48" t="s">
        <v>2915</v>
      </c>
      <c r="C79" s="52" t="s">
        <v>730</v>
      </c>
      <c r="D79" s="88" t="s">
        <v>731</v>
      </c>
      <c r="E79" s="52" t="s">
        <v>734</v>
      </c>
      <c r="F79" s="50" t="s">
        <v>1368</v>
      </c>
      <c r="G79" s="89" t="b">
        <v>0</v>
      </c>
      <c r="H79" s="52" t="s">
        <v>3022</v>
      </c>
    </row>
    <row r="80">
      <c r="A80" s="48">
        <f>ROW()-ROW(Table_Dialog_Options[N])</f>
        <v>10</v>
      </c>
      <c r="B80" s="48" t="s">
        <v>1369</v>
      </c>
      <c r="C80" s="52" t="s">
        <v>1971</v>
      </c>
      <c r="D80" s="88" t="s">
        <v>731</v>
      </c>
      <c r="E80" s="52" t="s">
        <v>3023</v>
      </c>
      <c r="F80" s="50" t="s">
        <v>1368</v>
      </c>
      <c r="G80" s="89" t="b">
        <v>0</v>
      </c>
      <c r="H80" s="52" t="s">
        <v>3024</v>
      </c>
    </row>
    <row r="81">
      <c r="A81" s="48">
        <f>ROW()-ROW(Table_Dialog_Options[N])</f>
        <v>11</v>
      </c>
      <c r="B81" s="48" t="s">
        <v>3025</v>
      </c>
      <c r="C81" s="52" t="s">
        <v>730</v>
      </c>
      <c r="D81" s="88" t="s">
        <v>731</v>
      </c>
      <c r="E81" s="52" t="s">
        <v>3026</v>
      </c>
      <c r="F81" s="50" t="s">
        <v>1296</v>
      </c>
      <c r="G81" s="89" t="b">
        <v>0</v>
      </c>
      <c r="H81" s="52" t="s">
        <v>3027</v>
      </c>
    </row>
    <row r="82">
      <c r="A82" s="48">
        <f>ROW()-ROW(Table_Dialog_Options[N])</f>
        <v>12</v>
      </c>
      <c r="B82" s="48" t="s">
        <v>2921</v>
      </c>
      <c r="C82" s="52" t="s">
        <v>730</v>
      </c>
      <c r="D82" s="88" t="s">
        <v>731</v>
      </c>
      <c r="E82" s="52" t="s">
        <v>734</v>
      </c>
      <c r="F82" s="50" t="s">
        <v>1296</v>
      </c>
      <c r="G82" s="89" t="b">
        <v>1</v>
      </c>
      <c r="H82" s="52" t="s">
        <v>3028</v>
      </c>
    </row>
    <row r="83">
      <c r="A83" s="48">
        <f>ROW()-ROW(Table_Dialog_Options[N])</f>
        <v>13</v>
      </c>
      <c r="B83" s="48" t="s">
        <v>2923</v>
      </c>
      <c r="C83" s="52" t="s">
        <v>730</v>
      </c>
      <c r="D83" s="88" t="s">
        <v>731</v>
      </c>
      <c r="E83" s="52" t="s">
        <v>734</v>
      </c>
      <c r="F83" s="50" t="s">
        <v>1950</v>
      </c>
      <c r="G83" s="89" t="b">
        <v>1</v>
      </c>
      <c r="H83" s="52" t="s">
        <v>3029</v>
      </c>
    </row>
    <row r="84">
      <c r="A84" s="48">
        <f>ROW()-ROW(Table_Dialog_Options[N])</f>
        <v>14</v>
      </c>
      <c r="B84" s="48" t="s">
        <v>1951</v>
      </c>
      <c r="C84" s="52" t="s">
        <v>1948</v>
      </c>
      <c r="D84" s="88" t="s">
        <v>777</v>
      </c>
      <c r="E84" s="52" t="s">
        <v>3030</v>
      </c>
      <c r="F84" s="50" t="s">
        <v>1950</v>
      </c>
      <c r="G84" s="89" t="b">
        <v>0</v>
      </c>
      <c r="H84" s="52" t="s">
        <v>3031</v>
      </c>
    </row>
    <row r="85">
      <c r="A85" s="48">
        <f>ROW()-ROW(Table_Dialog_Options[N])</f>
        <v>15</v>
      </c>
      <c r="B85" s="48" t="s">
        <v>3032</v>
      </c>
      <c r="C85" s="52" t="s">
        <v>730</v>
      </c>
      <c r="D85" s="88" t="s">
        <v>731</v>
      </c>
      <c r="E85" s="52" t="s">
        <v>734</v>
      </c>
      <c r="F85" s="50" t="s">
        <v>1950</v>
      </c>
      <c r="G85" s="89" t="b">
        <v>0</v>
      </c>
      <c r="H85" s="52" t="s">
        <v>3033</v>
      </c>
    </row>
    <row r="86">
      <c r="A86" s="48">
        <f>ROW()-ROW(Table_Dialog_Options[N])</f>
        <v>16</v>
      </c>
      <c r="B86" s="48" t="s">
        <v>3034</v>
      </c>
      <c r="C86" s="52" t="s">
        <v>730</v>
      </c>
      <c r="D86" s="88" t="s">
        <v>731</v>
      </c>
      <c r="E86" s="52" t="s">
        <v>3035</v>
      </c>
      <c r="F86" s="50" t="s">
        <v>1296</v>
      </c>
      <c r="G86" s="89" t="b">
        <v>0</v>
      </c>
      <c r="H86" s="52" t="s">
        <v>3036</v>
      </c>
    </row>
    <row r="87">
      <c r="A87" s="48">
        <f>ROW()-ROW(Table_Dialog_Options[N])</f>
        <v>17</v>
      </c>
      <c r="B87" s="48" t="s">
        <v>2925</v>
      </c>
      <c r="C87" s="52" t="s">
        <v>730</v>
      </c>
      <c r="D87" s="88" t="s">
        <v>731</v>
      </c>
      <c r="E87" s="52" t="s">
        <v>734</v>
      </c>
      <c r="F87" s="50" t="s">
        <v>1296</v>
      </c>
      <c r="G87" s="89" t="b">
        <v>0</v>
      </c>
      <c r="H87" s="52" t="s">
        <v>3037</v>
      </c>
    </row>
    <row r="88">
      <c r="A88" s="48">
        <f>ROW()-ROW(Table_Dialog_Options[N])</f>
        <v>18</v>
      </c>
      <c r="B88" s="48" t="s">
        <v>2926</v>
      </c>
      <c r="C88" s="52" t="s">
        <v>730</v>
      </c>
      <c r="D88" s="88" t="s">
        <v>731</v>
      </c>
      <c r="E88" s="52" t="s">
        <v>734</v>
      </c>
      <c r="F88" s="50" t="s">
        <v>1296</v>
      </c>
      <c r="G88" s="89" t="b">
        <v>1</v>
      </c>
      <c r="H88" s="52" t="s">
        <v>3038</v>
      </c>
    </row>
    <row r="89">
      <c r="A89" s="48">
        <f>ROW()-ROW(Table_Dialog_Options[N])</f>
        <v>19</v>
      </c>
      <c r="B89" s="48" t="s">
        <v>2927</v>
      </c>
      <c r="C89" s="52" t="s">
        <v>730</v>
      </c>
      <c r="D89" s="88" t="s">
        <v>731</v>
      </c>
      <c r="E89" s="52" t="s">
        <v>734</v>
      </c>
      <c r="F89" s="50" t="s">
        <v>1296</v>
      </c>
      <c r="G89" s="89" t="b">
        <v>1</v>
      </c>
      <c r="H89" s="52" t="s">
        <v>3039</v>
      </c>
    </row>
    <row r="90">
      <c r="A90" s="48">
        <f>ROW()-ROW(Table_Dialog_Options[N])</f>
        <v>20</v>
      </c>
      <c r="B90" s="48" t="s">
        <v>3040</v>
      </c>
      <c r="C90" s="52" t="s">
        <v>730</v>
      </c>
      <c r="D90" s="88" t="s">
        <v>731</v>
      </c>
      <c r="E90" s="52" t="s">
        <v>734</v>
      </c>
      <c r="F90" s="50" t="s">
        <v>2928</v>
      </c>
      <c r="G90" s="89" t="b">
        <v>0</v>
      </c>
      <c r="H90" s="52" t="s">
        <v>3041</v>
      </c>
    </row>
    <row r="91">
      <c r="A91" s="48">
        <f>ROW()-ROW(Table_Dialog_Options[N])</f>
        <v>21</v>
      </c>
      <c r="B91" s="48" t="s">
        <v>3042</v>
      </c>
      <c r="C91" s="52" t="s">
        <v>730</v>
      </c>
      <c r="D91" s="88" t="s">
        <v>731</v>
      </c>
      <c r="E91" s="52" t="s">
        <v>734</v>
      </c>
      <c r="F91" s="50" t="s">
        <v>2928</v>
      </c>
      <c r="G91" s="89" t="b">
        <v>0</v>
      </c>
      <c r="H91" s="52" t="s">
        <v>3043</v>
      </c>
    </row>
    <row r="92">
      <c r="A92" s="48">
        <f>ROW()-ROW(Table_Dialog_Options[N])</f>
        <v>22</v>
      </c>
      <c r="B92" s="48" t="s">
        <v>3044</v>
      </c>
      <c r="C92" s="52" t="s">
        <v>730</v>
      </c>
      <c r="D92" s="88" t="s">
        <v>731</v>
      </c>
      <c r="E92" s="52" t="s">
        <v>3045</v>
      </c>
      <c r="F92" s="50" t="s">
        <v>2928</v>
      </c>
      <c r="G92" s="89" t="b">
        <v>0</v>
      </c>
      <c r="H92" s="52" t="s">
        <v>3046</v>
      </c>
    </row>
    <row r="93">
      <c r="A93" s="48">
        <f>ROW()-ROW(Table_Dialog_Options[N])</f>
        <v>23</v>
      </c>
      <c r="B93" s="48" t="s">
        <v>3047</v>
      </c>
      <c r="C93" s="52" t="s">
        <v>730</v>
      </c>
      <c r="D93" s="88" t="s">
        <v>731</v>
      </c>
      <c r="E93" s="52" t="s">
        <v>734</v>
      </c>
      <c r="F93" s="50" t="s">
        <v>1296</v>
      </c>
      <c r="G93" s="89" t="b">
        <v>0</v>
      </c>
      <c r="H93" s="52" t="s">
        <v>3048</v>
      </c>
    </row>
    <row r="94">
      <c r="A94" s="48">
        <f>ROW()-ROW(Table_Dialog_Options[N])</f>
        <v>24</v>
      </c>
      <c r="B94" s="48" t="s">
        <v>2931</v>
      </c>
      <c r="C94" s="52" t="s">
        <v>730</v>
      </c>
      <c r="D94" s="88" t="s">
        <v>731</v>
      </c>
      <c r="E94" s="52" t="s">
        <v>734</v>
      </c>
      <c r="F94" s="50" t="s">
        <v>2928</v>
      </c>
      <c r="G94" s="89" t="b">
        <v>1</v>
      </c>
      <c r="H94" s="52" t="s">
        <v>3049</v>
      </c>
    </row>
    <row r="95">
      <c r="A95" s="48">
        <f>ROW()-ROW(Table_Dialog_Options[N])</f>
        <v>25</v>
      </c>
      <c r="B95" s="48" t="s">
        <v>3050</v>
      </c>
      <c r="C95" s="52" t="s">
        <v>730</v>
      </c>
      <c r="D95" s="88" t="s">
        <v>731</v>
      </c>
      <c r="E95" s="52" t="s">
        <v>1453</v>
      </c>
      <c r="F95" s="50" t="s">
        <v>2932</v>
      </c>
      <c r="G95" s="89" t="b">
        <v>0</v>
      </c>
      <c r="H95" s="52" t="s">
        <v>3051</v>
      </c>
    </row>
    <row r="96">
      <c r="A96" s="48">
        <f>ROW()-ROW(Table_Dialog_Options[N])</f>
        <v>26</v>
      </c>
      <c r="B96" s="48" t="s">
        <v>3052</v>
      </c>
      <c r="C96" s="52" t="s">
        <v>1454</v>
      </c>
      <c r="D96" s="88" t="s">
        <v>731</v>
      </c>
      <c r="E96" s="52" t="s">
        <v>3053</v>
      </c>
      <c r="F96" s="50" t="s">
        <v>2932</v>
      </c>
      <c r="G96" s="89" t="b">
        <v>0</v>
      </c>
      <c r="H96" s="52" t="s">
        <v>3054</v>
      </c>
    </row>
    <row r="97">
      <c r="A97" s="48">
        <f>ROW()-ROW(Table_Dialog_Options[N])</f>
        <v>27</v>
      </c>
      <c r="B97" s="48" t="s">
        <v>3055</v>
      </c>
      <c r="C97" s="52" t="s">
        <v>730</v>
      </c>
      <c r="D97" s="88" t="s">
        <v>731</v>
      </c>
      <c r="E97" s="52" t="s">
        <v>734</v>
      </c>
      <c r="F97" s="50" t="s">
        <v>1296</v>
      </c>
      <c r="G97" s="89" t="b">
        <v>0</v>
      </c>
      <c r="H97" s="52" t="s">
        <v>3056</v>
      </c>
    </row>
    <row r="98">
      <c r="A98" s="48">
        <f>ROW()-ROW(Table_Dialog_Options[N])</f>
        <v>28</v>
      </c>
      <c r="B98" s="48" t="s">
        <v>2935</v>
      </c>
      <c r="C98" s="52" t="s">
        <v>730</v>
      </c>
      <c r="D98" s="88" t="s">
        <v>731</v>
      </c>
      <c r="E98" s="52" t="s">
        <v>734</v>
      </c>
      <c r="F98" s="50" t="s">
        <v>2932</v>
      </c>
      <c r="G98" s="89" t="b">
        <v>0</v>
      </c>
      <c r="H98" s="52" t="s">
        <v>3057</v>
      </c>
    </row>
    <row r="99">
      <c r="A99" s="48">
        <f>ROW()-ROW(Table_Dialog_Options[N])</f>
        <v>29</v>
      </c>
      <c r="B99" s="48" t="s">
        <v>2936</v>
      </c>
      <c r="C99" s="52" t="s">
        <v>730</v>
      </c>
      <c r="D99" s="88" t="s">
        <v>731</v>
      </c>
      <c r="E99" s="52" t="s">
        <v>734</v>
      </c>
      <c r="F99" s="50" t="s">
        <v>1296</v>
      </c>
      <c r="G99" s="89" t="b">
        <v>0</v>
      </c>
      <c r="H99" s="52" t="s">
        <v>3058</v>
      </c>
    </row>
    <row r="100">
      <c r="A100" s="48">
        <f>ROW()-ROW(Table_Dialog_Options[N])</f>
        <v>30</v>
      </c>
      <c r="B100" s="48" t="s">
        <v>2937</v>
      </c>
      <c r="C100" s="52" t="s">
        <v>730</v>
      </c>
      <c r="D100" s="88" t="s">
        <v>731</v>
      </c>
      <c r="E100" s="52" t="s">
        <v>1459</v>
      </c>
      <c r="F100" s="50" t="s">
        <v>2938</v>
      </c>
      <c r="G100" s="89" t="b">
        <v>0</v>
      </c>
      <c r="H100" s="52" t="s">
        <v>3059</v>
      </c>
    </row>
    <row r="101">
      <c r="A101" s="48">
        <f>ROW()-ROW(Table_Dialog_Options[N])</f>
        <v>31</v>
      </c>
      <c r="B101" s="48" t="s">
        <v>2939</v>
      </c>
      <c r="C101" s="52" t="s">
        <v>730</v>
      </c>
      <c r="D101" s="88" t="s">
        <v>731</v>
      </c>
      <c r="E101" s="52" t="s">
        <v>734</v>
      </c>
      <c r="F101" s="50" t="s">
        <v>1296</v>
      </c>
      <c r="G101" s="89" t="b">
        <v>0</v>
      </c>
      <c r="H101" s="52" t="s">
        <v>3060</v>
      </c>
    </row>
    <row r="102">
      <c r="A102" s="48">
        <f>ROW()-ROW(Table_Dialog_Options[N])</f>
        <v>32</v>
      </c>
      <c r="B102" s="48" t="s">
        <v>3061</v>
      </c>
      <c r="C102" s="52" t="s">
        <v>730</v>
      </c>
      <c r="D102" s="88" t="s">
        <v>731</v>
      </c>
      <c r="E102" s="52" t="s">
        <v>734</v>
      </c>
      <c r="F102" s="50" t="s">
        <v>2940</v>
      </c>
      <c r="G102" s="89" t="b">
        <v>0</v>
      </c>
      <c r="H102" s="52" t="s">
        <v>3062</v>
      </c>
    </row>
    <row r="103">
      <c r="A103" s="48">
        <f>ROW()-ROW(Table_Dialog_Options[N])</f>
        <v>33</v>
      </c>
      <c r="B103" s="48" t="s">
        <v>3063</v>
      </c>
      <c r="C103" s="52" t="s">
        <v>730</v>
      </c>
      <c r="D103" s="88" t="s">
        <v>731</v>
      </c>
      <c r="E103" s="52" t="s">
        <v>734</v>
      </c>
      <c r="F103" s="50" t="s">
        <v>2944</v>
      </c>
      <c r="G103" s="89" t="b">
        <v>0</v>
      </c>
      <c r="H103" s="52" t="s">
        <v>3064</v>
      </c>
    </row>
    <row r="104">
      <c r="A104" s="48">
        <f>ROW()-ROW(Table_Dialog_Options[N])</f>
        <v>34</v>
      </c>
      <c r="B104" s="48" t="s">
        <v>3065</v>
      </c>
      <c r="C104" s="52" t="s">
        <v>730</v>
      </c>
      <c r="D104" s="88" t="s">
        <v>731</v>
      </c>
      <c r="E104" s="52" t="s">
        <v>734</v>
      </c>
      <c r="F104" s="50" t="s">
        <v>1296</v>
      </c>
      <c r="G104" s="89" t="b">
        <v>0</v>
      </c>
      <c r="H104" s="52" t="s">
        <v>3066</v>
      </c>
    </row>
    <row r="105">
      <c r="A105" s="48">
        <f>ROW()-ROW(Table_Dialog_Options[N])</f>
        <v>35</v>
      </c>
      <c r="B105" s="48" t="s">
        <v>3067</v>
      </c>
      <c r="C105" s="52" t="s">
        <v>730</v>
      </c>
      <c r="D105" s="88" t="s">
        <v>731</v>
      </c>
      <c r="E105" s="52" t="s">
        <v>734</v>
      </c>
      <c r="F105" s="50" t="s">
        <v>1296</v>
      </c>
      <c r="G105" s="89" t="b">
        <v>0</v>
      </c>
      <c r="H105" s="52" t="s">
        <v>3068</v>
      </c>
    </row>
    <row r="106">
      <c r="A106" s="48">
        <f>ROW()-ROW(Table_Dialog_Options[N])</f>
        <v>36</v>
      </c>
      <c r="B106" s="48" t="s">
        <v>2943</v>
      </c>
      <c r="C106" s="52" t="s">
        <v>730</v>
      </c>
      <c r="D106" s="88" t="s">
        <v>731</v>
      </c>
      <c r="E106" s="52" t="s">
        <v>734</v>
      </c>
      <c r="F106" s="50" t="s">
        <v>2940</v>
      </c>
      <c r="G106" s="89" t="b">
        <v>1</v>
      </c>
      <c r="H106" s="52" t="s">
        <v>3069</v>
      </c>
    </row>
    <row r="107">
      <c r="A107" s="48">
        <f>ROW()-ROW(Table_Dialog_Options[N])</f>
        <v>37</v>
      </c>
      <c r="B107" s="48" t="s">
        <v>3070</v>
      </c>
      <c r="C107" s="52" t="s">
        <v>730</v>
      </c>
      <c r="D107" s="88" t="s">
        <v>731</v>
      </c>
      <c r="E107" s="52" t="s">
        <v>734</v>
      </c>
      <c r="F107" s="50" t="s">
        <v>2940</v>
      </c>
      <c r="G107" s="89" t="b">
        <v>0</v>
      </c>
      <c r="H107" s="52" t="s">
        <v>3071</v>
      </c>
    </row>
    <row r="108">
      <c r="A108" s="48">
        <f>ROW()-ROW(Table_Dialog_Options[N])</f>
        <v>38</v>
      </c>
      <c r="B108" s="48" t="s">
        <v>3072</v>
      </c>
      <c r="C108" s="52" t="s">
        <v>730</v>
      </c>
      <c r="D108" s="88" t="s">
        <v>731</v>
      </c>
      <c r="E108" s="52" t="s">
        <v>734</v>
      </c>
      <c r="F108" s="50" t="s">
        <v>2940</v>
      </c>
      <c r="G108" s="89" t="b">
        <v>0</v>
      </c>
      <c r="H108" s="52" t="s">
        <v>3073</v>
      </c>
    </row>
    <row r="109">
      <c r="A109" s="48">
        <f>ROW()-ROW(Table_Dialog_Options[N])</f>
        <v>39</v>
      </c>
      <c r="B109" s="48" t="s">
        <v>3074</v>
      </c>
      <c r="C109" s="52" t="s">
        <v>730</v>
      </c>
      <c r="D109" s="88" t="s">
        <v>731</v>
      </c>
      <c r="E109" s="52" t="s">
        <v>734</v>
      </c>
      <c r="F109" s="50" t="s">
        <v>2940</v>
      </c>
      <c r="G109" s="89" t="b">
        <v>0</v>
      </c>
      <c r="H109" s="52" t="s">
        <v>3075</v>
      </c>
    </row>
    <row r="110">
      <c r="A110" s="48">
        <f>ROW()-ROW(Table_Dialog_Options[N])</f>
        <v>40</v>
      </c>
      <c r="B110" s="48" t="s">
        <v>3076</v>
      </c>
      <c r="C110" s="52" t="s">
        <v>1448</v>
      </c>
      <c r="D110" s="88" t="s">
        <v>731</v>
      </c>
      <c r="E110" s="52" t="s">
        <v>1469</v>
      </c>
      <c r="F110" s="50" t="s">
        <v>1296</v>
      </c>
      <c r="G110" s="89" t="b">
        <v>0</v>
      </c>
      <c r="H110" s="52" t="s">
        <v>3077</v>
      </c>
    </row>
    <row r="111">
      <c r="A111" s="48">
        <f>ROW()-ROW(Table_Dialog_Options[N])</f>
        <v>41</v>
      </c>
      <c r="B111" s="48" t="s">
        <v>2946</v>
      </c>
      <c r="C111" s="52" t="s">
        <v>730</v>
      </c>
      <c r="D111" s="88" t="s">
        <v>731</v>
      </c>
      <c r="E111" s="52" t="s">
        <v>734</v>
      </c>
      <c r="F111" s="50" t="s">
        <v>1296</v>
      </c>
      <c r="G111" s="89" t="b">
        <v>0</v>
      </c>
      <c r="H111" s="52" t="s">
        <v>3078</v>
      </c>
    </row>
    <row r="112">
      <c r="A112" s="48">
        <f>ROW()-ROW(Table_Dialog_Options[N])</f>
        <v>42</v>
      </c>
      <c r="B112" s="48" t="s">
        <v>2948</v>
      </c>
      <c r="C112" s="52" t="s">
        <v>730</v>
      </c>
      <c r="D112" s="88" t="s">
        <v>731</v>
      </c>
      <c r="E112" s="52" t="s">
        <v>734</v>
      </c>
      <c r="F112" s="50" t="s">
        <v>1296</v>
      </c>
      <c r="G112" s="89" t="b">
        <v>0</v>
      </c>
      <c r="H112" s="52" t="s">
        <v>3079</v>
      </c>
    </row>
    <row r="113">
      <c r="A113" s="48">
        <f>ROW()-ROW(Table_Dialog_Options[N])</f>
        <v>43</v>
      </c>
      <c r="B113" s="48" t="s">
        <v>2950</v>
      </c>
      <c r="C113" s="52" t="s">
        <v>730</v>
      </c>
      <c r="D113" s="88" t="s">
        <v>731</v>
      </c>
      <c r="E113" s="52" t="s">
        <v>734</v>
      </c>
      <c r="F113" s="50" t="s">
        <v>1296</v>
      </c>
      <c r="G113" s="89" t="b">
        <v>0</v>
      </c>
      <c r="H113" s="52" t="s">
        <v>1298</v>
      </c>
    </row>
    <row r="114">
      <c r="A114" s="48">
        <f>ROW()-ROW(Table_Dialog_Options[N])</f>
        <v>44</v>
      </c>
      <c r="B114" s="48" t="s">
        <v>2951</v>
      </c>
      <c r="C114" s="52" t="s">
        <v>730</v>
      </c>
      <c r="D114" s="88" t="s">
        <v>731</v>
      </c>
      <c r="E114" s="52" t="s">
        <v>1476</v>
      </c>
      <c r="F114" s="50" t="s">
        <v>1296</v>
      </c>
      <c r="G114" s="89" t="b">
        <v>0</v>
      </c>
      <c r="H114" s="52" t="s">
        <v>3080</v>
      </c>
    </row>
    <row r="115">
      <c r="A115" s="48">
        <f>ROW()-ROW(Table_Dialog_Options[N])</f>
        <v>45</v>
      </c>
      <c r="B115" s="48" t="s">
        <v>2952</v>
      </c>
      <c r="C115" s="52" t="s">
        <v>730</v>
      </c>
      <c r="D115" s="88" t="s">
        <v>731</v>
      </c>
      <c r="E115" s="52" t="s">
        <v>734</v>
      </c>
      <c r="F115" s="50" t="s">
        <v>1296</v>
      </c>
      <c r="G115" s="89" t="b">
        <v>0</v>
      </c>
      <c r="H115" s="52" t="s">
        <v>3081</v>
      </c>
    </row>
    <row r="116">
      <c r="A116" s="48">
        <f>ROW()-ROW(Table_Dialog_Options[N])</f>
        <v>46</v>
      </c>
      <c r="B116" s="48" t="s">
        <v>2954</v>
      </c>
      <c r="C116" s="52" t="s">
        <v>730</v>
      </c>
      <c r="D116" s="88" t="s">
        <v>731</v>
      </c>
      <c r="E116" s="52" t="s">
        <v>734</v>
      </c>
      <c r="F116" s="50" t="s">
        <v>1296</v>
      </c>
      <c r="G116" s="89" t="b">
        <v>0</v>
      </c>
      <c r="H116" s="52" t="s">
        <v>3082</v>
      </c>
    </row>
    <row r="117">
      <c r="A117" s="48">
        <f>ROW()-ROW(Table_Dialog_Options[N])</f>
        <v>47</v>
      </c>
      <c r="B117" s="48" t="s">
        <v>3083</v>
      </c>
      <c r="C117" s="52" t="s">
        <v>730</v>
      </c>
      <c r="D117" s="88" t="s">
        <v>731</v>
      </c>
      <c r="E117" s="52" t="s">
        <v>734</v>
      </c>
      <c r="F117" s="50" t="s">
        <v>2955</v>
      </c>
      <c r="G117" s="89" t="b">
        <v>0</v>
      </c>
      <c r="H117" s="52" t="s">
        <v>3084</v>
      </c>
    </row>
    <row r="118">
      <c r="A118" s="48">
        <f>ROW()-ROW(Table_Dialog_Options[N])</f>
        <v>48</v>
      </c>
      <c r="B118" s="48" t="s">
        <v>3085</v>
      </c>
      <c r="C118" s="52" t="s">
        <v>730</v>
      </c>
      <c r="D118" s="88" t="s">
        <v>731</v>
      </c>
      <c r="E118" s="52" t="s">
        <v>1487</v>
      </c>
      <c r="F118" s="50" t="s">
        <v>1296</v>
      </c>
      <c r="G118" s="89" t="b">
        <v>0</v>
      </c>
      <c r="H118" s="52" t="s">
        <v>3086</v>
      </c>
    </row>
    <row r="119">
      <c r="A119" s="48">
        <f>ROW()-ROW(Table_Dialog_Options[N])</f>
        <v>49</v>
      </c>
      <c r="B119" s="48" t="s">
        <v>3087</v>
      </c>
      <c r="C119" s="52" t="s">
        <v>1491</v>
      </c>
      <c r="D119" s="88" t="s">
        <v>731</v>
      </c>
      <c r="E119" s="52" t="s">
        <v>734</v>
      </c>
      <c r="F119" s="50" t="s">
        <v>2955</v>
      </c>
      <c r="G119" s="89" t="b">
        <v>0</v>
      </c>
      <c r="H119" s="52" t="s">
        <v>3088</v>
      </c>
    </row>
    <row r="120">
      <c r="A120" s="48">
        <f>ROW()-ROW(Table_Dialog_Options[N])</f>
        <v>50</v>
      </c>
      <c r="B120" s="48" t="s">
        <v>2958</v>
      </c>
      <c r="C120" s="52" t="s">
        <v>730</v>
      </c>
      <c r="D120" s="88" t="s">
        <v>731</v>
      </c>
      <c r="E120" s="52" t="s">
        <v>734</v>
      </c>
      <c r="F120" s="50" t="s">
        <v>2955</v>
      </c>
      <c r="G120" s="89" t="b">
        <v>0</v>
      </c>
      <c r="H120" s="52" t="s">
        <v>3089</v>
      </c>
    </row>
    <row r="121">
      <c r="A121" s="48">
        <f>ROW()-ROW(Table_Dialog_Options[N])</f>
        <v>51</v>
      </c>
      <c r="B121" s="48" t="s">
        <v>3090</v>
      </c>
      <c r="C121" s="52" t="s">
        <v>730</v>
      </c>
      <c r="D121" s="88" t="s">
        <v>731</v>
      </c>
      <c r="E121" s="52" t="s">
        <v>734</v>
      </c>
      <c r="F121" s="50" t="s">
        <v>2959</v>
      </c>
      <c r="G121" s="89" t="b">
        <v>0</v>
      </c>
      <c r="H121" s="52" t="s">
        <v>3091</v>
      </c>
    </row>
    <row r="122">
      <c r="A122" s="48">
        <f>ROW()-ROW(Table_Dialog_Options[N])</f>
        <v>52</v>
      </c>
      <c r="B122" s="48" t="s">
        <v>3092</v>
      </c>
      <c r="C122" s="52" t="s">
        <v>730</v>
      </c>
      <c r="D122" s="88" t="s">
        <v>731</v>
      </c>
      <c r="E122" s="52" t="s">
        <v>734</v>
      </c>
      <c r="F122" s="50" t="s">
        <v>2959</v>
      </c>
      <c r="G122" s="89" t="b">
        <v>0</v>
      </c>
      <c r="H122" s="52" t="s">
        <v>3093</v>
      </c>
    </row>
    <row r="123">
      <c r="A123" s="48">
        <f>ROW()-ROW(Table_Dialog_Options[N])</f>
        <v>53</v>
      </c>
      <c r="B123" s="48" t="s">
        <v>3094</v>
      </c>
      <c r="C123" s="52" t="s">
        <v>730</v>
      </c>
      <c r="D123" s="88" t="s">
        <v>731</v>
      </c>
      <c r="E123" s="52" t="s">
        <v>734</v>
      </c>
      <c r="F123" s="50" t="s">
        <v>2959</v>
      </c>
      <c r="G123" s="89" t="b">
        <v>0</v>
      </c>
      <c r="H123" s="52" t="s">
        <v>3095</v>
      </c>
    </row>
    <row r="124">
      <c r="A124" s="48">
        <f>ROW()-ROW(Table_Dialog_Options[N])</f>
        <v>54</v>
      </c>
      <c r="B124" s="48" t="s">
        <v>3096</v>
      </c>
      <c r="C124" s="52" t="s">
        <v>1502</v>
      </c>
      <c r="D124" s="88" t="s">
        <v>731</v>
      </c>
      <c r="E124" s="52" t="s">
        <v>734</v>
      </c>
      <c r="F124" s="50" t="s">
        <v>2959</v>
      </c>
      <c r="G124" s="89" t="b">
        <v>0</v>
      </c>
      <c r="H124" s="52" t="s">
        <v>3097</v>
      </c>
    </row>
    <row r="125">
      <c r="A125" s="48">
        <f>ROW()-ROW(Table_Dialog_Options[N])</f>
        <v>55</v>
      </c>
      <c r="B125" s="48" t="s">
        <v>2962</v>
      </c>
      <c r="C125" s="52" t="s">
        <v>730</v>
      </c>
      <c r="D125" s="88" t="s">
        <v>731</v>
      </c>
      <c r="E125" s="52" t="s">
        <v>734</v>
      </c>
      <c r="F125" s="50" t="s">
        <v>2959</v>
      </c>
      <c r="G125" s="89" t="b">
        <v>0</v>
      </c>
      <c r="H125" s="52" t="s">
        <v>3098</v>
      </c>
    </row>
    <row r="126">
      <c r="A126" s="48">
        <f>ROW()-ROW(Table_Dialog_Options[N])</f>
        <v>56</v>
      </c>
      <c r="B126" s="48" t="s">
        <v>3099</v>
      </c>
      <c r="C126" s="52" t="s">
        <v>730</v>
      </c>
      <c r="D126" s="88" t="s">
        <v>731</v>
      </c>
      <c r="E126" s="52" t="s">
        <v>3100</v>
      </c>
      <c r="F126" s="50" t="s">
        <v>1296</v>
      </c>
      <c r="G126" s="89" t="b">
        <v>0</v>
      </c>
      <c r="H126" s="52" t="s">
        <v>3101</v>
      </c>
    </row>
    <row r="127">
      <c r="A127" s="48">
        <f>ROW()-ROW(Table_Dialog_Options[N])</f>
        <v>57</v>
      </c>
      <c r="B127" s="48" t="s">
        <v>3102</v>
      </c>
      <c r="C127" s="52" t="s">
        <v>730</v>
      </c>
      <c r="D127" s="88" t="s">
        <v>731</v>
      </c>
      <c r="E127" s="52" t="s">
        <v>1501</v>
      </c>
      <c r="F127" s="50" t="s">
        <v>2963</v>
      </c>
      <c r="G127" s="89" t="b">
        <v>0</v>
      </c>
      <c r="H127" s="52" t="s">
        <v>3103</v>
      </c>
    </row>
    <row r="128">
      <c r="A128" s="48">
        <f>ROW()-ROW(Table_Dialog_Options[N])</f>
        <v>58</v>
      </c>
      <c r="B128" s="48" t="s">
        <v>3104</v>
      </c>
      <c r="C128" s="52" t="s">
        <v>730</v>
      </c>
      <c r="D128" s="88" t="s">
        <v>731</v>
      </c>
      <c r="E128" s="52" t="s">
        <v>3105</v>
      </c>
      <c r="F128" s="50" t="s">
        <v>1296</v>
      </c>
      <c r="G128" s="89" t="b">
        <v>0</v>
      </c>
      <c r="H128" s="52" t="s">
        <v>3106</v>
      </c>
    </row>
    <row r="129">
      <c r="A129" s="48">
        <f>ROW()-ROW(Table_Dialog_Options[N])</f>
        <v>59</v>
      </c>
      <c r="B129" s="48" t="s">
        <v>2966</v>
      </c>
      <c r="C129" s="52" t="s">
        <v>730</v>
      </c>
      <c r="D129" s="88" t="s">
        <v>731</v>
      </c>
      <c r="E129" s="52" t="s">
        <v>734</v>
      </c>
      <c r="F129" s="50" t="s">
        <v>2963</v>
      </c>
      <c r="G129" s="89" t="b">
        <v>0</v>
      </c>
      <c r="H129" s="52" t="s">
        <v>3107</v>
      </c>
    </row>
    <row r="130">
      <c r="A130" s="48">
        <f>ROW()-ROW(Table_Dialog_Options[N])</f>
        <v>60</v>
      </c>
      <c r="B130" s="48" t="s">
        <v>3108</v>
      </c>
      <c r="C130" s="52" t="s">
        <v>3109</v>
      </c>
      <c r="D130" s="88" t="s">
        <v>731</v>
      </c>
      <c r="E130" s="52" t="s">
        <v>3110</v>
      </c>
      <c r="F130" s="50" t="s">
        <v>1296</v>
      </c>
      <c r="G130" s="89" t="b">
        <v>0</v>
      </c>
      <c r="H130" s="52" t="s">
        <v>3111</v>
      </c>
    </row>
    <row r="131">
      <c r="A131" s="48">
        <f>ROW()-ROW(Table_Dialog_Options[N])</f>
        <v>61</v>
      </c>
      <c r="B131" s="48" t="s">
        <v>3112</v>
      </c>
      <c r="C131" s="52" t="s">
        <v>3113</v>
      </c>
      <c r="D131" s="88" t="s">
        <v>731</v>
      </c>
      <c r="E131" s="52" t="s">
        <v>3114</v>
      </c>
      <c r="F131" s="50" t="s">
        <v>1296</v>
      </c>
      <c r="G131" s="89" t="b">
        <v>0</v>
      </c>
      <c r="H131" s="52" t="s">
        <v>3115</v>
      </c>
    </row>
    <row r="132">
      <c r="A132" s="48">
        <f>ROW()-ROW(Table_Dialog_Options[N])</f>
        <v>62</v>
      </c>
      <c r="B132" s="48" t="s">
        <v>3116</v>
      </c>
      <c r="C132" s="52" t="s">
        <v>730</v>
      </c>
      <c r="D132" s="88" t="s">
        <v>731</v>
      </c>
      <c r="E132" s="52" t="s">
        <v>734</v>
      </c>
      <c r="F132" s="50" t="s">
        <v>1296</v>
      </c>
      <c r="G132" s="89" t="b">
        <v>0</v>
      </c>
      <c r="H132" s="52" t="s">
        <v>3117</v>
      </c>
    </row>
    <row r="133">
      <c r="A133" s="48">
        <f>ROW()-ROW(Table_Dialog_Options[N])</f>
        <v>63</v>
      </c>
      <c r="B133" s="48" t="s">
        <v>2969</v>
      </c>
      <c r="C133" s="52" t="s">
        <v>730</v>
      </c>
      <c r="D133" s="88" t="s">
        <v>731</v>
      </c>
      <c r="E133" s="52" t="s">
        <v>734</v>
      </c>
      <c r="F133" s="50" t="s">
        <v>2967</v>
      </c>
      <c r="G133" s="89" t="b">
        <v>0</v>
      </c>
      <c r="H133" s="52" t="s">
        <v>3118</v>
      </c>
    </row>
    <row r="134">
      <c r="A134" s="48">
        <f>ROW()-ROW(Table_Dialog_Options[N])</f>
        <v>64</v>
      </c>
      <c r="B134" s="48" t="s">
        <v>2970</v>
      </c>
      <c r="C134" s="52" t="s">
        <v>730</v>
      </c>
      <c r="D134" s="88" t="s">
        <v>731</v>
      </c>
      <c r="E134" s="52" t="s">
        <v>734</v>
      </c>
      <c r="F134" s="50" t="s">
        <v>1296</v>
      </c>
      <c r="G134" s="89" t="b">
        <v>0</v>
      </c>
      <c r="H134" s="52" t="s">
        <v>3119</v>
      </c>
    </row>
    <row r="135">
      <c r="A135" s="48">
        <f>ROW()-ROW(Table_Dialog_Options[N])</f>
        <v>65</v>
      </c>
      <c r="B135" s="48" t="s">
        <v>1543</v>
      </c>
      <c r="C135" s="52" t="s">
        <v>730</v>
      </c>
      <c r="D135" s="88" t="s">
        <v>731</v>
      </c>
      <c r="E135" s="52" t="s">
        <v>734</v>
      </c>
      <c r="F135" s="50" t="s">
        <v>2971</v>
      </c>
      <c r="G135" s="89" t="b">
        <v>0</v>
      </c>
      <c r="H135" s="52" t="s">
        <v>3120</v>
      </c>
    </row>
    <row r="136">
      <c r="A136" s="48">
        <f>ROW()-ROW(Table_Dialog_Options[N])</f>
        <v>66</v>
      </c>
      <c r="B136" s="48" t="s">
        <v>3121</v>
      </c>
      <c r="C136" s="52" t="s">
        <v>730</v>
      </c>
      <c r="D136" s="88" t="s">
        <v>731</v>
      </c>
      <c r="E136" s="52" t="s">
        <v>1544</v>
      </c>
      <c r="F136" s="50" t="s">
        <v>1296</v>
      </c>
      <c r="G136" s="89" t="b">
        <v>0</v>
      </c>
      <c r="H136" s="52" t="s">
        <v>3122</v>
      </c>
    </row>
    <row r="137">
      <c r="A137" s="48">
        <f>ROW()-ROW(Table_Dialog_Options[N])</f>
        <v>67</v>
      </c>
      <c r="B137" s="48" t="s">
        <v>3123</v>
      </c>
      <c r="C137" s="52" t="s">
        <v>730</v>
      </c>
      <c r="D137" s="88" t="s">
        <v>731</v>
      </c>
      <c r="E137" s="52" t="s">
        <v>734</v>
      </c>
      <c r="F137" s="50" t="s">
        <v>1296</v>
      </c>
      <c r="G137" s="89" t="b">
        <v>0</v>
      </c>
      <c r="H137" s="52" t="s">
        <v>3124</v>
      </c>
    </row>
    <row r="138">
      <c r="A138" s="48">
        <f>ROW()-ROW(Table_Dialog_Options[N])</f>
        <v>68</v>
      </c>
      <c r="B138" s="48" t="s">
        <v>3125</v>
      </c>
      <c r="C138" s="52" t="s">
        <v>730</v>
      </c>
      <c r="D138" s="88" t="s">
        <v>731</v>
      </c>
      <c r="E138" s="52" t="s">
        <v>734</v>
      </c>
      <c r="F138" s="50" t="s">
        <v>1552</v>
      </c>
      <c r="G138" s="89" t="b">
        <v>0</v>
      </c>
      <c r="H138" s="52" t="s">
        <v>3126</v>
      </c>
    </row>
    <row r="139">
      <c r="A139" s="48">
        <f>ROW()-ROW(Table_Dialog_Options[N])</f>
        <v>69</v>
      </c>
      <c r="B139" s="48" t="s">
        <v>3127</v>
      </c>
      <c r="C139" s="52" t="s">
        <v>730</v>
      </c>
      <c r="D139" s="88" t="s">
        <v>731</v>
      </c>
      <c r="E139" s="52" t="s">
        <v>3105</v>
      </c>
      <c r="F139" s="50" t="s">
        <v>1296</v>
      </c>
      <c r="G139" s="89" t="b">
        <v>0</v>
      </c>
      <c r="H139" s="52" t="s">
        <v>3124</v>
      </c>
    </row>
    <row r="140">
      <c r="A140" s="48">
        <f>ROW()-ROW(Table_Dialog_Options[N])</f>
        <v>70</v>
      </c>
      <c r="B140" s="48" t="s">
        <v>2975</v>
      </c>
      <c r="C140" s="52" t="s">
        <v>730</v>
      </c>
      <c r="D140" s="88" t="s">
        <v>731</v>
      </c>
      <c r="E140" s="52" t="s">
        <v>3128</v>
      </c>
      <c r="F140" s="50" t="s">
        <v>1296</v>
      </c>
      <c r="G140" s="89" t="b">
        <v>0</v>
      </c>
      <c r="H140" s="52" t="s">
        <v>3129</v>
      </c>
    </row>
    <row r="141">
      <c r="A141" s="48">
        <f>ROW()-ROW(Table_Dialog_Options[N])</f>
        <v>71</v>
      </c>
      <c r="B141" s="48" t="s">
        <v>3130</v>
      </c>
      <c r="C141" s="52" t="s">
        <v>1556</v>
      </c>
      <c r="D141" s="88" t="s">
        <v>731</v>
      </c>
      <c r="E141" s="52" t="s">
        <v>3131</v>
      </c>
      <c r="F141" s="50" t="s">
        <v>1296</v>
      </c>
      <c r="G141" s="89" t="b">
        <v>0</v>
      </c>
      <c r="H141" s="52" t="s">
        <v>3132</v>
      </c>
    </row>
    <row r="142">
      <c r="A142" s="48">
        <f>ROW()-ROW(Table_Dialog_Options[N])</f>
        <v>72</v>
      </c>
      <c r="B142" s="48" t="s">
        <v>2976</v>
      </c>
      <c r="C142" s="52" t="s">
        <v>730</v>
      </c>
      <c r="D142" s="88" t="s">
        <v>731</v>
      </c>
      <c r="E142" s="52" t="s">
        <v>3133</v>
      </c>
      <c r="F142" s="50" t="s">
        <v>1296</v>
      </c>
      <c r="G142" s="89" t="b">
        <v>0</v>
      </c>
      <c r="H142" s="52" t="s">
        <v>3134</v>
      </c>
    </row>
    <row r="143">
      <c r="A143" s="48">
        <f>ROW()-ROW(Table_Dialog_Options[N])</f>
        <v>73</v>
      </c>
      <c r="B143" s="48" t="s">
        <v>2977</v>
      </c>
      <c r="C143" s="52" t="s">
        <v>730</v>
      </c>
      <c r="D143" s="88" t="s">
        <v>731</v>
      </c>
      <c r="E143" s="52" t="s">
        <v>3135</v>
      </c>
      <c r="F143" s="50" t="s">
        <v>1296</v>
      </c>
      <c r="G143" s="89" t="b">
        <v>0</v>
      </c>
      <c r="H143" s="52" t="s">
        <v>3136</v>
      </c>
    </row>
    <row r="144">
      <c r="A144" s="48">
        <f>ROW()-ROW(Table_Dialog_Options[N])</f>
        <v>74</v>
      </c>
      <c r="B144" s="48" t="s">
        <v>2979</v>
      </c>
      <c r="C144" s="52" t="s">
        <v>730</v>
      </c>
      <c r="D144" s="88" t="s">
        <v>731</v>
      </c>
      <c r="E144" s="52" t="s">
        <v>1592</v>
      </c>
      <c r="F144" s="50" t="s">
        <v>1296</v>
      </c>
      <c r="G144" s="89" t="b">
        <v>0</v>
      </c>
      <c r="H144" s="52" t="s">
        <v>3137</v>
      </c>
    </row>
    <row r="145">
      <c r="A145" s="48">
        <f>ROW()-ROW(Table_Dialog_Options[N])</f>
        <v>75</v>
      </c>
      <c r="B145" s="48" t="s">
        <v>3138</v>
      </c>
      <c r="C145" s="52" t="s">
        <v>730</v>
      </c>
      <c r="D145" s="88" t="s">
        <v>731</v>
      </c>
      <c r="E145" s="52" t="s">
        <v>734</v>
      </c>
      <c r="F145" s="50" t="s">
        <v>2980</v>
      </c>
      <c r="G145" s="89" t="b">
        <v>0</v>
      </c>
      <c r="H145" s="52" t="s">
        <v>3139</v>
      </c>
    </row>
    <row r="146">
      <c r="A146" s="48">
        <f>ROW()-ROW(Table_Dialog_Options[N])</f>
        <v>76</v>
      </c>
      <c r="B146" s="48" t="s">
        <v>3140</v>
      </c>
      <c r="C146" s="52" t="s">
        <v>730</v>
      </c>
      <c r="D146" s="88" t="s">
        <v>731</v>
      </c>
      <c r="E146" s="52" t="s">
        <v>734</v>
      </c>
      <c r="F146" s="50" t="s">
        <v>2980</v>
      </c>
      <c r="G146" s="89" t="b">
        <v>0</v>
      </c>
      <c r="H146" s="52" t="s">
        <v>3141</v>
      </c>
    </row>
    <row r="147">
      <c r="A147" s="48">
        <f>ROW()-ROW(Table_Dialog_Options[N])</f>
        <v>77</v>
      </c>
      <c r="B147" s="48" t="s">
        <v>3142</v>
      </c>
      <c r="C147" s="52" t="s">
        <v>730</v>
      </c>
      <c r="D147" s="88" t="s">
        <v>731</v>
      </c>
      <c r="E147" s="52" t="s">
        <v>734</v>
      </c>
      <c r="F147" s="50" t="s">
        <v>2980</v>
      </c>
      <c r="G147" s="89" t="b">
        <v>0</v>
      </c>
      <c r="H147" s="52" t="s">
        <v>3143</v>
      </c>
    </row>
    <row r="148">
      <c r="A148" s="48">
        <f>ROW()-ROW(Table_Dialog_Options[N])</f>
        <v>78</v>
      </c>
      <c r="B148" s="48" t="s">
        <v>3144</v>
      </c>
      <c r="C148" s="52" t="s">
        <v>730</v>
      </c>
      <c r="D148" s="88" t="s">
        <v>731</v>
      </c>
      <c r="E148" s="52" t="s">
        <v>734</v>
      </c>
      <c r="F148" s="50" t="s">
        <v>2980</v>
      </c>
      <c r="G148" s="89" t="b">
        <v>0</v>
      </c>
      <c r="H148" s="52" t="s">
        <v>3145</v>
      </c>
    </row>
    <row r="149" ht="165.0" customHeight="1">
      <c r="A149" s="48">
        <f>ROW()-ROW(Table_Dialog_Options[N])</f>
        <v>79</v>
      </c>
      <c r="B149" s="48" t="s">
        <v>3146</v>
      </c>
      <c r="C149" s="52" t="s">
        <v>730</v>
      </c>
      <c r="D149" s="88" t="s">
        <v>731</v>
      </c>
      <c r="E149" s="52" t="s">
        <v>3147</v>
      </c>
      <c r="F149" s="50" t="s">
        <v>1296</v>
      </c>
      <c r="G149" s="89" t="b">
        <v>0</v>
      </c>
      <c r="H149" s="52" t="s">
        <v>3148</v>
      </c>
    </row>
    <row r="150">
      <c r="A150" s="48">
        <f>ROW()-ROW(Table_Dialog_Options[N])</f>
        <v>80</v>
      </c>
      <c r="B150" s="48" t="s">
        <v>2983</v>
      </c>
      <c r="C150" s="52" t="s">
        <v>730</v>
      </c>
      <c r="D150" s="88" t="s">
        <v>731</v>
      </c>
      <c r="E150" s="52" t="s">
        <v>734</v>
      </c>
      <c r="F150" s="50" t="s">
        <v>2980</v>
      </c>
      <c r="G150" s="89" t="b">
        <v>0</v>
      </c>
      <c r="H150" s="52" t="s">
        <v>3149</v>
      </c>
    </row>
    <row r="151">
      <c r="A151" s="48">
        <f>ROW()-ROW(Table_Dialog_Options[N])</f>
        <v>81</v>
      </c>
      <c r="B151" s="48" t="s">
        <v>2985</v>
      </c>
      <c r="C151" s="52" t="s">
        <v>730</v>
      </c>
      <c r="D151" s="88" t="s">
        <v>731</v>
      </c>
      <c r="E151" s="52" t="s">
        <v>3150</v>
      </c>
      <c r="F151" s="50" t="s">
        <v>1296</v>
      </c>
      <c r="G151" s="89" t="b">
        <v>0</v>
      </c>
      <c r="H151" s="52" t="s">
        <v>3151</v>
      </c>
    </row>
    <row r="152">
      <c r="A152" s="48">
        <f>ROW()-ROW(Table_Dialog_Options[N])</f>
        <v>82</v>
      </c>
      <c r="B152" s="48" t="s">
        <v>2986</v>
      </c>
      <c r="C152" s="52" t="s">
        <v>730</v>
      </c>
      <c r="D152" s="88" t="s">
        <v>731</v>
      </c>
      <c r="E152" s="52" t="s">
        <v>1620</v>
      </c>
      <c r="F152" s="50" t="s">
        <v>1296</v>
      </c>
      <c r="G152" s="89" t="b">
        <v>0</v>
      </c>
      <c r="H152" s="52" t="s">
        <v>3152</v>
      </c>
    </row>
    <row r="153">
      <c r="A153" s="48">
        <f>ROW()-ROW(Table_Dialog_Options[N])</f>
        <v>83</v>
      </c>
      <c r="B153" s="48" t="s">
        <v>2987</v>
      </c>
      <c r="C153" s="52" t="s">
        <v>730</v>
      </c>
      <c r="D153" s="88" t="s">
        <v>731</v>
      </c>
      <c r="E153" s="52" t="s">
        <v>1622</v>
      </c>
      <c r="F153" s="50" t="s">
        <v>1296</v>
      </c>
      <c r="G153" s="89" t="b">
        <v>0</v>
      </c>
      <c r="H153" s="52" t="s">
        <v>3153</v>
      </c>
    </row>
    <row r="154">
      <c r="A154" s="48">
        <f>ROW()-ROW(Table_Dialog_Options[N])</f>
        <v>84</v>
      </c>
      <c r="B154" s="48" t="s">
        <v>2988</v>
      </c>
      <c r="C154" s="52" t="s">
        <v>730</v>
      </c>
      <c r="D154" s="88" t="s">
        <v>731</v>
      </c>
      <c r="E154" s="52" t="s">
        <v>3154</v>
      </c>
      <c r="F154" s="50" t="s">
        <v>1296</v>
      </c>
      <c r="G154" s="89" t="b">
        <v>0</v>
      </c>
      <c r="H154" s="52" t="s">
        <v>3155</v>
      </c>
    </row>
    <row r="155">
      <c r="A155" s="48">
        <f>ROW()-ROW(Table_Dialog_Options[N])</f>
        <v>85</v>
      </c>
      <c r="B155" s="48" t="s">
        <v>2989</v>
      </c>
      <c r="C155" s="52" t="s">
        <v>730</v>
      </c>
      <c r="D155" s="88" t="s">
        <v>731</v>
      </c>
      <c r="E155" s="52" t="s">
        <v>734</v>
      </c>
      <c r="F155" s="50" t="s">
        <v>1296</v>
      </c>
      <c r="G155" s="89" t="b">
        <v>0</v>
      </c>
      <c r="H155" s="52" t="s">
        <v>3156</v>
      </c>
    </row>
    <row r="156">
      <c r="A156" s="48">
        <f>ROW()-ROW(Table_Dialog_Options[N])</f>
        <v>86</v>
      </c>
      <c r="B156" s="48" t="s">
        <v>2991</v>
      </c>
      <c r="C156" s="52" t="s">
        <v>730</v>
      </c>
      <c r="D156" s="88" t="s">
        <v>731</v>
      </c>
      <c r="E156" s="52" t="s">
        <v>734</v>
      </c>
      <c r="F156" s="50" t="s">
        <v>1296</v>
      </c>
      <c r="G156" s="89" t="b">
        <v>0</v>
      </c>
      <c r="H156" s="52" t="s">
        <v>3157</v>
      </c>
    </row>
    <row r="157">
      <c r="A157" s="48">
        <f>ROW()-ROW(Table_Dialog_Options[N])</f>
        <v>87</v>
      </c>
      <c r="B157" s="48" t="s">
        <v>2993</v>
      </c>
      <c r="C157" s="52" t="s">
        <v>730</v>
      </c>
      <c r="D157" s="88" t="s">
        <v>731</v>
      </c>
      <c r="E157" s="52" t="s">
        <v>3158</v>
      </c>
      <c r="F157" s="50" t="s">
        <v>1296</v>
      </c>
      <c r="G157" s="89" t="b">
        <v>0</v>
      </c>
      <c r="H157" s="52" t="s">
        <v>3159</v>
      </c>
    </row>
    <row r="158">
      <c r="A158" s="48">
        <f>ROW()-ROW(Table_Dialog_Options[N])</f>
        <v>88</v>
      </c>
      <c r="B158" s="48" t="s">
        <v>2994</v>
      </c>
      <c r="C158" s="52" t="s">
        <v>730</v>
      </c>
      <c r="D158" s="88" t="s">
        <v>731</v>
      </c>
      <c r="E158" s="52" t="s">
        <v>3160</v>
      </c>
      <c r="F158" s="50" t="s">
        <v>1296</v>
      </c>
      <c r="G158" s="89" t="b">
        <v>0</v>
      </c>
      <c r="H158" s="52" t="s">
        <v>3161</v>
      </c>
    </row>
    <row r="159">
      <c r="A159" s="48">
        <f>ROW()-ROW(Table_Dialog_Options[N])</f>
        <v>89</v>
      </c>
      <c r="B159" s="48" t="s">
        <v>2996</v>
      </c>
      <c r="C159" s="52" t="s">
        <v>730</v>
      </c>
      <c r="D159" s="88" t="s">
        <v>731</v>
      </c>
      <c r="E159" s="52" t="s">
        <v>3162</v>
      </c>
      <c r="F159" s="50" t="s">
        <v>1296</v>
      </c>
      <c r="G159" s="89" t="b">
        <v>0</v>
      </c>
      <c r="H159" s="52" t="s">
        <v>3163</v>
      </c>
    </row>
    <row r="160">
      <c r="A160" s="48">
        <f>ROW()-ROW(Table_Dialog_Options[N])</f>
        <v>90</v>
      </c>
      <c r="B160" s="48" t="s">
        <v>2997</v>
      </c>
      <c r="C160" s="52" t="s">
        <v>730</v>
      </c>
      <c r="D160" s="88" t="s">
        <v>731</v>
      </c>
      <c r="E160" s="52" t="s">
        <v>734</v>
      </c>
      <c r="F160" s="50" t="s">
        <v>1296</v>
      </c>
      <c r="G160" s="89" t="b">
        <v>0</v>
      </c>
      <c r="H160" s="52" t="s">
        <v>3164</v>
      </c>
    </row>
    <row r="161">
      <c r="A161" s="48">
        <f>ROW()-ROW(Table_Dialog_Options[N])</f>
        <v>91</v>
      </c>
      <c r="B161" s="48" t="s">
        <v>2998</v>
      </c>
      <c r="C161" s="52" t="s">
        <v>730</v>
      </c>
      <c r="D161" s="88" t="s">
        <v>731</v>
      </c>
      <c r="E161" s="52" t="s">
        <v>734</v>
      </c>
      <c r="F161" s="50" t="s">
        <v>1296</v>
      </c>
      <c r="G161" s="89" t="b">
        <v>0</v>
      </c>
      <c r="H161" s="52" t="s">
        <v>3165</v>
      </c>
    </row>
    <row r="162">
      <c r="A162" s="48">
        <f>ROW()-ROW(Table_Dialog_Options[N])</f>
        <v>92</v>
      </c>
      <c r="B162" s="48" t="s">
        <v>2999</v>
      </c>
      <c r="C162" s="52" t="s">
        <v>730</v>
      </c>
      <c r="D162" s="88" t="s">
        <v>731</v>
      </c>
      <c r="E162" s="52" t="s">
        <v>3166</v>
      </c>
      <c r="F162" s="50" t="s">
        <v>1296</v>
      </c>
      <c r="G162" s="89" t="b">
        <v>0</v>
      </c>
      <c r="H162" s="52" t="s">
        <v>3167</v>
      </c>
    </row>
    <row r="163">
      <c r="A163" s="48">
        <f>ROW()-ROW(Table_Dialog_Options[N])</f>
        <v>93</v>
      </c>
      <c r="B163" s="48" t="s">
        <v>3000</v>
      </c>
      <c r="C163" s="52" t="s">
        <v>730</v>
      </c>
      <c r="D163" s="88" t="s">
        <v>731</v>
      </c>
      <c r="E163" s="52" t="s">
        <v>734</v>
      </c>
      <c r="F163" s="50" t="s">
        <v>1296</v>
      </c>
      <c r="G163" s="89" t="b">
        <v>0</v>
      </c>
      <c r="H163" s="52" t="s">
        <v>3168</v>
      </c>
    </row>
    <row r="164">
      <c r="A164" s="48">
        <f>ROW()-ROW(Table_Dialog_Options[N])</f>
        <v>94</v>
      </c>
      <c r="B164" s="48" t="s">
        <v>1803</v>
      </c>
      <c r="C164" s="52" t="s">
        <v>1790</v>
      </c>
      <c r="D164" s="88" t="s">
        <v>731</v>
      </c>
      <c r="E164" s="52" t="s">
        <v>3169</v>
      </c>
      <c r="F164" s="50" t="s">
        <v>1296</v>
      </c>
      <c r="G164" s="89" t="b">
        <v>0</v>
      </c>
      <c r="H164" s="52" t="s">
        <v>3170</v>
      </c>
    </row>
    <row r="165">
      <c r="A165" s="48">
        <f>ROW()-ROW(Table_Dialog_Options[N])</f>
        <v>95</v>
      </c>
      <c r="B165" s="48" t="s">
        <v>3001</v>
      </c>
      <c r="C165" s="52" t="s">
        <v>730</v>
      </c>
      <c r="D165" s="88" t="s">
        <v>731</v>
      </c>
      <c r="E165" s="52" t="s">
        <v>734</v>
      </c>
      <c r="F165" s="50" t="s">
        <v>1296</v>
      </c>
      <c r="G165" s="89" t="b">
        <v>0</v>
      </c>
      <c r="H165" s="52" t="s">
        <v>3171</v>
      </c>
    </row>
    <row r="166">
      <c r="A166" s="48">
        <f>ROW()-ROW(Table_Dialog_Options[N])</f>
        <v>96</v>
      </c>
      <c r="B166" s="48" t="s">
        <v>3003</v>
      </c>
      <c r="C166" s="52" t="s">
        <v>730</v>
      </c>
      <c r="D166" s="88" t="s">
        <v>731</v>
      </c>
      <c r="E166" s="52" t="s">
        <v>734</v>
      </c>
      <c r="F166" s="50" t="s">
        <v>1975</v>
      </c>
      <c r="G166" s="89" t="b">
        <v>0</v>
      </c>
      <c r="H166" s="52" t="s">
        <v>3172</v>
      </c>
    </row>
    <row r="167">
      <c r="A167" s="48">
        <f>ROW()-ROW(Table_Dialog_Options[N])</f>
        <v>97</v>
      </c>
      <c r="B167" s="48" t="s">
        <v>1976</v>
      </c>
      <c r="C167" s="52" t="s">
        <v>1973</v>
      </c>
      <c r="D167" s="88" t="s">
        <v>731</v>
      </c>
      <c r="E167" s="52" t="s">
        <v>1977</v>
      </c>
      <c r="F167" s="50" t="s">
        <v>1975</v>
      </c>
      <c r="G167" s="89" t="b">
        <v>0</v>
      </c>
      <c r="H167" s="52" t="s">
        <v>3173</v>
      </c>
    </row>
    <row r="168">
      <c r="A168" s="48">
        <f>ROW()-ROW(Table_Dialog_Options[N])</f>
        <v>98</v>
      </c>
      <c r="B168" s="48" t="s">
        <v>3174</v>
      </c>
      <c r="C168" s="52" t="s">
        <v>730</v>
      </c>
      <c r="D168" s="88" t="s">
        <v>731</v>
      </c>
      <c r="E168" s="52" t="s">
        <v>734</v>
      </c>
      <c r="F168" s="50" t="s">
        <v>1975</v>
      </c>
      <c r="G168" s="89" t="b">
        <v>0</v>
      </c>
      <c r="H168" s="52" t="s">
        <v>3175</v>
      </c>
    </row>
    <row r="169">
      <c r="A169" s="48">
        <f>ROW()-ROW(Table_Dialog_Options[N])</f>
        <v>99</v>
      </c>
      <c r="B169" s="48" t="s">
        <v>3176</v>
      </c>
      <c r="C169" s="52" t="s">
        <v>730</v>
      </c>
      <c r="D169" s="88" t="s">
        <v>731</v>
      </c>
      <c r="E169" s="52" t="s">
        <v>3177</v>
      </c>
      <c r="F169" s="50" t="s">
        <v>1296</v>
      </c>
      <c r="G169" s="89" t="b">
        <v>0</v>
      </c>
      <c r="H169" s="52" t="s">
        <v>3178</v>
      </c>
    </row>
    <row r="170">
      <c r="A170" s="48">
        <f>ROW()-ROW(Table_Dialog_Options[N])</f>
        <v>100</v>
      </c>
      <c r="B170" s="48" t="s">
        <v>3179</v>
      </c>
      <c r="C170" s="49" t="s">
        <v>730</v>
      </c>
      <c r="D170" s="88" t="s">
        <v>731</v>
      </c>
      <c r="E170" s="52" t="s">
        <v>734</v>
      </c>
      <c r="F170" s="50" t="s">
        <v>1296</v>
      </c>
      <c r="G170" s="89" t="b">
        <v>0</v>
      </c>
      <c r="H170" s="49" t="s">
        <v>1298</v>
      </c>
    </row>
  </sheetData>
  <dataValidations>
    <dataValidation type="list" allowBlank="1" sqref="C2:C67 E70:E170">
      <formula1>#REF!</formula1>
    </dataValidation>
    <dataValidation type="list" allowBlank="1" sqref="C70:C170">
      <formula1>#REF!</formula1>
    </dataValidation>
    <dataValidation type="list" allowBlank="1" sqref="D2:D67">
      <formula1>#REF!</formula1>
    </dataValidation>
    <dataValidation type="list" allowBlank="1" sqref="H70:H170">
      <formula1>#REF!</formula1>
    </dataValidation>
    <dataValidation type="list" allowBlank="1" sqref="D70:D170">
      <formula1>#REF!</formula1>
    </dataValidation>
    <dataValidation type="list" allowBlank="1" sqref="F70:F170">
      <formula1>Table_Dialogs[DIALOG_ID]</formula1>
    </dataValidation>
  </dataValidations>
  <drawing r:id="rId2"/>
  <legacyDrawing r:id="rId3"/>
  <tableParts count="2">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33.43"/>
    <col customWidth="1" min="3" max="3" width="45.43"/>
    <col customWidth="1" min="4" max="4" width="48.43"/>
  </cols>
  <sheetData>
    <row r="1">
      <c r="A1" s="1" t="s">
        <v>49</v>
      </c>
      <c r="B1" s="1" t="s">
        <v>3180</v>
      </c>
      <c r="C1" s="90" t="s">
        <v>3181</v>
      </c>
    </row>
    <row r="2">
      <c r="A2" s="48">
        <f>ROW()-ROW(Table_Decisions[N])</f>
        <v>0</v>
      </c>
      <c r="B2" s="48" t="s">
        <v>1295</v>
      </c>
      <c r="C2" s="52" t="s">
        <v>3182</v>
      </c>
    </row>
    <row r="3">
      <c r="A3" s="48">
        <f>ROW()-ROW(Table_Decisions[N])</f>
        <v>1</v>
      </c>
      <c r="B3" s="48" t="s">
        <v>1335</v>
      </c>
      <c r="C3" s="52" t="s">
        <v>3183</v>
      </c>
    </row>
    <row r="4">
      <c r="A4" s="48">
        <f>ROW()-ROW(Table_Decisions[N])</f>
        <v>2</v>
      </c>
      <c r="B4" s="48" t="s">
        <v>3184</v>
      </c>
      <c r="C4" s="52" t="s">
        <v>3185</v>
      </c>
    </row>
    <row r="6">
      <c r="A6" s="1" t="s">
        <v>49</v>
      </c>
      <c r="B6" s="1" t="s">
        <v>3186</v>
      </c>
      <c r="C6" s="1" t="s">
        <v>3187</v>
      </c>
      <c r="D6" s="64" t="s">
        <v>3008</v>
      </c>
    </row>
    <row r="7">
      <c r="A7" s="87">
        <f>ROW()-ROW(Table_Decision_Options[N])</f>
        <v>0</v>
      </c>
      <c r="B7" s="48" t="s">
        <v>3182</v>
      </c>
      <c r="C7" s="50" t="s">
        <v>1298</v>
      </c>
      <c r="D7" s="91" t="s">
        <v>734</v>
      </c>
    </row>
    <row r="8">
      <c r="A8" s="87">
        <f>ROW()-ROW(Table_Decision_Options[N])</f>
        <v>1</v>
      </c>
      <c r="B8" s="48" t="s">
        <v>3188</v>
      </c>
      <c r="C8" s="50" t="s">
        <v>3189</v>
      </c>
      <c r="D8" s="91" t="s">
        <v>734</v>
      </c>
    </row>
    <row r="9">
      <c r="A9" s="87">
        <f>ROW()-ROW(Table_Decision_Options[N])</f>
        <v>2</v>
      </c>
      <c r="B9" s="48" t="s">
        <v>3190</v>
      </c>
      <c r="C9" s="50" t="s">
        <v>3191</v>
      </c>
      <c r="D9" s="91" t="s">
        <v>1306</v>
      </c>
    </row>
    <row r="10">
      <c r="A10" s="87">
        <f>ROW()-ROW(Table_Decision_Options[N])</f>
        <v>3</v>
      </c>
      <c r="B10" s="48" t="s">
        <v>3192</v>
      </c>
      <c r="C10" s="50" t="s">
        <v>3193</v>
      </c>
      <c r="D10" s="91" t="s">
        <v>1308</v>
      </c>
    </row>
    <row r="11">
      <c r="A11" s="87">
        <f>ROW()-ROW(Table_Decision_Options[N])</f>
        <v>4</v>
      </c>
      <c r="B11" s="48" t="s">
        <v>3185</v>
      </c>
      <c r="C11" s="50" t="s">
        <v>1298</v>
      </c>
      <c r="D11" s="91" t="s">
        <v>734</v>
      </c>
    </row>
  </sheetData>
  <dataValidations>
    <dataValidation type="list" allowBlank="1" sqref="C2:C4 D7:D11">
      <formula1>#REF!</formula1>
    </dataValidation>
    <dataValidation type="list" allowBlank="1" sqref="C7:C11">
      <formula1>#REF!</formula1>
    </dataValidation>
  </dataValidations>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sheetPr>
  <sheetViews>
    <sheetView workbookViewId="0"/>
  </sheetViews>
  <sheetFormatPr customHeight="1" defaultColWidth="14.43" defaultRowHeight="15.0"/>
  <cols>
    <col customWidth="1" min="2" max="2" width="36.57"/>
    <col customWidth="1" min="3" max="3" width="26.43"/>
    <col customWidth="1" min="4" max="4" width="35.43"/>
  </cols>
  <sheetData>
    <row r="1">
      <c r="A1" s="92" t="s">
        <v>49</v>
      </c>
      <c r="B1" s="93" t="s">
        <v>3194</v>
      </c>
      <c r="C1" s="92" t="s">
        <v>3195</v>
      </c>
      <c r="D1" s="92" t="s">
        <v>3196</v>
      </c>
    </row>
    <row r="2">
      <c r="A2" s="30">
        <f>ROW()-ROW(Table_Name[NAME_ID])</f>
        <v>0</v>
      </c>
      <c r="B2" s="30" t="s">
        <v>362</v>
      </c>
      <c r="C2" s="94"/>
      <c r="D2" s="94"/>
    </row>
    <row r="3">
      <c r="A3" s="30">
        <f>ROW()-ROW(Table_Name[NAME_ID])</f>
        <v>1</v>
      </c>
      <c r="B3" s="30" t="s">
        <v>368</v>
      </c>
      <c r="C3" s="30" t="s">
        <v>3197</v>
      </c>
      <c r="D3" s="30" t="s">
        <v>3197</v>
      </c>
    </row>
    <row r="4">
      <c r="A4" s="30">
        <f>ROW()-ROW(Table_Name[NAME_ID])</f>
        <v>2</v>
      </c>
      <c r="B4" s="30" t="s">
        <v>3198</v>
      </c>
      <c r="C4" s="30" t="s">
        <v>3199</v>
      </c>
      <c r="D4" s="30" t="s">
        <v>3200</v>
      </c>
    </row>
    <row r="5">
      <c r="A5" s="30">
        <f>ROW()-ROW(Table_Name[NAME_ID])</f>
        <v>3</v>
      </c>
      <c r="B5" s="30" t="s">
        <v>3201</v>
      </c>
      <c r="C5" s="30" t="s">
        <v>3202</v>
      </c>
      <c r="D5" s="30" t="s">
        <v>3203</v>
      </c>
    </row>
    <row r="6">
      <c r="A6" s="30">
        <f>ROW()-ROW(Table_Name[NAME_ID])</f>
        <v>4</v>
      </c>
      <c r="B6" s="30" t="s">
        <v>3204</v>
      </c>
      <c r="C6" s="30" t="s">
        <v>3205</v>
      </c>
      <c r="D6" s="30" t="s">
        <v>3206</v>
      </c>
    </row>
    <row r="7">
      <c r="A7" s="30">
        <f>ROW()-ROW(Table_Name[NAME_ID])</f>
        <v>5</v>
      </c>
      <c r="B7" s="30" t="s">
        <v>373</v>
      </c>
      <c r="C7" s="30" t="s">
        <v>3207</v>
      </c>
      <c r="D7" s="30" t="s">
        <v>3208</v>
      </c>
    </row>
    <row r="8">
      <c r="A8" s="30">
        <f>ROW()-ROW(Table_Name[NAME_ID])</f>
        <v>6</v>
      </c>
      <c r="B8" s="30" t="s">
        <v>393</v>
      </c>
      <c r="C8" s="30" t="s">
        <v>3209</v>
      </c>
      <c r="D8" s="30" t="s">
        <v>3209</v>
      </c>
    </row>
    <row r="9">
      <c r="A9" s="30">
        <f>ROW()-ROW(Table_Name[NAME_ID])</f>
        <v>7</v>
      </c>
      <c r="B9" s="30" t="s">
        <v>400</v>
      </c>
      <c r="C9" s="30" t="s">
        <v>3210</v>
      </c>
      <c r="D9" s="30" t="s">
        <v>3211</v>
      </c>
    </row>
    <row r="10">
      <c r="A10" s="30">
        <f>ROW()-ROW(Table_Name[NAME_ID])</f>
        <v>8</v>
      </c>
      <c r="B10" s="30" t="s">
        <v>379</v>
      </c>
      <c r="C10" s="30" t="s">
        <v>3212</v>
      </c>
      <c r="D10" s="30" t="s">
        <v>3213</v>
      </c>
    </row>
    <row r="11">
      <c r="A11" s="30">
        <f>ROW()-ROW(Table_Name[NAME_ID])</f>
        <v>9</v>
      </c>
      <c r="B11" s="30" t="s">
        <v>3214</v>
      </c>
      <c r="C11" s="30" t="s">
        <v>3215</v>
      </c>
      <c r="D11" s="30" t="s">
        <v>3216</v>
      </c>
    </row>
    <row r="12">
      <c r="A12" s="30">
        <f>ROW()-ROW(Table_Name[NAME_ID])</f>
        <v>10</v>
      </c>
      <c r="B12" s="30" t="s">
        <v>3217</v>
      </c>
      <c r="C12" s="30" t="s">
        <v>3218</v>
      </c>
      <c r="D12" s="30" t="s">
        <v>3219</v>
      </c>
    </row>
    <row r="13">
      <c r="A13" s="30">
        <f>ROW()-ROW(Table_Name[NAME_ID])</f>
        <v>11</v>
      </c>
      <c r="B13" s="30" t="s">
        <v>384</v>
      </c>
      <c r="C13" s="30" t="s">
        <v>3220</v>
      </c>
      <c r="D13" s="30" t="s">
        <v>3221</v>
      </c>
    </row>
    <row r="14">
      <c r="A14" s="30">
        <f>ROW()-ROW(Table_Name[NAME_ID])</f>
        <v>12</v>
      </c>
      <c r="B14" s="30" t="s">
        <v>391</v>
      </c>
      <c r="C14" s="30" t="s">
        <v>3222</v>
      </c>
      <c r="D14" s="30" t="s">
        <v>3223</v>
      </c>
    </row>
    <row r="15">
      <c r="A15" s="30">
        <f>ROW()-ROW(Table_Name[NAME_ID])</f>
        <v>13</v>
      </c>
      <c r="B15" s="30" t="s">
        <v>651</v>
      </c>
      <c r="C15" s="30" t="s">
        <v>3224</v>
      </c>
      <c r="D15" s="30" t="s">
        <v>3225</v>
      </c>
    </row>
    <row r="16">
      <c r="A16" s="30">
        <f>ROW()-ROW(Table_Name[NAME_ID])</f>
        <v>14</v>
      </c>
      <c r="B16" s="30" t="s">
        <v>402</v>
      </c>
      <c r="C16" s="30" t="s">
        <v>3226</v>
      </c>
      <c r="D16" s="30" t="s">
        <v>3227</v>
      </c>
    </row>
    <row r="17">
      <c r="A17" s="30">
        <f>ROW()-ROW(Table_Name[NAME_ID])</f>
        <v>15</v>
      </c>
      <c r="B17" s="30" t="s">
        <v>407</v>
      </c>
      <c r="C17" s="30" t="s">
        <v>3228</v>
      </c>
      <c r="D17" s="30" t="s">
        <v>3229</v>
      </c>
    </row>
    <row r="18">
      <c r="A18" s="30">
        <f>ROW()-ROW(Table_Name[NAME_ID])</f>
        <v>16</v>
      </c>
      <c r="B18" s="30" t="s">
        <v>409</v>
      </c>
      <c r="C18" s="30" t="s">
        <v>3230</v>
      </c>
      <c r="D18" s="30" t="s">
        <v>3231</v>
      </c>
    </row>
    <row r="19">
      <c r="A19" s="30">
        <f>ROW()-ROW(Table_Name[NAME_ID])</f>
        <v>17</v>
      </c>
      <c r="B19" s="30" t="s">
        <v>413</v>
      </c>
      <c r="C19" s="30" t="s">
        <v>3232</v>
      </c>
      <c r="D19" s="30" t="s">
        <v>3233</v>
      </c>
    </row>
    <row r="20">
      <c r="A20" s="30">
        <f>ROW()-ROW(Table_Name[NAME_ID])</f>
        <v>18</v>
      </c>
      <c r="B20" s="30" t="s">
        <v>416</v>
      </c>
      <c r="C20" s="30" t="s">
        <v>3234</v>
      </c>
      <c r="D20" s="30" t="s">
        <v>3235</v>
      </c>
    </row>
    <row r="21">
      <c r="A21" s="30">
        <f>ROW()-ROW(Table_Name[NAME_ID])</f>
        <v>19</v>
      </c>
      <c r="B21" s="30" t="s">
        <v>419</v>
      </c>
      <c r="C21" s="30" t="s">
        <v>3236</v>
      </c>
      <c r="D21" s="30" t="s">
        <v>3237</v>
      </c>
    </row>
    <row r="22">
      <c r="A22" s="30">
        <f>ROW()-ROW(Table_Name[NAME_ID])</f>
        <v>20</v>
      </c>
      <c r="B22" s="30" t="s">
        <v>421</v>
      </c>
      <c r="C22" s="30" t="s">
        <v>3238</v>
      </c>
      <c r="D22" s="30" t="s">
        <v>3239</v>
      </c>
    </row>
    <row r="23">
      <c r="A23" s="30">
        <f>ROW()-ROW(Table_Name[NAME_ID])</f>
        <v>21</v>
      </c>
      <c r="B23" s="30" t="s">
        <v>423</v>
      </c>
      <c r="C23" s="30" t="s">
        <v>3240</v>
      </c>
      <c r="D23" s="30" t="s">
        <v>3241</v>
      </c>
    </row>
    <row r="24">
      <c r="A24" s="30">
        <f>ROW()-ROW(Table_Name[NAME_ID])</f>
        <v>22</v>
      </c>
      <c r="B24" s="30" t="s">
        <v>425</v>
      </c>
      <c r="C24" s="30" t="s">
        <v>3242</v>
      </c>
      <c r="D24" s="30" t="s">
        <v>3243</v>
      </c>
    </row>
    <row r="25">
      <c r="A25" s="30">
        <f>ROW()-ROW(Table_Name[NAME_ID])</f>
        <v>23</v>
      </c>
      <c r="B25" s="30" t="s">
        <v>429</v>
      </c>
      <c r="C25" s="30" t="s">
        <v>3244</v>
      </c>
      <c r="D25" s="30" t="s">
        <v>3245</v>
      </c>
    </row>
    <row r="26">
      <c r="A26" s="30">
        <f>ROW()-ROW(Table_Name[NAME_ID])</f>
        <v>24</v>
      </c>
      <c r="B26" s="30" t="s">
        <v>433</v>
      </c>
      <c r="C26" s="30" t="s">
        <v>3246</v>
      </c>
      <c r="D26" s="30" t="s">
        <v>3247</v>
      </c>
    </row>
    <row r="27">
      <c r="A27" s="30">
        <f>ROW()-ROW(Table_Name[NAME_ID])</f>
        <v>25</v>
      </c>
      <c r="B27" s="30" t="s">
        <v>438</v>
      </c>
      <c r="C27" s="30" t="s">
        <v>3248</v>
      </c>
      <c r="D27" s="30" t="s">
        <v>3249</v>
      </c>
    </row>
    <row r="28">
      <c r="A28" s="30">
        <f>ROW()-ROW(Table_Name[NAME_ID])</f>
        <v>26</v>
      </c>
      <c r="B28" s="30" t="s">
        <v>440</v>
      </c>
      <c r="C28" s="30" t="s">
        <v>3250</v>
      </c>
      <c r="D28" s="30" t="s">
        <v>3251</v>
      </c>
    </row>
    <row r="29">
      <c r="A29" s="30">
        <f>ROW()-ROW(Table_Name[NAME_ID])</f>
        <v>27</v>
      </c>
      <c r="B29" s="30" t="s">
        <v>444</v>
      </c>
      <c r="C29" s="30" t="s">
        <v>3252</v>
      </c>
      <c r="D29" s="30" t="s">
        <v>3253</v>
      </c>
    </row>
    <row r="30">
      <c r="A30" s="30">
        <f>ROW()-ROW(Table_Name[NAME_ID])</f>
        <v>28</v>
      </c>
      <c r="B30" s="30" t="s">
        <v>714</v>
      </c>
      <c r="C30" s="30" t="s">
        <v>3254</v>
      </c>
      <c r="D30" s="30" t="s">
        <v>3255</v>
      </c>
    </row>
    <row r="31">
      <c r="A31" s="30">
        <f>ROW()-ROW(Table_Name[NAME_ID])</f>
        <v>29</v>
      </c>
      <c r="B31" s="30" t="s">
        <v>449</v>
      </c>
      <c r="C31" s="30" t="s">
        <v>3256</v>
      </c>
      <c r="D31" s="30" t="s">
        <v>3257</v>
      </c>
    </row>
    <row r="32">
      <c r="A32" s="30">
        <f>ROW()-ROW(Table_Name[NAME_ID])</f>
        <v>30</v>
      </c>
      <c r="B32" s="30" t="s">
        <v>451</v>
      </c>
      <c r="C32" s="30" t="s">
        <v>3258</v>
      </c>
      <c r="D32" s="30" t="s">
        <v>3259</v>
      </c>
    </row>
    <row r="33">
      <c r="A33" s="30">
        <f>ROW()-ROW(Table_Name[NAME_ID])</f>
        <v>31</v>
      </c>
      <c r="B33" s="30" t="s">
        <v>3260</v>
      </c>
      <c r="C33" s="30" t="s">
        <v>46</v>
      </c>
      <c r="D33" s="30" t="s">
        <v>3261</v>
      </c>
    </row>
    <row r="34">
      <c r="A34" s="30">
        <f>ROW()-ROW(Table_Name[NAME_ID])</f>
        <v>32</v>
      </c>
      <c r="B34" s="30" t="s">
        <v>455</v>
      </c>
      <c r="C34" s="30" t="s">
        <v>3262</v>
      </c>
      <c r="D34" s="30" t="s">
        <v>3263</v>
      </c>
    </row>
    <row r="35">
      <c r="A35" s="30">
        <f>ROW()-ROW(Table_Name[NAME_ID])</f>
        <v>33</v>
      </c>
      <c r="B35" s="30" t="s">
        <v>459</v>
      </c>
      <c r="C35" s="30" t="s">
        <v>3264</v>
      </c>
      <c r="D35" s="30" t="s">
        <v>3265</v>
      </c>
    </row>
    <row r="36">
      <c r="A36" s="30">
        <f>ROW()-ROW(Table_Name[NAME_ID])</f>
        <v>34</v>
      </c>
      <c r="B36" s="30" t="s">
        <v>462</v>
      </c>
      <c r="C36" s="30" t="s">
        <v>3266</v>
      </c>
      <c r="D36" s="30" t="s">
        <v>3267</v>
      </c>
    </row>
    <row r="37">
      <c r="A37" s="30">
        <f>ROW()-ROW(Table_Name[NAME_ID])</f>
        <v>35</v>
      </c>
      <c r="B37" s="30" t="s">
        <v>467</v>
      </c>
      <c r="C37" s="30" t="s">
        <v>3268</v>
      </c>
      <c r="D37" s="30" t="s">
        <v>3269</v>
      </c>
    </row>
    <row r="38">
      <c r="A38" s="30">
        <f>ROW()-ROW(Table_Name[NAME_ID])</f>
        <v>36</v>
      </c>
      <c r="B38" s="30" t="s">
        <v>472</v>
      </c>
      <c r="C38" s="30" t="s">
        <v>3270</v>
      </c>
      <c r="D38" s="30" t="s">
        <v>3271</v>
      </c>
    </row>
    <row r="39">
      <c r="A39" s="30">
        <f>ROW()-ROW(Table_Name[NAME_ID])</f>
        <v>37</v>
      </c>
      <c r="B39" s="30" t="s">
        <v>476</v>
      </c>
      <c r="C39" s="30" t="s">
        <v>3272</v>
      </c>
      <c r="D39" s="30" t="s">
        <v>3272</v>
      </c>
    </row>
    <row r="40">
      <c r="A40" s="30">
        <f>ROW()-ROW(Table_Name[NAME_ID])</f>
        <v>38</v>
      </c>
      <c r="B40" s="30" t="s">
        <v>480</v>
      </c>
      <c r="C40" s="30" t="s">
        <v>3273</v>
      </c>
      <c r="D40" s="30" t="s">
        <v>3274</v>
      </c>
    </row>
    <row r="41">
      <c r="A41" s="30">
        <f>ROW()-ROW(Table_Name[NAME_ID])</f>
        <v>39</v>
      </c>
      <c r="B41" s="30" t="s">
        <v>484</v>
      </c>
      <c r="C41" s="30" t="s">
        <v>3275</v>
      </c>
      <c r="D41" s="30" t="s">
        <v>3276</v>
      </c>
    </row>
    <row r="42">
      <c r="A42" s="30">
        <f>ROW()-ROW(Table_Name[NAME_ID])</f>
        <v>40</v>
      </c>
      <c r="B42" s="30" t="s">
        <v>487</v>
      </c>
      <c r="C42" s="30" t="s">
        <v>3277</v>
      </c>
      <c r="D42" s="30" t="s">
        <v>3278</v>
      </c>
    </row>
    <row r="43">
      <c r="A43" s="30">
        <f>ROW()-ROW(Table_Name[NAME_ID])</f>
        <v>41</v>
      </c>
      <c r="B43" s="30" t="s">
        <v>491</v>
      </c>
      <c r="C43" s="30" t="s">
        <v>3277</v>
      </c>
      <c r="D43" s="30" t="s">
        <v>3279</v>
      </c>
    </row>
    <row r="44">
      <c r="A44" s="30">
        <f>ROW()-ROW(Table_Name[NAME_ID])</f>
        <v>42</v>
      </c>
      <c r="B44" s="30" t="s">
        <v>495</v>
      </c>
      <c r="C44" s="30" t="s">
        <v>3280</v>
      </c>
      <c r="D44" s="30" t="s">
        <v>3280</v>
      </c>
    </row>
    <row r="45">
      <c r="A45" s="30">
        <f>ROW()-ROW(Table_Name[NAME_ID])</f>
        <v>43</v>
      </c>
      <c r="B45" s="30" t="s">
        <v>503</v>
      </c>
      <c r="C45" s="30" t="s">
        <v>3281</v>
      </c>
      <c r="D45" s="30" t="s">
        <v>3282</v>
      </c>
    </row>
    <row r="46">
      <c r="A46" s="30">
        <f>ROW()-ROW(Table_Name[NAME_ID])</f>
        <v>44</v>
      </c>
      <c r="B46" s="30" t="s">
        <v>509</v>
      </c>
      <c r="C46" s="30" t="s">
        <v>3283</v>
      </c>
      <c r="D46" s="30" t="s">
        <v>3284</v>
      </c>
    </row>
    <row r="47">
      <c r="A47" s="30">
        <f>ROW()-ROW(Table_Name[NAME_ID])</f>
        <v>45</v>
      </c>
      <c r="B47" s="30" t="s">
        <v>512</v>
      </c>
      <c r="C47" s="30" t="s">
        <v>3285</v>
      </c>
      <c r="D47" s="30" t="s">
        <v>3286</v>
      </c>
    </row>
    <row r="48">
      <c r="A48" s="30">
        <f>ROW()-ROW(Table_Name[NAME_ID])</f>
        <v>46</v>
      </c>
      <c r="B48" s="30" t="s">
        <v>516</v>
      </c>
      <c r="C48" s="30" t="s">
        <v>3287</v>
      </c>
      <c r="D48" s="30" t="s">
        <v>3288</v>
      </c>
    </row>
    <row r="49">
      <c r="A49" s="30">
        <f>ROW()-ROW(Table_Name[NAME_ID])</f>
        <v>47</v>
      </c>
      <c r="B49" s="30" t="s">
        <v>522</v>
      </c>
      <c r="C49" s="30" t="s">
        <v>3289</v>
      </c>
      <c r="D49" s="30" t="s">
        <v>3290</v>
      </c>
    </row>
    <row r="50">
      <c r="A50" s="30">
        <f>ROW()-ROW(Table_Name[NAME_ID])</f>
        <v>48</v>
      </c>
      <c r="B50" s="30" t="s">
        <v>526</v>
      </c>
      <c r="C50" s="30" t="s">
        <v>3291</v>
      </c>
      <c r="D50" s="30" t="s">
        <v>3291</v>
      </c>
    </row>
    <row r="51">
      <c r="A51" s="30">
        <f>ROW()-ROW(Table_Name[NAME_ID])</f>
        <v>49</v>
      </c>
      <c r="B51" s="30" t="s">
        <v>532</v>
      </c>
      <c r="C51" s="30" t="s">
        <v>3292</v>
      </c>
      <c r="D51" s="30" t="s">
        <v>3293</v>
      </c>
    </row>
    <row r="52">
      <c r="A52" s="30">
        <f>ROW()-ROW(Table_Name[NAME_ID])</f>
        <v>50</v>
      </c>
      <c r="B52" s="30" t="s">
        <v>535</v>
      </c>
      <c r="C52" s="30" t="s">
        <v>3294</v>
      </c>
      <c r="D52" s="30" t="s">
        <v>3295</v>
      </c>
    </row>
    <row r="53">
      <c r="A53" s="30">
        <f>ROW()-ROW(Table_Name[NAME_ID])</f>
        <v>51</v>
      </c>
      <c r="B53" s="30" t="s">
        <v>539</v>
      </c>
      <c r="C53" s="30" t="s">
        <v>3296</v>
      </c>
      <c r="D53" s="30" t="s">
        <v>3297</v>
      </c>
    </row>
    <row r="54">
      <c r="A54" s="30">
        <f>ROW()-ROW(Table_Name[NAME_ID])</f>
        <v>52</v>
      </c>
      <c r="B54" s="30" t="s">
        <v>543</v>
      </c>
      <c r="C54" s="30" t="s">
        <v>3294</v>
      </c>
      <c r="D54" s="30" t="s">
        <v>3298</v>
      </c>
    </row>
    <row r="55">
      <c r="A55" s="30">
        <f>ROW()-ROW(Table_Name[NAME_ID])</f>
        <v>53</v>
      </c>
      <c r="B55" s="30" t="s">
        <v>547</v>
      </c>
      <c r="C55" s="30" t="s">
        <v>3299</v>
      </c>
      <c r="D55" s="30" t="s">
        <v>3300</v>
      </c>
    </row>
    <row r="56">
      <c r="A56" s="30">
        <f>ROW()-ROW(Table_Name[NAME_ID])</f>
        <v>54</v>
      </c>
      <c r="B56" s="30" t="s">
        <v>550</v>
      </c>
      <c r="C56" s="30" t="s">
        <v>3301</v>
      </c>
      <c r="D56" s="30" t="s">
        <v>3302</v>
      </c>
    </row>
    <row r="57">
      <c r="A57" s="30">
        <f>ROW()-ROW(Table_Name[NAME_ID])</f>
        <v>55</v>
      </c>
      <c r="B57" s="30" t="s">
        <v>559</v>
      </c>
      <c r="C57" s="30" t="s">
        <v>3303</v>
      </c>
      <c r="D57" s="30" t="s">
        <v>3304</v>
      </c>
    </row>
    <row r="58">
      <c r="A58" s="30">
        <f>ROW()-ROW(Table_Name[NAME_ID])</f>
        <v>56</v>
      </c>
      <c r="B58" s="30" t="s">
        <v>565</v>
      </c>
      <c r="C58" s="30" t="s">
        <v>3305</v>
      </c>
      <c r="D58" s="30" t="s">
        <v>3305</v>
      </c>
    </row>
    <row r="59">
      <c r="A59" s="30">
        <f>ROW()-ROW(Table_Name[NAME_ID])</f>
        <v>57</v>
      </c>
      <c r="B59" s="30" t="s">
        <v>3306</v>
      </c>
      <c r="C59" s="30" t="s">
        <v>3307</v>
      </c>
      <c r="D59" s="30" t="s">
        <v>3308</v>
      </c>
    </row>
    <row r="60">
      <c r="A60" s="30">
        <f>ROW()-ROW(Table_Name[NAME_ID])</f>
        <v>58</v>
      </c>
      <c r="B60" s="30" t="s">
        <v>568</v>
      </c>
      <c r="C60" s="30" t="s">
        <v>3309</v>
      </c>
      <c r="D60" s="30" t="s">
        <v>3310</v>
      </c>
    </row>
    <row r="61">
      <c r="A61" s="30">
        <f>ROW()-ROW(Table_Name[NAME_ID])</f>
        <v>59</v>
      </c>
      <c r="B61" s="30" t="s">
        <v>571</v>
      </c>
      <c r="C61" s="30" t="s">
        <v>3311</v>
      </c>
      <c r="D61" s="30" t="s">
        <v>3312</v>
      </c>
    </row>
    <row r="62">
      <c r="A62" s="30">
        <f>ROW()-ROW(Table_Name[NAME_ID])</f>
        <v>60</v>
      </c>
      <c r="B62" s="30" t="s">
        <v>574</v>
      </c>
      <c r="C62" s="30" t="s">
        <v>3313</v>
      </c>
      <c r="D62" s="30" t="s">
        <v>3313</v>
      </c>
    </row>
    <row r="63">
      <c r="A63" s="30">
        <f>ROW()-ROW(Table_Name[NAME_ID])</f>
        <v>61</v>
      </c>
      <c r="B63" s="30" t="s">
        <v>578</v>
      </c>
      <c r="C63" s="30" t="s">
        <v>3314</v>
      </c>
      <c r="D63" s="30" t="s">
        <v>3314</v>
      </c>
    </row>
    <row r="64">
      <c r="A64" s="30">
        <f>ROW()-ROW(Table_Name[NAME_ID])</f>
        <v>62</v>
      </c>
      <c r="B64" s="30" t="s">
        <v>582</v>
      </c>
      <c r="C64" s="30" t="s">
        <v>3315</v>
      </c>
      <c r="D64" s="30" t="s">
        <v>3315</v>
      </c>
    </row>
    <row r="65">
      <c r="A65" s="30">
        <f>ROW()-ROW(Table_Name[NAME_ID])</f>
        <v>63</v>
      </c>
      <c r="B65" s="30" t="s">
        <v>589</v>
      </c>
      <c r="C65" s="30" t="s">
        <v>3316</v>
      </c>
      <c r="D65" s="30" t="s">
        <v>3317</v>
      </c>
    </row>
    <row r="66">
      <c r="A66" s="30">
        <f>ROW()-ROW(Table_Name[NAME_ID])</f>
        <v>64</v>
      </c>
      <c r="B66" s="30" t="s">
        <v>593</v>
      </c>
      <c r="C66" s="30" t="s">
        <v>3318</v>
      </c>
      <c r="D66" s="30" t="s">
        <v>3319</v>
      </c>
    </row>
    <row r="67">
      <c r="A67" s="30">
        <f>ROW()-ROW(Table_Name[NAME_ID])</f>
        <v>65</v>
      </c>
      <c r="B67" s="30" t="s">
        <v>601</v>
      </c>
      <c r="C67" s="30" t="s">
        <v>3320</v>
      </c>
      <c r="D67" s="30" t="s">
        <v>3321</v>
      </c>
    </row>
    <row r="68">
      <c r="A68" s="30">
        <f>ROW()-ROW(Table_Name[NAME_ID])</f>
        <v>66</v>
      </c>
      <c r="B68" s="30" t="s">
        <v>604</v>
      </c>
      <c r="C68" s="30" t="s">
        <v>3322</v>
      </c>
      <c r="D68" s="30" t="s">
        <v>3323</v>
      </c>
    </row>
    <row r="69">
      <c r="A69" s="30">
        <f>ROW()-ROW(Table_Name[NAME_ID])</f>
        <v>67</v>
      </c>
      <c r="B69" s="30" t="s">
        <v>609</v>
      </c>
      <c r="C69" s="30" t="s">
        <v>3324</v>
      </c>
      <c r="D69" s="30" t="s">
        <v>3325</v>
      </c>
    </row>
    <row r="70">
      <c r="A70" s="30">
        <f>ROW()-ROW(Table_Name[NAME_ID])</f>
        <v>68</v>
      </c>
      <c r="B70" s="30" t="s">
        <v>613</v>
      </c>
      <c r="C70" s="30" t="s">
        <v>3326</v>
      </c>
      <c r="D70" s="30" t="s">
        <v>3327</v>
      </c>
    </row>
    <row r="71">
      <c r="A71" s="30">
        <f>ROW()-ROW(Table_Name[NAME_ID])</f>
        <v>69</v>
      </c>
      <c r="B71" s="30" t="s">
        <v>619</v>
      </c>
      <c r="C71" s="30" t="s">
        <v>3328</v>
      </c>
      <c r="D71" s="30" t="s">
        <v>3329</v>
      </c>
    </row>
    <row r="72">
      <c r="A72" s="30">
        <f>ROW()-ROW(Table_Name[NAME_ID])</f>
        <v>70</v>
      </c>
      <c r="B72" s="30" t="s">
        <v>622</v>
      </c>
      <c r="C72" s="30" t="s">
        <v>3330</v>
      </c>
      <c r="D72" s="30" t="s">
        <v>3331</v>
      </c>
    </row>
    <row r="73">
      <c r="A73" s="30">
        <f>ROW()-ROW(Table_Name[NAME_ID])</f>
        <v>71</v>
      </c>
      <c r="B73" s="30" t="s">
        <v>628</v>
      </c>
      <c r="C73" s="30" t="s">
        <v>3332</v>
      </c>
      <c r="D73" s="30" t="s">
        <v>3333</v>
      </c>
    </row>
    <row r="74">
      <c r="A74" s="30">
        <f>ROW()-ROW(Table_Name[NAME_ID])</f>
        <v>72</v>
      </c>
      <c r="B74" s="30" t="s">
        <v>633</v>
      </c>
      <c r="C74" s="30" t="s">
        <v>3334</v>
      </c>
      <c r="D74" s="30" t="s">
        <v>3335</v>
      </c>
    </row>
    <row r="75">
      <c r="A75" s="30">
        <f>ROW()-ROW(Table_Name[NAME_ID])</f>
        <v>73</v>
      </c>
      <c r="B75" s="30" t="s">
        <v>637</v>
      </c>
      <c r="C75" s="30" t="s">
        <v>3336</v>
      </c>
      <c r="D75" s="30" t="s">
        <v>3337</v>
      </c>
    </row>
    <row r="76">
      <c r="A76" s="30">
        <f>ROW()-ROW(Table_Name[NAME_ID])</f>
        <v>74</v>
      </c>
      <c r="B76" s="30" t="s">
        <v>640</v>
      </c>
      <c r="C76" s="30" t="s">
        <v>3338</v>
      </c>
      <c r="D76" s="30" t="s">
        <v>3339</v>
      </c>
    </row>
    <row r="77">
      <c r="A77" s="30">
        <f>ROW()-ROW(Table_Name[NAME_ID])</f>
        <v>75</v>
      </c>
      <c r="B77" s="30" t="s">
        <v>648</v>
      </c>
      <c r="C77" s="30" t="s">
        <v>3340</v>
      </c>
      <c r="D77" s="30" t="s">
        <v>3341</v>
      </c>
    </row>
    <row r="78">
      <c r="A78" s="30">
        <f>ROW()-ROW(Table_Name[NAME_ID])</f>
        <v>76</v>
      </c>
      <c r="B78" s="30" t="s">
        <v>655</v>
      </c>
      <c r="C78" s="30" t="s">
        <v>3342</v>
      </c>
      <c r="D78" s="30" t="s">
        <v>3343</v>
      </c>
    </row>
    <row r="79">
      <c r="A79" s="30">
        <f>ROW()-ROW(Table_Name[NAME_ID])</f>
        <v>77</v>
      </c>
      <c r="B79" s="30" t="s">
        <v>659</v>
      </c>
      <c r="C79" s="30" t="s">
        <v>3344</v>
      </c>
      <c r="D79" s="30" t="s">
        <v>3345</v>
      </c>
    </row>
    <row r="80">
      <c r="A80" s="30">
        <f>ROW()-ROW(Table_Name[NAME_ID])</f>
        <v>78</v>
      </c>
      <c r="B80" s="30" t="s">
        <v>663</v>
      </c>
      <c r="C80" s="30" t="s">
        <v>3346</v>
      </c>
      <c r="D80" s="30" t="s">
        <v>3347</v>
      </c>
    </row>
    <row r="81">
      <c r="A81" s="30">
        <f>ROW()-ROW(Table_Name[NAME_ID])</f>
        <v>79</v>
      </c>
      <c r="B81" s="30" t="s">
        <v>666</v>
      </c>
      <c r="C81" s="30" t="s">
        <v>3348</v>
      </c>
      <c r="D81" s="30" t="s">
        <v>3349</v>
      </c>
    </row>
    <row r="82">
      <c r="A82" s="30">
        <f>ROW()-ROW(Table_Name[NAME_ID])</f>
        <v>80</v>
      </c>
      <c r="B82" s="30" t="s">
        <v>669</v>
      </c>
      <c r="C82" s="30" t="s">
        <v>3350</v>
      </c>
      <c r="D82" s="30" t="s">
        <v>3351</v>
      </c>
    </row>
    <row r="83">
      <c r="A83" s="30">
        <f>ROW()-ROW(Table_Name[NAME_ID])</f>
        <v>81</v>
      </c>
      <c r="B83" s="30" t="s">
        <v>673</v>
      </c>
      <c r="C83" s="30" t="s">
        <v>3352</v>
      </c>
      <c r="D83" s="30" t="s">
        <v>3353</v>
      </c>
    </row>
    <row r="84">
      <c r="A84" s="30">
        <f>ROW()-ROW(Table_Name[NAME_ID])</f>
        <v>82</v>
      </c>
      <c r="B84" s="30" t="s">
        <v>677</v>
      </c>
      <c r="C84" s="30" t="s">
        <v>3354</v>
      </c>
      <c r="D84" s="30" t="s">
        <v>3355</v>
      </c>
    </row>
    <row r="85">
      <c r="A85" s="30">
        <f>ROW()-ROW(Table_Name[NAME_ID])</f>
        <v>83</v>
      </c>
      <c r="B85" s="30" t="s">
        <v>681</v>
      </c>
      <c r="C85" s="30" t="s">
        <v>3356</v>
      </c>
      <c r="D85" s="30" t="s">
        <v>3357</v>
      </c>
    </row>
    <row r="86">
      <c r="A86" s="30">
        <f>ROW()-ROW(Table_Name[NAME_ID])</f>
        <v>84</v>
      </c>
      <c r="B86" s="30" t="s">
        <v>685</v>
      </c>
      <c r="C86" s="30" t="s">
        <v>3358</v>
      </c>
      <c r="D86" s="30" t="s">
        <v>3359</v>
      </c>
    </row>
    <row r="87">
      <c r="A87" s="30">
        <f>ROW()-ROW(Table_Name[NAME_ID])</f>
        <v>85</v>
      </c>
      <c r="B87" s="30" t="s">
        <v>11</v>
      </c>
      <c r="C87" s="30" t="s">
        <v>3360</v>
      </c>
      <c r="D87" s="30" t="s">
        <v>3361</v>
      </c>
    </row>
    <row r="88">
      <c r="A88" s="30">
        <f>ROW()-ROW(Table_Name[NAME_ID])</f>
        <v>86</v>
      </c>
      <c r="B88" s="30" t="s">
        <v>3362</v>
      </c>
      <c r="C88" s="30" t="s">
        <v>3363</v>
      </c>
      <c r="D88" s="30" t="s">
        <v>3364</v>
      </c>
    </row>
    <row r="89">
      <c r="A89" s="30">
        <f>ROW()-ROW(Table_Name[NAME_ID])</f>
        <v>87</v>
      </c>
      <c r="B89" s="30" t="s">
        <v>696</v>
      </c>
      <c r="C89" s="30" t="s">
        <v>3365</v>
      </c>
      <c r="D89" s="30" t="s">
        <v>3366</v>
      </c>
    </row>
    <row r="90">
      <c r="A90" s="30">
        <f>ROW()-ROW(Table_Name[NAME_ID])</f>
        <v>88</v>
      </c>
      <c r="B90" s="30" t="s">
        <v>700</v>
      </c>
      <c r="C90" s="30" t="s">
        <v>3367</v>
      </c>
      <c r="D90" s="30" t="s">
        <v>3368</v>
      </c>
    </row>
    <row r="91">
      <c r="A91" s="30">
        <f>ROW()-ROW(Table_Name[NAME_ID])</f>
        <v>89</v>
      </c>
      <c r="B91" s="30" t="s">
        <v>708</v>
      </c>
      <c r="C91" s="30" t="s">
        <v>3369</v>
      </c>
      <c r="D91" s="30" t="s">
        <v>3370</v>
      </c>
    </row>
    <row r="92">
      <c r="A92" s="30">
        <f>ROW()-ROW(Table_Name[NAME_ID])</f>
        <v>90</v>
      </c>
      <c r="B92" s="30" t="s">
        <v>710</v>
      </c>
      <c r="C92" s="30" t="s">
        <v>3371</v>
      </c>
      <c r="D92" s="30" t="s">
        <v>3372</v>
      </c>
    </row>
    <row r="93">
      <c r="A93" s="30">
        <f>ROW()-ROW(Table_Name[NAME_ID])</f>
        <v>91</v>
      </c>
      <c r="B93" s="30" t="s">
        <v>717</v>
      </c>
      <c r="C93" s="30" t="s">
        <v>3373</v>
      </c>
      <c r="D93" s="30" t="s">
        <v>3374</v>
      </c>
    </row>
    <row r="94">
      <c r="A94" s="30">
        <f>ROW()-ROW(Table_Name[NAME_ID])</f>
        <v>92</v>
      </c>
      <c r="B94" s="30" t="s">
        <v>720</v>
      </c>
      <c r="C94" s="30" t="s">
        <v>3375</v>
      </c>
      <c r="D94" s="30" t="s">
        <v>3376</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4.43" defaultRowHeight="15.0"/>
  <cols>
    <col customWidth="1" min="2" max="2" width="65.43"/>
    <col customWidth="1" min="3" max="3" width="15.57"/>
    <col customWidth="1" min="4" max="4" width="62.86"/>
    <col customWidth="1" min="5" max="5" width="41.14"/>
    <col customWidth="1" min="6" max="6" width="41.57"/>
    <col customWidth="1" min="7" max="7" width="34.14"/>
    <col customWidth="1" min="8" max="8" width="50.29"/>
    <col customWidth="1" min="9" max="9" width="58.43"/>
    <col customWidth="1" min="10" max="10" width="32.86"/>
    <col customWidth="1" min="11" max="11" width="24.14"/>
  </cols>
  <sheetData>
    <row r="1">
      <c r="A1" s="1" t="s">
        <v>49</v>
      </c>
      <c r="B1" s="1" t="s">
        <v>3377</v>
      </c>
      <c r="C1" s="2" t="s">
        <v>3378</v>
      </c>
      <c r="D1" s="1" t="s">
        <v>3379</v>
      </c>
      <c r="E1" s="29" t="s">
        <v>3380</v>
      </c>
      <c r="F1" s="2" t="s">
        <v>3381</v>
      </c>
      <c r="G1" s="2" t="s">
        <v>3382</v>
      </c>
      <c r="H1" s="1" t="s">
        <v>3383</v>
      </c>
      <c r="I1" s="95" t="s">
        <v>3384</v>
      </c>
    </row>
    <row r="2">
      <c r="A2" s="48">
        <f>ROW()-ROW(Table_Phrases[N])</f>
        <v>0</v>
      </c>
      <c r="B2" s="48" t="s">
        <v>1298</v>
      </c>
      <c r="C2" s="48">
        <v>0.0</v>
      </c>
      <c r="D2" s="50" t="s">
        <v>1301</v>
      </c>
      <c r="E2" s="63" t="s">
        <v>1299</v>
      </c>
      <c r="F2" s="50" t="s">
        <v>1299</v>
      </c>
      <c r="G2" s="50" t="s">
        <v>1299</v>
      </c>
      <c r="H2" s="96"/>
      <c r="I2" s="49"/>
    </row>
    <row r="3">
      <c r="A3" s="48">
        <f>ROW()-ROW(Table_Phrases[N])</f>
        <v>1</v>
      </c>
      <c r="B3" s="48" t="s">
        <v>1465</v>
      </c>
      <c r="C3" s="48">
        <v>0.0</v>
      </c>
      <c r="D3" s="50" t="s">
        <v>2202</v>
      </c>
      <c r="E3" s="63" t="s">
        <v>3385</v>
      </c>
      <c r="F3" s="50" t="s">
        <v>1299</v>
      </c>
      <c r="G3" s="50" t="s">
        <v>1299</v>
      </c>
      <c r="H3" s="49" t="s">
        <v>3386</v>
      </c>
      <c r="I3" s="49" t="s">
        <v>3387</v>
      </c>
    </row>
    <row r="4">
      <c r="A4" s="48">
        <f>ROW()-ROW(Table_Phrases[N])</f>
        <v>2</v>
      </c>
      <c r="B4" s="48" t="s">
        <v>1461</v>
      </c>
      <c r="C4" s="48">
        <v>0.0</v>
      </c>
      <c r="D4" s="50" t="s">
        <v>2204</v>
      </c>
      <c r="E4" s="63" t="s">
        <v>3385</v>
      </c>
      <c r="F4" s="50" t="s">
        <v>1299</v>
      </c>
      <c r="G4" s="50" t="s">
        <v>1299</v>
      </c>
      <c r="H4" s="49" t="s">
        <v>3388</v>
      </c>
      <c r="I4" s="49" t="s">
        <v>3389</v>
      </c>
    </row>
    <row r="5">
      <c r="A5" s="48">
        <f>ROW()-ROW(Table_Phrases[N])</f>
        <v>3</v>
      </c>
      <c r="B5" s="48" t="s">
        <v>1463</v>
      </c>
      <c r="C5" s="48">
        <v>0.0</v>
      </c>
      <c r="D5" s="50" t="s">
        <v>2206</v>
      </c>
      <c r="E5" s="63" t="s">
        <v>3385</v>
      </c>
      <c r="F5" s="50" t="s">
        <v>1299</v>
      </c>
      <c r="G5" s="50" t="s">
        <v>1299</v>
      </c>
      <c r="H5" s="49" t="s">
        <v>3390</v>
      </c>
      <c r="I5" s="49" t="s">
        <v>3391</v>
      </c>
    </row>
    <row r="6">
      <c r="A6" s="48">
        <v>4.0</v>
      </c>
      <c r="B6" s="48" t="s">
        <v>1831</v>
      </c>
      <c r="C6" s="48">
        <v>0.0</v>
      </c>
      <c r="D6" s="50" t="s">
        <v>2800</v>
      </c>
      <c r="E6" s="63" t="s">
        <v>3385</v>
      </c>
      <c r="F6" s="50" t="s">
        <v>1299</v>
      </c>
      <c r="G6" s="50" t="s">
        <v>1299</v>
      </c>
      <c r="H6" s="49" t="s">
        <v>3392</v>
      </c>
      <c r="I6" s="49" t="s">
        <v>3393</v>
      </c>
    </row>
    <row r="7">
      <c r="A7" s="48">
        <f>ROW()-ROW(Table_Phrases[N])</f>
        <v>5</v>
      </c>
      <c r="B7" s="48" t="s">
        <v>3394</v>
      </c>
      <c r="C7" s="48">
        <v>0.0</v>
      </c>
      <c r="D7" s="50" t="s">
        <v>1301</v>
      </c>
      <c r="E7" s="63" t="s">
        <v>3385</v>
      </c>
      <c r="F7" s="50" t="s">
        <v>1299</v>
      </c>
      <c r="G7" s="50" t="s">
        <v>1299</v>
      </c>
      <c r="H7" s="49" t="s">
        <v>3395</v>
      </c>
      <c r="I7" s="49" t="s">
        <v>3396</v>
      </c>
    </row>
    <row r="8">
      <c r="A8" s="48">
        <f>ROW()-ROW(Table_Phrases[N])</f>
        <v>6</v>
      </c>
      <c r="B8" s="48" t="s">
        <v>3397</v>
      </c>
      <c r="C8" s="48">
        <v>0.0</v>
      </c>
      <c r="D8" s="50" t="s">
        <v>1301</v>
      </c>
      <c r="E8" s="63" t="s">
        <v>3385</v>
      </c>
      <c r="F8" s="50" t="s">
        <v>1299</v>
      </c>
      <c r="G8" s="50" t="s">
        <v>1299</v>
      </c>
      <c r="H8" s="49" t="s">
        <v>3398</v>
      </c>
      <c r="I8" s="49" t="s">
        <v>3399</v>
      </c>
    </row>
    <row r="9">
      <c r="A9" s="48">
        <f>ROW()-ROW(Table_Phrases[N])</f>
        <v>7</v>
      </c>
      <c r="B9" s="48" t="s">
        <v>3400</v>
      </c>
      <c r="C9" s="48">
        <v>0.0</v>
      </c>
      <c r="D9" s="50" t="s">
        <v>1301</v>
      </c>
      <c r="E9" s="63" t="s">
        <v>3385</v>
      </c>
      <c r="F9" s="50" t="s">
        <v>1299</v>
      </c>
      <c r="G9" s="50" t="s">
        <v>1299</v>
      </c>
      <c r="H9" s="49" t="s">
        <v>3401</v>
      </c>
      <c r="I9" s="49" t="s">
        <v>3402</v>
      </c>
    </row>
    <row r="10">
      <c r="A10" s="48">
        <f>ROW()-ROW(Table_Phrases[N])</f>
        <v>8</v>
      </c>
      <c r="B10" s="48" t="s">
        <v>3403</v>
      </c>
      <c r="C10" s="48">
        <v>0.0</v>
      </c>
      <c r="D10" s="50" t="s">
        <v>2694</v>
      </c>
      <c r="E10" s="63" t="s">
        <v>3404</v>
      </c>
      <c r="F10" s="50" t="s">
        <v>1925</v>
      </c>
      <c r="G10" s="50" t="s">
        <v>1299</v>
      </c>
      <c r="H10" s="49" t="s">
        <v>3405</v>
      </c>
      <c r="I10" s="49" t="s">
        <v>3406</v>
      </c>
    </row>
    <row r="11">
      <c r="A11" s="48">
        <f>ROW()-ROW(Table_Phrases[N])</f>
        <v>9</v>
      </c>
      <c r="B11" s="48" t="s">
        <v>3407</v>
      </c>
      <c r="C11" s="48">
        <v>1.0</v>
      </c>
      <c r="D11" s="50" t="s">
        <v>2696</v>
      </c>
      <c r="E11" s="63" t="s">
        <v>3408</v>
      </c>
      <c r="F11" s="50" t="s">
        <v>3404</v>
      </c>
      <c r="G11" s="50" t="s">
        <v>1299</v>
      </c>
      <c r="H11" s="49" t="s">
        <v>3409</v>
      </c>
      <c r="I11" s="49" t="s">
        <v>3410</v>
      </c>
    </row>
    <row r="12">
      <c r="A12" s="48">
        <f>ROW()-ROW(Table_Phrases[N])</f>
        <v>10</v>
      </c>
      <c r="B12" s="48" t="s">
        <v>3411</v>
      </c>
      <c r="C12" s="48">
        <v>0.0</v>
      </c>
      <c r="D12" s="50" t="s">
        <v>2698</v>
      </c>
      <c r="E12" s="63" t="s">
        <v>3404</v>
      </c>
      <c r="F12" s="50" t="s">
        <v>1925</v>
      </c>
      <c r="G12" s="50" t="s">
        <v>1299</v>
      </c>
      <c r="H12" s="49" t="s">
        <v>3412</v>
      </c>
      <c r="I12" s="49" t="s">
        <v>3413</v>
      </c>
    </row>
    <row r="13">
      <c r="A13" s="48">
        <f>ROW()-ROW(Table_Phrases[N])</f>
        <v>11</v>
      </c>
      <c r="B13" s="48" t="s">
        <v>3414</v>
      </c>
      <c r="C13" s="48">
        <v>0.0</v>
      </c>
      <c r="D13" s="50" t="s">
        <v>2686</v>
      </c>
      <c r="E13" s="63" t="s">
        <v>3404</v>
      </c>
      <c r="F13" s="50" t="s">
        <v>1925</v>
      </c>
      <c r="G13" s="50" t="s">
        <v>1299</v>
      </c>
      <c r="H13" s="49" t="s">
        <v>3415</v>
      </c>
      <c r="I13" s="49" t="s">
        <v>3416</v>
      </c>
    </row>
    <row r="14">
      <c r="A14" s="48">
        <f>ROW()-ROW(Table_Phrases[N])</f>
        <v>12</v>
      </c>
      <c r="B14" s="48" t="s">
        <v>3417</v>
      </c>
      <c r="C14" s="48">
        <v>1.0</v>
      </c>
      <c r="D14" s="50" t="s">
        <v>2688</v>
      </c>
      <c r="E14" s="63" t="s">
        <v>3408</v>
      </c>
      <c r="F14" s="50" t="s">
        <v>3404</v>
      </c>
      <c r="G14" s="50" t="s">
        <v>1299</v>
      </c>
      <c r="H14" s="49" t="s">
        <v>3418</v>
      </c>
      <c r="I14" s="49" t="s">
        <v>3419</v>
      </c>
    </row>
    <row r="15">
      <c r="A15" s="48">
        <f>ROW()-ROW(Table_Phrases[N])</f>
        <v>13</v>
      </c>
      <c r="B15" s="48" t="s">
        <v>3420</v>
      </c>
      <c r="C15" s="48">
        <v>1.0</v>
      </c>
      <c r="D15" s="50" t="s">
        <v>2690</v>
      </c>
      <c r="E15" s="63" t="s">
        <v>3408</v>
      </c>
      <c r="F15" s="50" t="s">
        <v>3404</v>
      </c>
      <c r="G15" s="50" t="s">
        <v>1299</v>
      </c>
      <c r="H15" s="49" t="s">
        <v>3421</v>
      </c>
      <c r="I15" s="49" t="s">
        <v>3422</v>
      </c>
    </row>
    <row r="16">
      <c r="A16" s="48">
        <f>ROW()-ROW(Table_Phrases[N])</f>
        <v>14</v>
      </c>
      <c r="B16" s="48" t="s">
        <v>3423</v>
      </c>
      <c r="C16" s="48">
        <v>0.0</v>
      </c>
      <c r="D16" s="50" t="s">
        <v>2692</v>
      </c>
      <c r="E16" s="63" t="s">
        <v>3404</v>
      </c>
      <c r="F16" s="50" t="s">
        <v>1925</v>
      </c>
      <c r="G16" s="50" t="s">
        <v>1299</v>
      </c>
      <c r="H16" s="49" t="s">
        <v>3424</v>
      </c>
      <c r="I16" s="49" t="s">
        <v>3424</v>
      </c>
    </row>
    <row r="17">
      <c r="A17" s="48">
        <f>ROW()-ROW(Table_Phrases[N])</f>
        <v>15</v>
      </c>
      <c r="B17" s="48" t="s">
        <v>3425</v>
      </c>
      <c r="C17" s="48">
        <v>1.0</v>
      </c>
      <c r="D17" s="50" t="s">
        <v>2712</v>
      </c>
      <c r="E17" s="63" t="s">
        <v>3408</v>
      </c>
      <c r="F17" s="50" t="s">
        <v>3404</v>
      </c>
      <c r="G17" s="50" t="s">
        <v>1299</v>
      </c>
      <c r="H17" s="49" t="s">
        <v>3426</v>
      </c>
      <c r="I17" s="49" t="s">
        <v>3426</v>
      </c>
    </row>
    <row r="18">
      <c r="A18" s="48">
        <f>ROW()-ROW(Table_Phrases[N])</f>
        <v>16</v>
      </c>
      <c r="B18" s="48" t="s">
        <v>3018</v>
      </c>
      <c r="C18" s="48">
        <v>0.0</v>
      </c>
      <c r="D18" s="50" t="s">
        <v>2714</v>
      </c>
      <c r="E18" s="63" t="s">
        <v>3404</v>
      </c>
      <c r="F18" s="50" t="s">
        <v>3408</v>
      </c>
      <c r="G18" s="50" t="s">
        <v>1299</v>
      </c>
      <c r="H18" s="49" t="s">
        <v>3427</v>
      </c>
      <c r="I18" s="49" t="s">
        <v>3428</v>
      </c>
    </row>
    <row r="19">
      <c r="A19" s="48">
        <f>ROW()-ROW(Table_Phrases[N])</f>
        <v>17</v>
      </c>
      <c r="B19" s="48" t="s">
        <v>3429</v>
      </c>
      <c r="C19" s="48">
        <v>0.0</v>
      </c>
      <c r="D19" s="50" t="s">
        <v>1301</v>
      </c>
      <c r="E19" s="63" t="s">
        <v>3404</v>
      </c>
      <c r="F19" s="50" t="s">
        <v>1299</v>
      </c>
      <c r="G19" s="50" t="s">
        <v>1299</v>
      </c>
      <c r="H19" s="49" t="s">
        <v>3430</v>
      </c>
      <c r="I19" s="49" t="s">
        <v>3431</v>
      </c>
    </row>
    <row r="20">
      <c r="A20" s="48">
        <f>ROW()-ROW(Table_Phrases[N])</f>
        <v>18</v>
      </c>
      <c r="B20" s="48" t="s">
        <v>1354</v>
      </c>
      <c r="C20" s="48">
        <v>0.0</v>
      </c>
      <c r="D20" s="50" t="s">
        <v>2835</v>
      </c>
      <c r="E20" s="63" t="s">
        <v>3385</v>
      </c>
      <c r="F20" s="50" t="s">
        <v>1299</v>
      </c>
      <c r="G20" s="50" t="s">
        <v>1299</v>
      </c>
      <c r="H20" s="49" t="s">
        <v>3432</v>
      </c>
      <c r="I20" s="49" t="s">
        <v>3433</v>
      </c>
    </row>
    <row r="21">
      <c r="A21" s="48">
        <v>19.0</v>
      </c>
      <c r="B21" s="48" t="s">
        <v>1362</v>
      </c>
      <c r="C21" s="48">
        <v>0.0</v>
      </c>
      <c r="D21" s="50" t="s">
        <v>2833</v>
      </c>
      <c r="E21" s="63" t="s">
        <v>3385</v>
      </c>
      <c r="F21" s="50" t="s">
        <v>1299</v>
      </c>
      <c r="G21" s="50" t="s">
        <v>1299</v>
      </c>
      <c r="H21" s="49" t="s">
        <v>3434</v>
      </c>
      <c r="I21" s="49" t="s">
        <v>3434</v>
      </c>
    </row>
    <row r="22">
      <c r="A22" s="48">
        <f>ROW()-ROW(Table_Phrases[N])</f>
        <v>20</v>
      </c>
      <c r="B22" s="48" t="s">
        <v>1356</v>
      </c>
      <c r="C22" s="48">
        <v>0.0</v>
      </c>
      <c r="D22" s="50" t="s">
        <v>1301</v>
      </c>
      <c r="E22" s="63" t="s">
        <v>3385</v>
      </c>
      <c r="F22" s="50" t="s">
        <v>1299</v>
      </c>
      <c r="G22" s="50" t="s">
        <v>1299</v>
      </c>
      <c r="H22" s="49" t="s">
        <v>3435</v>
      </c>
      <c r="I22" s="49" t="s">
        <v>3436</v>
      </c>
    </row>
    <row r="23">
      <c r="A23" s="48">
        <f>ROW()-ROW(Table_Phrases[N])</f>
        <v>21</v>
      </c>
      <c r="B23" s="48" t="s">
        <v>1358</v>
      </c>
      <c r="C23" s="48">
        <v>0.0</v>
      </c>
      <c r="D23" s="50" t="s">
        <v>1301</v>
      </c>
      <c r="E23" s="63" t="s">
        <v>3385</v>
      </c>
      <c r="F23" s="50" t="s">
        <v>1299</v>
      </c>
      <c r="G23" s="50" t="s">
        <v>1299</v>
      </c>
      <c r="H23" s="49" t="s">
        <v>3437</v>
      </c>
      <c r="I23" s="49" t="s">
        <v>3438</v>
      </c>
    </row>
    <row r="24">
      <c r="A24" s="48">
        <f>ROW()-ROW(Table_Phrases[N])</f>
        <v>22</v>
      </c>
      <c r="B24" s="48" t="s">
        <v>1360</v>
      </c>
      <c r="C24" s="48">
        <v>0.0</v>
      </c>
      <c r="D24" s="50" t="s">
        <v>1301</v>
      </c>
      <c r="E24" s="63" t="s">
        <v>3385</v>
      </c>
      <c r="F24" s="50" t="s">
        <v>1299</v>
      </c>
      <c r="G24" s="50" t="s">
        <v>1299</v>
      </c>
      <c r="H24" s="49" t="s">
        <v>3439</v>
      </c>
      <c r="I24" s="49" t="s">
        <v>3440</v>
      </c>
    </row>
    <row r="25">
      <c r="A25" s="48">
        <f>ROW()-ROW(Table_Phrases[N])</f>
        <v>23</v>
      </c>
      <c r="B25" s="48" t="s">
        <v>3441</v>
      </c>
      <c r="C25" s="48">
        <v>0.0</v>
      </c>
      <c r="D25" s="50" t="s">
        <v>1301</v>
      </c>
      <c r="E25" s="63" t="s">
        <v>3404</v>
      </c>
      <c r="F25" s="50" t="s">
        <v>1299</v>
      </c>
      <c r="G25" s="50" t="s">
        <v>1299</v>
      </c>
      <c r="H25" s="49" t="s">
        <v>3442</v>
      </c>
      <c r="I25" s="49" t="s">
        <v>3443</v>
      </c>
    </row>
    <row r="26">
      <c r="A26" s="48">
        <f>ROW()-ROW(Table_Phrases[N])</f>
        <v>24</v>
      </c>
      <c r="B26" s="48" t="s">
        <v>3444</v>
      </c>
      <c r="C26" s="48">
        <v>1.0</v>
      </c>
      <c r="D26" s="50" t="s">
        <v>1301</v>
      </c>
      <c r="E26" s="63" t="s">
        <v>1380</v>
      </c>
      <c r="F26" s="50" t="s">
        <v>3404</v>
      </c>
      <c r="G26" s="50" t="s">
        <v>1299</v>
      </c>
      <c r="H26" s="49" t="s">
        <v>3445</v>
      </c>
      <c r="I26" s="49" t="s">
        <v>3446</v>
      </c>
    </row>
    <row r="27">
      <c r="A27" s="48">
        <f>ROW()-ROW(Table_Phrases[N])</f>
        <v>25</v>
      </c>
      <c r="B27" s="48" t="s">
        <v>3189</v>
      </c>
      <c r="C27" s="48">
        <v>0.0</v>
      </c>
      <c r="D27" s="50" t="s">
        <v>1301</v>
      </c>
      <c r="E27" s="63" t="s">
        <v>3404</v>
      </c>
      <c r="F27" s="50" t="s">
        <v>1299</v>
      </c>
      <c r="G27" s="50" t="s">
        <v>1299</v>
      </c>
      <c r="H27" s="49" t="s">
        <v>3447</v>
      </c>
      <c r="I27" s="49" t="s">
        <v>3448</v>
      </c>
    </row>
    <row r="28">
      <c r="A28" s="48">
        <f>ROW()-ROW(Table_Phrases[N])</f>
        <v>26</v>
      </c>
      <c r="B28" s="48" t="s">
        <v>3191</v>
      </c>
      <c r="C28" s="48">
        <v>0.0</v>
      </c>
      <c r="D28" s="50" t="s">
        <v>1301</v>
      </c>
      <c r="E28" s="63" t="s">
        <v>3404</v>
      </c>
      <c r="F28" s="50" t="s">
        <v>1299</v>
      </c>
      <c r="G28" s="50" t="s">
        <v>1299</v>
      </c>
      <c r="H28" s="49" t="s">
        <v>3449</v>
      </c>
      <c r="I28" s="49" t="s">
        <v>3450</v>
      </c>
    </row>
    <row r="29">
      <c r="A29" s="48">
        <f>ROW()-ROW(Table_Phrases[N])</f>
        <v>27</v>
      </c>
      <c r="B29" s="48" t="s">
        <v>3193</v>
      </c>
      <c r="C29" s="48">
        <v>0.0</v>
      </c>
      <c r="D29" s="50" t="s">
        <v>1301</v>
      </c>
      <c r="E29" s="63" t="s">
        <v>3404</v>
      </c>
      <c r="F29" s="50" t="s">
        <v>1299</v>
      </c>
      <c r="G29" s="50" t="s">
        <v>1299</v>
      </c>
      <c r="H29" s="49" t="s">
        <v>3451</v>
      </c>
      <c r="I29" s="49" t="s">
        <v>3452</v>
      </c>
    </row>
    <row r="30">
      <c r="A30" s="48">
        <f>ROW()-ROW(Table_Phrases[N])</f>
        <v>28</v>
      </c>
      <c r="B30" s="48" t="s">
        <v>1363</v>
      </c>
      <c r="C30" s="48">
        <v>0.0</v>
      </c>
      <c r="D30" s="50" t="s">
        <v>1301</v>
      </c>
      <c r="E30" s="63" t="s">
        <v>3404</v>
      </c>
      <c r="F30" s="50" t="s">
        <v>1299</v>
      </c>
      <c r="G30" s="50" t="s">
        <v>1299</v>
      </c>
      <c r="H30" s="49" t="s">
        <v>3453</v>
      </c>
      <c r="I30" s="49" t="s">
        <v>3454</v>
      </c>
    </row>
    <row r="31">
      <c r="A31" s="48">
        <f>ROW()-ROW(Table_Phrases[N])</f>
        <v>29</v>
      </c>
      <c r="B31" s="48" t="s">
        <v>3020</v>
      </c>
      <c r="C31" s="48">
        <v>0.0</v>
      </c>
      <c r="D31" s="50" t="s">
        <v>1301</v>
      </c>
      <c r="E31" s="63" t="s">
        <v>3404</v>
      </c>
      <c r="F31" s="50" t="s">
        <v>1299</v>
      </c>
      <c r="G31" s="50" t="s">
        <v>1299</v>
      </c>
      <c r="H31" s="49" t="s">
        <v>3455</v>
      </c>
      <c r="I31" s="49" t="s">
        <v>3456</v>
      </c>
    </row>
    <row r="32">
      <c r="A32" s="48">
        <f>ROW()-ROW(Table_Phrases[N])</f>
        <v>30</v>
      </c>
      <c r="B32" s="48" t="s">
        <v>3457</v>
      </c>
      <c r="C32" s="48">
        <v>1.0</v>
      </c>
      <c r="D32" s="50" t="s">
        <v>1301</v>
      </c>
      <c r="E32" s="63" t="s">
        <v>1380</v>
      </c>
      <c r="F32" s="50" t="s">
        <v>3404</v>
      </c>
      <c r="G32" s="50" t="s">
        <v>1299</v>
      </c>
      <c r="H32" s="49" t="s">
        <v>3458</v>
      </c>
      <c r="I32" s="49" t="s">
        <v>3459</v>
      </c>
    </row>
    <row r="33">
      <c r="A33" s="48">
        <f>ROW()-ROW(Table_Phrases[N])</f>
        <v>31</v>
      </c>
      <c r="B33" s="48" t="s">
        <v>3460</v>
      </c>
      <c r="C33" s="48">
        <v>1.0</v>
      </c>
      <c r="D33" s="50" t="s">
        <v>1301</v>
      </c>
      <c r="E33" s="63" t="s">
        <v>1380</v>
      </c>
      <c r="F33" s="50" t="s">
        <v>3404</v>
      </c>
      <c r="G33" s="50" t="s">
        <v>1299</v>
      </c>
      <c r="H33" s="49" t="s">
        <v>3461</v>
      </c>
      <c r="I33" s="49" t="s">
        <v>3462</v>
      </c>
    </row>
    <row r="34">
      <c r="A34" s="48">
        <f>ROW()-ROW(Table_Phrases[N])</f>
        <v>32</v>
      </c>
      <c r="B34" s="48" t="s">
        <v>1381</v>
      </c>
      <c r="C34" s="48">
        <v>0.0</v>
      </c>
      <c r="D34" s="50" t="s">
        <v>1301</v>
      </c>
      <c r="E34" s="63" t="s">
        <v>3404</v>
      </c>
      <c r="F34" s="50" t="s">
        <v>1299</v>
      </c>
      <c r="G34" s="50" t="s">
        <v>1299</v>
      </c>
      <c r="H34" s="49" t="s">
        <v>3463</v>
      </c>
      <c r="I34" s="49" t="s">
        <v>3464</v>
      </c>
    </row>
    <row r="35">
      <c r="A35" s="48">
        <v>33.0</v>
      </c>
      <c r="B35" s="48" t="s">
        <v>3465</v>
      </c>
      <c r="C35" s="48">
        <v>1.0</v>
      </c>
      <c r="D35" s="50" t="s">
        <v>2841</v>
      </c>
      <c r="E35" s="63" t="s">
        <v>3408</v>
      </c>
      <c r="F35" s="50" t="s">
        <v>3404</v>
      </c>
      <c r="G35" s="50" t="s">
        <v>1299</v>
      </c>
      <c r="H35" s="49" t="s">
        <v>3466</v>
      </c>
      <c r="I35" s="49" t="s">
        <v>3466</v>
      </c>
    </row>
    <row r="36">
      <c r="A36" s="48">
        <v>34.0</v>
      </c>
      <c r="B36" s="48" t="s">
        <v>3467</v>
      </c>
      <c r="C36" s="48">
        <v>1.0</v>
      </c>
      <c r="D36" s="50" t="s">
        <v>2839</v>
      </c>
      <c r="E36" s="63" t="s">
        <v>3408</v>
      </c>
      <c r="F36" s="50" t="s">
        <v>3404</v>
      </c>
      <c r="G36" s="50" t="s">
        <v>1299</v>
      </c>
      <c r="H36" s="49" t="s">
        <v>3468</v>
      </c>
      <c r="I36" s="49" t="s">
        <v>3468</v>
      </c>
    </row>
    <row r="37">
      <c r="A37" s="48">
        <v>35.0</v>
      </c>
      <c r="B37" s="48" t="s">
        <v>3469</v>
      </c>
      <c r="C37" s="48">
        <v>0.0</v>
      </c>
      <c r="D37" s="50" t="s">
        <v>2871</v>
      </c>
      <c r="E37" s="63" t="s">
        <v>3404</v>
      </c>
      <c r="F37" s="50" t="s">
        <v>3408</v>
      </c>
      <c r="G37" s="50" t="s">
        <v>1299</v>
      </c>
      <c r="H37" s="49" t="s">
        <v>3470</v>
      </c>
      <c r="I37" s="49" t="s">
        <v>3470</v>
      </c>
    </row>
    <row r="38">
      <c r="A38" s="48">
        <v>36.0</v>
      </c>
      <c r="B38" s="48" t="s">
        <v>3471</v>
      </c>
      <c r="C38" s="48">
        <v>1.0</v>
      </c>
      <c r="D38" s="50" t="s">
        <v>2869</v>
      </c>
      <c r="E38" s="63" t="s">
        <v>3408</v>
      </c>
      <c r="F38" s="50" t="s">
        <v>3404</v>
      </c>
      <c r="G38" s="50" t="s">
        <v>1299</v>
      </c>
      <c r="H38" s="49" t="s">
        <v>3472</v>
      </c>
      <c r="I38" s="49" t="s">
        <v>3472</v>
      </c>
    </row>
    <row r="39">
      <c r="A39" s="48">
        <v>37.0</v>
      </c>
      <c r="B39" s="48" t="s">
        <v>3473</v>
      </c>
      <c r="C39" s="48">
        <v>1.0</v>
      </c>
      <c r="D39" s="50" t="s">
        <v>2867</v>
      </c>
      <c r="E39" s="63" t="s">
        <v>3408</v>
      </c>
      <c r="F39" s="50" t="s">
        <v>3404</v>
      </c>
      <c r="G39" s="50" t="s">
        <v>1299</v>
      </c>
      <c r="H39" s="49" t="s">
        <v>3474</v>
      </c>
      <c r="I39" s="49" t="s">
        <v>3474</v>
      </c>
    </row>
    <row r="40">
      <c r="A40" s="48">
        <v>38.0</v>
      </c>
      <c r="B40" s="48" t="s">
        <v>3475</v>
      </c>
      <c r="C40" s="48">
        <v>0.0</v>
      </c>
      <c r="D40" s="50" t="s">
        <v>2865</v>
      </c>
      <c r="E40" s="63" t="s">
        <v>3404</v>
      </c>
      <c r="F40" s="50" t="s">
        <v>3408</v>
      </c>
      <c r="G40" s="50" t="s">
        <v>1299</v>
      </c>
      <c r="H40" s="49" t="s">
        <v>3476</v>
      </c>
      <c r="I40" s="49" t="s">
        <v>3476</v>
      </c>
    </row>
    <row r="41">
      <c r="A41" s="48">
        <v>39.0</v>
      </c>
      <c r="B41" s="48" t="s">
        <v>3477</v>
      </c>
      <c r="C41" s="48">
        <v>1.0</v>
      </c>
      <c r="D41" s="50" t="s">
        <v>2863</v>
      </c>
      <c r="E41" s="63" t="s">
        <v>3408</v>
      </c>
      <c r="F41" s="50" t="s">
        <v>3404</v>
      </c>
      <c r="G41" s="50" t="s">
        <v>1299</v>
      </c>
      <c r="H41" s="49" t="s">
        <v>3478</v>
      </c>
      <c r="I41" s="49" t="s">
        <v>3478</v>
      </c>
    </row>
    <row r="42">
      <c r="A42" s="48">
        <v>40.0</v>
      </c>
      <c r="B42" s="48" t="s">
        <v>3479</v>
      </c>
      <c r="C42" s="48">
        <v>1.0</v>
      </c>
      <c r="D42" s="50" t="s">
        <v>2861</v>
      </c>
      <c r="E42" s="63" t="s">
        <v>3408</v>
      </c>
      <c r="F42" s="50" t="s">
        <v>3404</v>
      </c>
      <c r="G42" s="50" t="s">
        <v>1299</v>
      </c>
      <c r="H42" s="49" t="s">
        <v>3480</v>
      </c>
      <c r="I42" s="49" t="s">
        <v>3480</v>
      </c>
    </row>
    <row r="43">
      <c r="A43" s="48">
        <v>41.0</v>
      </c>
      <c r="B43" s="48" t="s">
        <v>3481</v>
      </c>
      <c r="C43" s="48">
        <v>0.0</v>
      </c>
      <c r="D43" s="50" t="s">
        <v>2859</v>
      </c>
      <c r="E43" s="63" t="s">
        <v>3404</v>
      </c>
      <c r="F43" s="50" t="s">
        <v>3408</v>
      </c>
      <c r="G43" s="50" t="s">
        <v>1299</v>
      </c>
      <c r="H43" s="49" t="s">
        <v>3482</v>
      </c>
      <c r="I43" s="49" t="s">
        <v>3482</v>
      </c>
    </row>
    <row r="44">
      <c r="A44" s="48">
        <v>41.0</v>
      </c>
      <c r="B44" s="48" t="s">
        <v>3483</v>
      </c>
      <c r="C44" s="48">
        <v>0.0</v>
      </c>
      <c r="D44" s="50" t="s">
        <v>2855</v>
      </c>
      <c r="E44" s="63" t="s">
        <v>3404</v>
      </c>
      <c r="F44" s="63" t="s">
        <v>3408</v>
      </c>
      <c r="G44" s="50" t="s">
        <v>1299</v>
      </c>
      <c r="H44" s="49" t="s">
        <v>3484</v>
      </c>
      <c r="I44" s="49" t="s">
        <v>3485</v>
      </c>
    </row>
    <row r="45">
      <c r="A45" s="48">
        <v>42.0</v>
      </c>
      <c r="B45" s="48" t="s">
        <v>3486</v>
      </c>
      <c r="C45" s="48">
        <v>1.0</v>
      </c>
      <c r="D45" s="50" t="s">
        <v>2853</v>
      </c>
      <c r="E45" s="63" t="s">
        <v>3408</v>
      </c>
      <c r="F45" s="50" t="s">
        <v>3404</v>
      </c>
      <c r="G45" s="50" t="s">
        <v>1299</v>
      </c>
      <c r="H45" s="49" t="s">
        <v>3487</v>
      </c>
      <c r="I45" s="49" t="s">
        <v>3488</v>
      </c>
    </row>
    <row r="46">
      <c r="A46" s="48">
        <v>43.0</v>
      </c>
      <c r="B46" s="48" t="s">
        <v>3489</v>
      </c>
      <c r="C46" s="48">
        <v>1.0</v>
      </c>
      <c r="D46" s="50" t="s">
        <v>2851</v>
      </c>
      <c r="E46" s="63" t="s">
        <v>3408</v>
      </c>
      <c r="F46" s="50" t="s">
        <v>3404</v>
      </c>
      <c r="G46" s="50" t="s">
        <v>1299</v>
      </c>
      <c r="H46" s="49" t="s">
        <v>3490</v>
      </c>
      <c r="I46" s="49" t="s">
        <v>3491</v>
      </c>
    </row>
    <row r="47">
      <c r="A47" s="48">
        <v>44.0</v>
      </c>
      <c r="B47" s="48" t="s">
        <v>3492</v>
      </c>
      <c r="C47" s="48">
        <v>0.0</v>
      </c>
      <c r="D47" s="50" t="s">
        <v>2849</v>
      </c>
      <c r="E47" s="63" t="s">
        <v>3404</v>
      </c>
      <c r="F47" s="63" t="s">
        <v>3408</v>
      </c>
      <c r="G47" s="50" t="s">
        <v>1299</v>
      </c>
      <c r="H47" s="49" t="s">
        <v>3493</v>
      </c>
      <c r="I47" s="49" t="s">
        <v>3494</v>
      </c>
    </row>
    <row r="48">
      <c r="A48" s="48">
        <v>45.0</v>
      </c>
      <c r="B48" s="48" t="s">
        <v>3495</v>
      </c>
      <c r="C48" s="48">
        <v>1.0</v>
      </c>
      <c r="D48" s="50" t="s">
        <v>2847</v>
      </c>
      <c r="E48" s="63" t="s">
        <v>3408</v>
      </c>
      <c r="F48" s="50" t="s">
        <v>3404</v>
      </c>
      <c r="G48" s="50" t="s">
        <v>1299</v>
      </c>
      <c r="H48" s="49" t="s">
        <v>3496</v>
      </c>
      <c r="I48" s="49" t="s">
        <v>3497</v>
      </c>
    </row>
    <row r="49">
      <c r="A49" s="48">
        <v>46.0</v>
      </c>
      <c r="B49" s="48" t="s">
        <v>3498</v>
      </c>
      <c r="C49" s="48">
        <v>0.0</v>
      </c>
      <c r="D49" s="50" t="s">
        <v>2845</v>
      </c>
      <c r="E49" s="63" t="s">
        <v>3404</v>
      </c>
      <c r="F49" s="63" t="s">
        <v>3408</v>
      </c>
      <c r="G49" s="50" t="s">
        <v>1299</v>
      </c>
      <c r="H49" s="49" t="s">
        <v>3499</v>
      </c>
      <c r="I49" s="49" t="s">
        <v>3500</v>
      </c>
    </row>
    <row r="50">
      <c r="A50" s="48">
        <f>ROW()-ROW(Table_Phrases[N])</f>
        <v>48</v>
      </c>
      <c r="B50" s="48" t="s">
        <v>3036</v>
      </c>
      <c r="C50" s="48">
        <v>0.0</v>
      </c>
      <c r="D50" s="50" t="s">
        <v>2857</v>
      </c>
      <c r="E50" s="63" t="s">
        <v>3404</v>
      </c>
      <c r="F50" s="63" t="s">
        <v>3408</v>
      </c>
      <c r="G50" s="50" t="s">
        <v>1299</v>
      </c>
      <c r="H50" s="49" t="s">
        <v>3501</v>
      </c>
      <c r="I50" s="49" t="s">
        <v>3502</v>
      </c>
    </row>
    <row r="51">
      <c r="A51" s="48">
        <f>ROW()-ROW(Table_Phrases[N])</f>
        <v>49</v>
      </c>
      <c r="B51" s="48" t="s">
        <v>3503</v>
      </c>
      <c r="C51" s="48">
        <v>0.0</v>
      </c>
      <c r="D51" s="50" t="s">
        <v>1301</v>
      </c>
      <c r="E51" s="63" t="s">
        <v>3404</v>
      </c>
      <c r="F51" s="50" t="s">
        <v>1299</v>
      </c>
      <c r="G51" s="50" t="s">
        <v>1299</v>
      </c>
      <c r="H51" s="49" t="s">
        <v>3504</v>
      </c>
      <c r="I51" s="49" t="s">
        <v>3505</v>
      </c>
    </row>
    <row r="52">
      <c r="A52" s="48">
        <f>ROW()-ROW(Table_Phrases[N])</f>
        <v>50</v>
      </c>
      <c r="B52" s="48" t="s">
        <v>3506</v>
      </c>
      <c r="C52" s="48">
        <v>0.0</v>
      </c>
      <c r="D52" s="50" t="s">
        <v>1301</v>
      </c>
      <c r="E52" s="63" t="s">
        <v>1299</v>
      </c>
      <c r="F52" s="50" t="s">
        <v>1299</v>
      </c>
      <c r="G52" s="50" t="s">
        <v>1299</v>
      </c>
      <c r="H52" s="49" t="s">
        <v>3507</v>
      </c>
      <c r="I52" s="49" t="s">
        <v>3507</v>
      </c>
    </row>
    <row r="53">
      <c r="A53" s="48">
        <f>ROW()-ROW(Table_Phrases[N])</f>
        <v>51</v>
      </c>
      <c r="B53" s="48" t="s">
        <v>3037</v>
      </c>
      <c r="C53" s="48">
        <v>1.0</v>
      </c>
      <c r="D53" s="50" t="s">
        <v>1301</v>
      </c>
      <c r="E53" s="63" t="s">
        <v>3408</v>
      </c>
      <c r="F53" s="50" t="s">
        <v>3404</v>
      </c>
      <c r="G53" s="50" t="s">
        <v>1299</v>
      </c>
      <c r="H53" s="49" t="s">
        <v>3508</v>
      </c>
      <c r="I53" s="49" t="s">
        <v>3509</v>
      </c>
    </row>
    <row r="54">
      <c r="A54" s="48">
        <f>ROW()-ROW(Table_Phrases[N])</f>
        <v>52</v>
      </c>
      <c r="B54" s="48" t="s">
        <v>1386</v>
      </c>
      <c r="C54" s="48">
        <v>0.0</v>
      </c>
      <c r="D54" s="50" t="s">
        <v>1301</v>
      </c>
      <c r="E54" s="63" t="s">
        <v>3404</v>
      </c>
      <c r="F54" s="50" t="s">
        <v>1299</v>
      </c>
      <c r="G54" s="50" t="s">
        <v>1299</v>
      </c>
      <c r="H54" s="49" t="s">
        <v>3510</v>
      </c>
      <c r="I54" s="49" t="s">
        <v>3511</v>
      </c>
    </row>
    <row r="55">
      <c r="A55" s="48">
        <v>53.0</v>
      </c>
      <c r="B55" s="48" t="s">
        <v>3021</v>
      </c>
      <c r="C55" s="48">
        <v>1.0</v>
      </c>
      <c r="D55" s="50" t="s">
        <v>2874</v>
      </c>
      <c r="E55" s="63" t="s">
        <v>3512</v>
      </c>
      <c r="F55" s="50" t="s">
        <v>1500</v>
      </c>
      <c r="G55" s="50" t="s">
        <v>1299</v>
      </c>
      <c r="H55" s="49" t="s">
        <v>3513</v>
      </c>
      <c r="I55" s="49" t="s">
        <v>3513</v>
      </c>
    </row>
    <row r="56">
      <c r="A56" s="48">
        <v>54.0</v>
      </c>
      <c r="B56" s="48" t="s">
        <v>1953</v>
      </c>
      <c r="C56" s="48">
        <v>0.0</v>
      </c>
      <c r="D56" s="50" t="s">
        <v>2876</v>
      </c>
      <c r="E56" s="63" t="s">
        <v>3385</v>
      </c>
      <c r="F56" s="50" t="s">
        <v>1299</v>
      </c>
      <c r="G56" s="50" t="s">
        <v>1299</v>
      </c>
      <c r="H56" s="49" t="s">
        <v>3514</v>
      </c>
      <c r="I56" s="49" t="s">
        <v>3514</v>
      </c>
    </row>
    <row r="57">
      <c r="A57" s="48">
        <v>55.0</v>
      </c>
      <c r="B57" s="48" t="s">
        <v>3022</v>
      </c>
      <c r="C57" s="48">
        <v>1.0</v>
      </c>
      <c r="D57" s="50" t="s">
        <v>2890</v>
      </c>
      <c r="E57" s="63" t="s">
        <v>3512</v>
      </c>
      <c r="F57" s="50" t="s">
        <v>3404</v>
      </c>
      <c r="G57" s="50" t="s">
        <v>1299</v>
      </c>
      <c r="H57" s="49" t="s">
        <v>3515</v>
      </c>
      <c r="I57" s="49" t="s">
        <v>3515</v>
      </c>
    </row>
    <row r="58">
      <c r="A58" s="48">
        <v>56.0</v>
      </c>
      <c r="B58" s="48" t="s">
        <v>3516</v>
      </c>
      <c r="C58" s="48">
        <v>0.0</v>
      </c>
      <c r="D58" s="50" t="s">
        <v>2888</v>
      </c>
      <c r="E58" s="63" t="s">
        <v>3517</v>
      </c>
      <c r="F58" s="50" t="s">
        <v>3408</v>
      </c>
      <c r="G58" s="50" t="s">
        <v>1299</v>
      </c>
      <c r="H58" s="49" t="s">
        <v>3518</v>
      </c>
      <c r="I58" s="49" t="s">
        <v>3518</v>
      </c>
    </row>
    <row r="59">
      <c r="A59" s="48">
        <v>57.0</v>
      </c>
      <c r="B59" s="48" t="s">
        <v>3519</v>
      </c>
      <c r="C59" s="48">
        <v>1.0</v>
      </c>
      <c r="D59" s="50" t="s">
        <v>2886</v>
      </c>
      <c r="E59" s="63" t="s">
        <v>3512</v>
      </c>
      <c r="F59" s="50" t="s">
        <v>3404</v>
      </c>
      <c r="G59" s="50" t="s">
        <v>1299</v>
      </c>
      <c r="H59" s="49" t="s">
        <v>3520</v>
      </c>
      <c r="I59" s="49" t="s">
        <v>3520</v>
      </c>
    </row>
    <row r="60">
      <c r="A60" s="48">
        <v>58.0</v>
      </c>
      <c r="B60" s="48" t="s">
        <v>3521</v>
      </c>
      <c r="C60" s="48">
        <v>0.0</v>
      </c>
      <c r="D60" s="50" t="s">
        <v>2884</v>
      </c>
      <c r="E60" s="63" t="s">
        <v>3517</v>
      </c>
      <c r="F60" s="50" t="s">
        <v>3408</v>
      </c>
      <c r="G60" s="50" t="s">
        <v>1299</v>
      </c>
      <c r="H60" s="49" t="s">
        <v>3522</v>
      </c>
      <c r="I60" s="49" t="s">
        <v>3522</v>
      </c>
    </row>
    <row r="61">
      <c r="A61" s="48">
        <v>59.0</v>
      </c>
      <c r="B61" s="48" t="s">
        <v>3523</v>
      </c>
      <c r="C61" s="48">
        <v>1.0</v>
      </c>
      <c r="D61" s="50" t="s">
        <v>2882</v>
      </c>
      <c r="E61" s="63" t="s">
        <v>3512</v>
      </c>
      <c r="F61" s="50" t="s">
        <v>3404</v>
      </c>
      <c r="G61" s="50" t="s">
        <v>1299</v>
      </c>
      <c r="H61" s="49" t="s">
        <v>3524</v>
      </c>
      <c r="I61" s="49" t="s">
        <v>3524</v>
      </c>
    </row>
    <row r="62">
      <c r="A62" s="48">
        <v>60.0</v>
      </c>
      <c r="B62" s="48" t="s">
        <v>3525</v>
      </c>
      <c r="C62" s="48">
        <v>0.0</v>
      </c>
      <c r="D62" s="50" t="s">
        <v>2880</v>
      </c>
      <c r="E62" s="63" t="s">
        <v>3517</v>
      </c>
      <c r="F62" s="50" t="s">
        <v>3408</v>
      </c>
      <c r="G62" s="50" t="s">
        <v>1299</v>
      </c>
      <c r="H62" s="49" t="s">
        <v>3526</v>
      </c>
      <c r="I62" s="49" t="s">
        <v>3526</v>
      </c>
    </row>
    <row r="63">
      <c r="A63" s="48">
        <v>61.0</v>
      </c>
      <c r="B63" s="48" t="s">
        <v>3027</v>
      </c>
      <c r="C63" s="48">
        <v>0.0</v>
      </c>
      <c r="D63" s="50" t="s">
        <v>2857</v>
      </c>
      <c r="E63" s="63" t="s">
        <v>3517</v>
      </c>
      <c r="F63" s="50" t="s">
        <v>3408</v>
      </c>
      <c r="G63" s="50" t="s">
        <v>1299</v>
      </c>
      <c r="H63" s="49" t="s">
        <v>3501</v>
      </c>
      <c r="I63" s="49" t="s">
        <v>3502</v>
      </c>
    </row>
    <row r="64">
      <c r="A64" s="48">
        <f>ROW()-ROW(Table_Phrases[N])</f>
        <v>62</v>
      </c>
      <c r="B64" s="48" t="s">
        <v>3527</v>
      </c>
      <c r="C64" s="48">
        <v>0.0</v>
      </c>
      <c r="D64" s="50" t="s">
        <v>2208</v>
      </c>
      <c r="E64" s="63" t="s">
        <v>1299</v>
      </c>
      <c r="F64" s="50" t="s">
        <v>1299</v>
      </c>
      <c r="G64" s="50" t="s">
        <v>1299</v>
      </c>
      <c r="H64" s="49" t="s">
        <v>3528</v>
      </c>
      <c r="I64" s="49" t="s">
        <v>3529</v>
      </c>
    </row>
    <row r="65">
      <c r="A65" s="48">
        <f>ROW()-ROW(Table_Phrases[N])</f>
        <v>63</v>
      </c>
      <c r="B65" s="48" t="s">
        <v>3530</v>
      </c>
      <c r="C65" s="48">
        <v>0.0</v>
      </c>
      <c r="D65" s="50" t="s">
        <v>2210</v>
      </c>
      <c r="E65" s="63" t="s">
        <v>1299</v>
      </c>
      <c r="F65" s="50" t="s">
        <v>1299</v>
      </c>
      <c r="G65" s="50" t="s">
        <v>1299</v>
      </c>
      <c r="H65" s="49" t="s">
        <v>3531</v>
      </c>
      <c r="I65" s="49" t="s">
        <v>3532</v>
      </c>
    </row>
    <row r="66">
      <c r="A66" s="48">
        <f>ROW()-ROW(Table_Phrases[N])</f>
        <v>64</v>
      </c>
      <c r="B66" s="48" t="s">
        <v>3533</v>
      </c>
      <c r="C66" s="48">
        <v>0.0</v>
      </c>
      <c r="D66" s="50" t="s">
        <v>2212</v>
      </c>
      <c r="E66" s="63" t="s">
        <v>1299</v>
      </c>
      <c r="F66" s="50" t="s">
        <v>1299</v>
      </c>
      <c r="G66" s="50" t="s">
        <v>1299</v>
      </c>
      <c r="H66" s="49" t="s">
        <v>3534</v>
      </c>
      <c r="I66" s="49" t="s">
        <v>3535</v>
      </c>
    </row>
    <row r="67">
      <c r="A67" s="48">
        <f>ROW()-ROW(Table_Phrases[N])</f>
        <v>65</v>
      </c>
      <c r="B67" s="48" t="s">
        <v>1389</v>
      </c>
      <c r="C67" s="48">
        <v>0.0</v>
      </c>
      <c r="D67" s="50" t="s">
        <v>1301</v>
      </c>
      <c r="E67" s="63" t="s">
        <v>3385</v>
      </c>
      <c r="F67" s="50" t="s">
        <v>1299</v>
      </c>
      <c r="G67" s="50" t="s">
        <v>1299</v>
      </c>
      <c r="H67" s="49" t="s">
        <v>3536</v>
      </c>
      <c r="I67" s="49" t="s">
        <v>3537</v>
      </c>
    </row>
    <row r="68">
      <c r="A68" s="48">
        <f>ROW()-ROW(Table_Phrases[N])</f>
        <v>66</v>
      </c>
      <c r="B68" s="48" t="s">
        <v>3538</v>
      </c>
      <c r="C68" s="48">
        <v>0.0</v>
      </c>
      <c r="D68" s="50" t="s">
        <v>2151</v>
      </c>
      <c r="E68" s="63" t="s">
        <v>3404</v>
      </c>
      <c r="F68" s="50" t="s">
        <v>1299</v>
      </c>
      <c r="G68" s="50" t="s">
        <v>1299</v>
      </c>
      <c r="H68" s="49" t="s">
        <v>3539</v>
      </c>
      <c r="I68" s="49" t="s">
        <v>3539</v>
      </c>
    </row>
    <row r="69">
      <c r="A69" s="48">
        <f>ROW()-ROW(Table_Phrases[N])</f>
        <v>67</v>
      </c>
      <c r="B69" s="48" t="s">
        <v>3540</v>
      </c>
      <c r="C69" s="48">
        <v>0.0</v>
      </c>
      <c r="D69" s="50" t="s">
        <v>2152</v>
      </c>
      <c r="E69" s="63" t="s">
        <v>3404</v>
      </c>
      <c r="F69" s="50" t="s">
        <v>1299</v>
      </c>
      <c r="G69" s="50" t="s">
        <v>1299</v>
      </c>
      <c r="H69" s="49" t="s">
        <v>3541</v>
      </c>
      <c r="I69" s="49" t="s">
        <v>3542</v>
      </c>
    </row>
    <row r="70">
      <c r="A70" s="48">
        <f>ROW()-ROW(Table_Phrases[N])</f>
        <v>68</v>
      </c>
      <c r="B70" s="48" t="s">
        <v>3543</v>
      </c>
      <c r="C70" s="48">
        <v>0.0</v>
      </c>
      <c r="D70" s="50" t="s">
        <v>2153</v>
      </c>
      <c r="E70" s="63" t="s">
        <v>3404</v>
      </c>
      <c r="F70" s="50" t="s">
        <v>1299</v>
      </c>
      <c r="G70" s="50" t="s">
        <v>1299</v>
      </c>
      <c r="H70" s="49" t="s">
        <v>3544</v>
      </c>
      <c r="I70" s="49" t="s">
        <v>3545</v>
      </c>
    </row>
    <row r="71">
      <c r="A71" s="48">
        <f>ROW()-ROW(Table_Phrases[N])</f>
        <v>69</v>
      </c>
      <c r="B71" s="48" t="s">
        <v>3546</v>
      </c>
      <c r="C71" s="48">
        <v>0.0</v>
      </c>
      <c r="D71" s="50" t="s">
        <v>2154</v>
      </c>
      <c r="E71" s="63" t="s">
        <v>3404</v>
      </c>
      <c r="F71" s="50" t="s">
        <v>1299</v>
      </c>
      <c r="G71" s="50" t="s">
        <v>1299</v>
      </c>
      <c r="H71" s="49" t="s">
        <v>3547</v>
      </c>
      <c r="I71" s="49" t="s">
        <v>3548</v>
      </c>
    </row>
    <row r="72">
      <c r="A72" s="48">
        <f>ROW()-ROW(Table_Phrases[N])</f>
        <v>70</v>
      </c>
      <c r="B72" s="48" t="s">
        <v>3549</v>
      </c>
      <c r="C72" s="48">
        <v>0.0</v>
      </c>
      <c r="D72" s="50" t="s">
        <v>1301</v>
      </c>
      <c r="E72" s="63" t="s">
        <v>3404</v>
      </c>
      <c r="F72" s="50" t="s">
        <v>1299</v>
      </c>
      <c r="G72" s="50" t="s">
        <v>1299</v>
      </c>
      <c r="H72" s="49" t="s">
        <v>3550</v>
      </c>
      <c r="I72" s="49" t="s">
        <v>3551</v>
      </c>
    </row>
    <row r="73">
      <c r="A73" s="48">
        <f>ROW()-ROW(Table_Phrases[N])</f>
        <v>71</v>
      </c>
      <c r="B73" s="48" t="s">
        <v>3552</v>
      </c>
      <c r="C73" s="48">
        <v>1.0</v>
      </c>
      <c r="D73" s="50" t="s">
        <v>1301</v>
      </c>
      <c r="E73" s="63" t="s">
        <v>1380</v>
      </c>
      <c r="F73" s="50" t="s">
        <v>3404</v>
      </c>
      <c r="G73" s="50" t="s">
        <v>1299</v>
      </c>
      <c r="H73" s="49" t="s">
        <v>3553</v>
      </c>
      <c r="I73" s="49" t="s">
        <v>3554</v>
      </c>
    </row>
    <row r="74">
      <c r="A74" s="48">
        <f>ROW()-ROW(Table_Phrases[N])</f>
        <v>72</v>
      </c>
      <c r="B74" s="48" t="s">
        <v>3555</v>
      </c>
      <c r="C74" s="48">
        <v>0.0</v>
      </c>
      <c r="D74" s="50" t="s">
        <v>1301</v>
      </c>
      <c r="E74" s="63" t="s">
        <v>3404</v>
      </c>
      <c r="F74" s="50" t="s">
        <v>1299</v>
      </c>
      <c r="G74" s="50" t="s">
        <v>1299</v>
      </c>
      <c r="H74" s="49" t="s">
        <v>3556</v>
      </c>
      <c r="I74" s="49" t="s">
        <v>3557</v>
      </c>
    </row>
    <row r="75">
      <c r="A75" s="48">
        <f>ROW()-ROW(Table_Phrases[N])</f>
        <v>73</v>
      </c>
      <c r="B75" s="48" t="s">
        <v>3558</v>
      </c>
      <c r="C75" s="48">
        <v>1.0</v>
      </c>
      <c r="D75" s="50" t="s">
        <v>1301</v>
      </c>
      <c r="E75" s="63" t="s">
        <v>1380</v>
      </c>
      <c r="F75" s="50" t="s">
        <v>3404</v>
      </c>
      <c r="G75" s="50" t="s">
        <v>1299</v>
      </c>
      <c r="H75" s="49" t="s">
        <v>3559</v>
      </c>
      <c r="I75" s="49" t="s">
        <v>3560</v>
      </c>
    </row>
    <row r="76">
      <c r="A76" s="48">
        <f>ROW()-ROW(Table_Phrases[N])</f>
        <v>74</v>
      </c>
      <c r="B76" s="48" t="s">
        <v>3561</v>
      </c>
      <c r="C76" s="48">
        <v>0.0</v>
      </c>
      <c r="D76" s="50" t="s">
        <v>1301</v>
      </c>
      <c r="E76" s="63" t="s">
        <v>3404</v>
      </c>
      <c r="F76" s="50" t="s">
        <v>1299</v>
      </c>
      <c r="G76" s="50" t="s">
        <v>1299</v>
      </c>
      <c r="H76" s="49" t="s">
        <v>3562</v>
      </c>
      <c r="I76" s="49" t="s">
        <v>3563</v>
      </c>
    </row>
    <row r="77">
      <c r="A77" s="48">
        <f>ROW()-ROW(Table_Phrases[N])</f>
        <v>75</v>
      </c>
      <c r="B77" s="48" t="s">
        <v>3564</v>
      </c>
      <c r="C77" s="48">
        <v>1.0</v>
      </c>
      <c r="D77" s="50" t="s">
        <v>1301</v>
      </c>
      <c r="E77" s="63" t="s">
        <v>1380</v>
      </c>
      <c r="F77" s="50" t="s">
        <v>3404</v>
      </c>
      <c r="G77" s="50" t="s">
        <v>1299</v>
      </c>
      <c r="H77" s="49" t="s">
        <v>3565</v>
      </c>
      <c r="I77" s="49" t="s">
        <v>3566</v>
      </c>
    </row>
    <row r="78">
      <c r="A78" s="48">
        <f>ROW()-ROW(Table_Phrases[N])</f>
        <v>76</v>
      </c>
      <c r="B78" s="48" t="s">
        <v>3567</v>
      </c>
      <c r="C78" s="48">
        <v>0.0</v>
      </c>
      <c r="D78" s="50" t="s">
        <v>1301</v>
      </c>
      <c r="E78" s="63" t="s">
        <v>3404</v>
      </c>
      <c r="F78" s="50" t="s">
        <v>1299</v>
      </c>
      <c r="G78" s="50" t="s">
        <v>1299</v>
      </c>
      <c r="H78" s="49" t="s">
        <v>3568</v>
      </c>
      <c r="I78" s="49" t="s">
        <v>3569</v>
      </c>
    </row>
    <row r="79">
      <c r="A79" s="48">
        <f>ROW()-ROW(Table_Phrases[N])</f>
        <v>77</v>
      </c>
      <c r="B79" s="48" t="s">
        <v>3570</v>
      </c>
      <c r="C79" s="48">
        <v>1.0</v>
      </c>
      <c r="D79" s="50" t="s">
        <v>1301</v>
      </c>
      <c r="E79" s="63" t="s">
        <v>1380</v>
      </c>
      <c r="F79" s="50" t="s">
        <v>3404</v>
      </c>
      <c r="G79" s="50" t="s">
        <v>1299</v>
      </c>
      <c r="H79" s="49" t="s">
        <v>3571</v>
      </c>
      <c r="I79" s="49" t="s">
        <v>3572</v>
      </c>
    </row>
    <row r="80">
      <c r="A80" s="48">
        <f>ROW()-ROW(Table_Phrases[N])</f>
        <v>78</v>
      </c>
      <c r="B80" s="48" t="s">
        <v>3573</v>
      </c>
      <c r="C80" s="48">
        <v>0.0</v>
      </c>
      <c r="D80" s="50" t="s">
        <v>1301</v>
      </c>
      <c r="E80" s="63" t="s">
        <v>3404</v>
      </c>
      <c r="F80" s="50" t="s">
        <v>1299</v>
      </c>
      <c r="G80" s="50" t="s">
        <v>1299</v>
      </c>
      <c r="H80" s="49" t="s">
        <v>3574</v>
      </c>
      <c r="I80" s="49" t="s">
        <v>3575</v>
      </c>
    </row>
    <row r="81">
      <c r="A81" s="48">
        <f>ROW()-ROW(Table_Phrases[N])</f>
        <v>79</v>
      </c>
      <c r="B81" s="48" t="s">
        <v>3576</v>
      </c>
      <c r="C81" s="48">
        <v>1.0</v>
      </c>
      <c r="D81" s="50" t="s">
        <v>1301</v>
      </c>
      <c r="E81" s="63" t="s">
        <v>1380</v>
      </c>
      <c r="F81" s="50" t="s">
        <v>3404</v>
      </c>
      <c r="G81" s="50" t="s">
        <v>1299</v>
      </c>
      <c r="H81" s="49" t="s">
        <v>3577</v>
      </c>
      <c r="I81" s="49" t="s">
        <v>3578</v>
      </c>
    </row>
    <row r="82">
      <c r="A82" s="48">
        <f>ROW()-ROW(Table_Phrases[N])</f>
        <v>80</v>
      </c>
      <c r="B82" s="48" t="s">
        <v>3579</v>
      </c>
      <c r="C82" s="48">
        <v>0.0</v>
      </c>
      <c r="D82" s="50" t="s">
        <v>1301</v>
      </c>
      <c r="E82" s="63" t="s">
        <v>3404</v>
      </c>
      <c r="F82" s="50" t="s">
        <v>1299</v>
      </c>
      <c r="G82" s="50" t="s">
        <v>1299</v>
      </c>
      <c r="H82" s="49" t="s">
        <v>3580</v>
      </c>
      <c r="I82" s="49" t="s">
        <v>3581</v>
      </c>
    </row>
    <row r="83">
      <c r="A83" s="48">
        <f>ROW()-ROW(Table_Phrases[N])</f>
        <v>81</v>
      </c>
      <c r="B83" s="48" t="s">
        <v>3048</v>
      </c>
      <c r="C83" s="48">
        <v>0.0</v>
      </c>
      <c r="D83" s="50" t="s">
        <v>1301</v>
      </c>
      <c r="E83" s="63" t="s">
        <v>3404</v>
      </c>
      <c r="F83" s="50" t="s">
        <v>1299</v>
      </c>
      <c r="G83" s="50" t="s">
        <v>1299</v>
      </c>
      <c r="H83" s="49" t="s">
        <v>3582</v>
      </c>
      <c r="I83" s="49" t="s">
        <v>3583</v>
      </c>
    </row>
    <row r="84">
      <c r="A84" s="48">
        <f>ROW()-ROW(Table_Phrases[N])</f>
        <v>82</v>
      </c>
      <c r="B84" s="48" t="s">
        <v>3584</v>
      </c>
      <c r="C84" s="48">
        <v>1.0</v>
      </c>
      <c r="D84" s="50" t="s">
        <v>1301</v>
      </c>
      <c r="E84" s="63" t="s">
        <v>1380</v>
      </c>
      <c r="F84" s="50" t="s">
        <v>3404</v>
      </c>
      <c r="G84" s="50" t="s">
        <v>1299</v>
      </c>
      <c r="H84" s="49" t="s">
        <v>3585</v>
      </c>
      <c r="I84" s="49" t="s">
        <v>3586</v>
      </c>
    </row>
    <row r="85">
      <c r="A85" s="48">
        <f>ROW()-ROW(Table_Phrases[N])</f>
        <v>83</v>
      </c>
      <c r="B85" s="48" t="s">
        <v>3587</v>
      </c>
      <c r="C85" s="48">
        <v>1.0</v>
      </c>
      <c r="D85" s="50" t="s">
        <v>1301</v>
      </c>
      <c r="E85" s="63" t="s">
        <v>1380</v>
      </c>
      <c r="F85" s="50" t="s">
        <v>3404</v>
      </c>
      <c r="G85" s="50" t="s">
        <v>1299</v>
      </c>
      <c r="H85" s="49" t="s">
        <v>3588</v>
      </c>
      <c r="I85" s="49" t="s">
        <v>3589</v>
      </c>
    </row>
    <row r="86">
      <c r="A86" s="48">
        <f>ROW()-ROW(Table_Phrases[N])</f>
        <v>84</v>
      </c>
      <c r="B86" s="48" t="s">
        <v>3590</v>
      </c>
      <c r="C86" s="48">
        <v>1.0</v>
      </c>
      <c r="D86" s="50" t="s">
        <v>1301</v>
      </c>
      <c r="E86" s="63" t="s">
        <v>1380</v>
      </c>
      <c r="F86" s="50" t="s">
        <v>3404</v>
      </c>
      <c r="G86" s="50" t="s">
        <v>1299</v>
      </c>
      <c r="H86" s="49" t="s">
        <v>3591</v>
      </c>
      <c r="I86" s="49" t="s">
        <v>3592</v>
      </c>
    </row>
    <row r="87">
      <c r="A87" s="48">
        <f>ROW()-ROW(Table_Phrases[N])</f>
        <v>85</v>
      </c>
      <c r="B87" s="48" t="s">
        <v>3593</v>
      </c>
      <c r="C87" s="48">
        <v>0.0</v>
      </c>
      <c r="D87" s="50" t="s">
        <v>1301</v>
      </c>
      <c r="E87" s="63" t="s">
        <v>3404</v>
      </c>
      <c r="F87" s="50" t="s">
        <v>1299</v>
      </c>
      <c r="G87" s="50" t="s">
        <v>1299</v>
      </c>
      <c r="H87" s="49" t="s">
        <v>3594</v>
      </c>
      <c r="I87" s="49" t="s">
        <v>3595</v>
      </c>
    </row>
    <row r="88">
      <c r="A88" s="48">
        <f>ROW()-ROW(Table_Phrases[N])</f>
        <v>86</v>
      </c>
      <c r="B88" s="48" t="s">
        <v>3596</v>
      </c>
      <c r="C88" s="48">
        <v>0.0</v>
      </c>
      <c r="D88" s="50" t="s">
        <v>1301</v>
      </c>
      <c r="E88" s="63" t="s">
        <v>3404</v>
      </c>
      <c r="F88" s="50" t="s">
        <v>1299</v>
      </c>
      <c r="G88" s="50" t="s">
        <v>1299</v>
      </c>
      <c r="H88" s="49" t="s">
        <v>3597</v>
      </c>
      <c r="I88" s="49" t="s">
        <v>3598</v>
      </c>
    </row>
    <row r="89">
      <c r="A89" s="48">
        <f>ROW()-ROW(Table_Phrases[N])</f>
        <v>87</v>
      </c>
      <c r="B89" s="48" t="s">
        <v>3599</v>
      </c>
      <c r="C89" s="48">
        <v>0.0</v>
      </c>
      <c r="D89" s="50" t="s">
        <v>1301</v>
      </c>
      <c r="E89" s="63" t="s">
        <v>3404</v>
      </c>
      <c r="F89" s="50" t="s">
        <v>1299</v>
      </c>
      <c r="G89" s="50" t="s">
        <v>1299</v>
      </c>
      <c r="H89" s="49" t="s">
        <v>3600</v>
      </c>
      <c r="I89" s="49" t="s">
        <v>3601</v>
      </c>
    </row>
    <row r="90">
      <c r="A90" s="48">
        <f>ROW()-ROW(Table_Phrases[N])</f>
        <v>88</v>
      </c>
      <c r="B90" s="48" t="s">
        <v>1392</v>
      </c>
      <c r="C90" s="48">
        <v>0.0</v>
      </c>
      <c r="D90" s="50" t="s">
        <v>1301</v>
      </c>
      <c r="E90" s="63" t="s">
        <v>3385</v>
      </c>
      <c r="F90" s="50" t="s">
        <v>1299</v>
      </c>
      <c r="G90" s="50" t="s">
        <v>1299</v>
      </c>
      <c r="H90" s="49" t="s">
        <v>3602</v>
      </c>
      <c r="I90" s="49" t="s">
        <v>3603</v>
      </c>
    </row>
    <row r="91">
      <c r="A91" s="48">
        <f>ROW()-ROW(Table_Phrases[N])</f>
        <v>89</v>
      </c>
      <c r="B91" s="48" t="s">
        <v>1395</v>
      </c>
      <c r="C91" s="48">
        <v>0.0</v>
      </c>
      <c r="D91" s="50" t="s">
        <v>1301</v>
      </c>
      <c r="E91" s="63" t="s">
        <v>3385</v>
      </c>
      <c r="F91" s="50" t="s">
        <v>1299</v>
      </c>
      <c r="G91" s="50" t="s">
        <v>1299</v>
      </c>
      <c r="H91" s="49" t="s">
        <v>3604</v>
      </c>
      <c r="I91" s="49" t="s">
        <v>3604</v>
      </c>
    </row>
    <row r="92">
      <c r="A92" s="48">
        <f>ROW()-ROW(Table_Phrases[N])</f>
        <v>90</v>
      </c>
      <c r="B92" s="48" t="s">
        <v>1397</v>
      </c>
      <c r="C92" s="48">
        <v>0.0</v>
      </c>
      <c r="D92" s="50" t="s">
        <v>1301</v>
      </c>
      <c r="E92" s="63" t="s">
        <v>3404</v>
      </c>
      <c r="F92" s="50" t="s">
        <v>1299</v>
      </c>
      <c r="G92" s="50" t="s">
        <v>1299</v>
      </c>
      <c r="H92" s="49" t="s">
        <v>3605</v>
      </c>
      <c r="I92" s="49" t="s">
        <v>3606</v>
      </c>
    </row>
    <row r="93">
      <c r="A93" s="48">
        <f>ROW()-ROW(Table_Phrases[N])</f>
        <v>91</v>
      </c>
      <c r="B93" s="48" t="s">
        <v>1398</v>
      </c>
      <c r="C93" s="48">
        <v>0.0</v>
      </c>
      <c r="D93" s="50" t="s">
        <v>1301</v>
      </c>
      <c r="E93" s="63" t="s">
        <v>3385</v>
      </c>
      <c r="F93" s="50" t="s">
        <v>1299</v>
      </c>
      <c r="G93" s="50" t="s">
        <v>1299</v>
      </c>
      <c r="H93" s="49" t="s">
        <v>3607</v>
      </c>
      <c r="I93" s="49" t="s">
        <v>3608</v>
      </c>
    </row>
    <row r="94">
      <c r="A94" s="48">
        <f>ROW()-ROW(Table_Phrases[N])</f>
        <v>92</v>
      </c>
      <c r="B94" s="48" t="s">
        <v>1393</v>
      </c>
      <c r="C94" s="48">
        <v>0.0</v>
      </c>
      <c r="D94" s="50" t="s">
        <v>1301</v>
      </c>
      <c r="E94" s="63" t="s">
        <v>3385</v>
      </c>
      <c r="F94" s="50" t="s">
        <v>1299</v>
      </c>
      <c r="G94" s="50" t="s">
        <v>1299</v>
      </c>
      <c r="H94" s="49" t="s">
        <v>3609</v>
      </c>
      <c r="I94" s="49" t="s">
        <v>3610</v>
      </c>
    </row>
    <row r="95">
      <c r="A95" s="48">
        <f>ROW()-ROW(Table_Phrases[N])</f>
        <v>93</v>
      </c>
      <c r="B95" s="48" t="s">
        <v>1400</v>
      </c>
      <c r="C95" s="48">
        <v>0.0</v>
      </c>
      <c r="D95" s="50" t="s">
        <v>1301</v>
      </c>
      <c r="E95" s="63" t="s">
        <v>3385</v>
      </c>
      <c r="F95" s="50" t="s">
        <v>1299</v>
      </c>
      <c r="G95" s="50" t="s">
        <v>1299</v>
      </c>
      <c r="H95" s="49" t="s">
        <v>3611</v>
      </c>
      <c r="I95" s="49" t="s">
        <v>3612</v>
      </c>
    </row>
    <row r="96">
      <c r="A96" s="48">
        <f>ROW()-ROW(Table_Phrases[N])</f>
        <v>94</v>
      </c>
      <c r="B96" s="48" t="s">
        <v>1401</v>
      </c>
      <c r="C96" s="48">
        <v>0.0</v>
      </c>
      <c r="D96" s="50" t="s">
        <v>1301</v>
      </c>
      <c r="E96" s="63" t="s">
        <v>3385</v>
      </c>
      <c r="F96" s="50" t="s">
        <v>1299</v>
      </c>
      <c r="G96" s="50" t="s">
        <v>1299</v>
      </c>
      <c r="H96" s="49" t="s">
        <v>3613</v>
      </c>
      <c r="I96" s="49" t="s">
        <v>3614</v>
      </c>
    </row>
    <row r="97">
      <c r="A97" s="48">
        <f>ROW()-ROW(Table_Phrases[N])</f>
        <v>95</v>
      </c>
      <c r="B97" s="48" t="s">
        <v>1403</v>
      </c>
      <c r="C97" s="48">
        <v>0.0</v>
      </c>
      <c r="D97" s="50" t="s">
        <v>1301</v>
      </c>
      <c r="E97" s="63" t="s">
        <v>3404</v>
      </c>
      <c r="F97" s="50" t="s">
        <v>1299</v>
      </c>
      <c r="G97" s="50" t="s">
        <v>1299</v>
      </c>
      <c r="H97" s="49" t="s">
        <v>3615</v>
      </c>
      <c r="I97" s="49" t="s">
        <v>3616</v>
      </c>
    </row>
    <row r="98">
      <c r="A98" s="48">
        <f>ROW()-ROW(Table_Phrases[N])</f>
        <v>96</v>
      </c>
      <c r="B98" s="48" t="s">
        <v>1404</v>
      </c>
      <c r="C98" s="48">
        <v>0.0</v>
      </c>
      <c r="D98" s="50" t="s">
        <v>1301</v>
      </c>
      <c r="E98" s="63" t="s">
        <v>3404</v>
      </c>
      <c r="F98" s="50" t="s">
        <v>1299</v>
      </c>
      <c r="G98" s="50" t="s">
        <v>1299</v>
      </c>
      <c r="H98" s="49" t="s">
        <v>3617</v>
      </c>
      <c r="I98" s="49" t="s">
        <v>3618</v>
      </c>
    </row>
    <row r="99">
      <c r="A99" s="48">
        <f>ROW()-ROW(Table_Phrases[N])</f>
        <v>97</v>
      </c>
      <c r="B99" s="48" t="s">
        <v>1405</v>
      </c>
      <c r="C99" s="48">
        <v>0.0</v>
      </c>
      <c r="D99" s="50" t="s">
        <v>2149</v>
      </c>
      <c r="E99" s="63" t="s">
        <v>3385</v>
      </c>
      <c r="F99" s="50" t="s">
        <v>1299</v>
      </c>
      <c r="G99" s="50" t="s">
        <v>1299</v>
      </c>
      <c r="H99" s="49" t="s">
        <v>3619</v>
      </c>
      <c r="I99" s="49" t="s">
        <v>3620</v>
      </c>
    </row>
    <row r="100">
      <c r="A100" s="48">
        <f>ROW()-ROW(Table_Phrases[N])</f>
        <v>98</v>
      </c>
      <c r="B100" s="48" t="s">
        <v>1406</v>
      </c>
      <c r="C100" s="48">
        <v>0.0</v>
      </c>
      <c r="D100" s="50" t="s">
        <v>1301</v>
      </c>
      <c r="E100" s="63" t="s">
        <v>3404</v>
      </c>
      <c r="F100" s="50" t="s">
        <v>1299</v>
      </c>
      <c r="G100" s="50" t="s">
        <v>1299</v>
      </c>
      <c r="H100" s="49" t="s">
        <v>3621</v>
      </c>
      <c r="I100" s="49" t="s">
        <v>3622</v>
      </c>
    </row>
    <row r="101">
      <c r="A101" s="48">
        <f>ROW()-ROW(Table_Phrases[N])</f>
        <v>99</v>
      </c>
      <c r="B101" s="48" t="s">
        <v>1408</v>
      </c>
      <c r="C101" s="48">
        <v>0.0</v>
      </c>
      <c r="D101" s="50" t="s">
        <v>1301</v>
      </c>
      <c r="E101" s="63" t="s">
        <v>3404</v>
      </c>
      <c r="F101" s="50" t="s">
        <v>1299</v>
      </c>
      <c r="G101" s="50" t="s">
        <v>1299</v>
      </c>
      <c r="H101" s="49" t="s">
        <v>3623</v>
      </c>
      <c r="I101" s="49" t="s">
        <v>3624</v>
      </c>
    </row>
    <row r="102">
      <c r="A102" s="48">
        <f>ROW()-ROW(Table_Phrases[N])</f>
        <v>100</v>
      </c>
      <c r="B102" s="48" t="s">
        <v>1409</v>
      </c>
      <c r="C102" s="48">
        <v>0.0</v>
      </c>
      <c r="D102" s="50" t="s">
        <v>1301</v>
      </c>
      <c r="E102" s="63" t="s">
        <v>3385</v>
      </c>
      <c r="F102" s="50" t="s">
        <v>1299</v>
      </c>
      <c r="G102" s="50" t="s">
        <v>1299</v>
      </c>
      <c r="H102" s="49" t="s">
        <v>3625</v>
      </c>
      <c r="I102" s="49" t="s">
        <v>3626</v>
      </c>
    </row>
    <row r="103">
      <c r="A103" s="48">
        <f>ROW()-ROW(Table_Phrases[N])</f>
        <v>101</v>
      </c>
      <c r="B103" s="48" t="s">
        <v>1411</v>
      </c>
      <c r="C103" s="48">
        <v>0.0</v>
      </c>
      <c r="D103" s="50" t="s">
        <v>1301</v>
      </c>
      <c r="E103" s="63" t="s">
        <v>1299</v>
      </c>
      <c r="F103" s="50" t="s">
        <v>1299</v>
      </c>
      <c r="G103" s="50" t="s">
        <v>1299</v>
      </c>
      <c r="H103" s="49" t="s">
        <v>3627</v>
      </c>
      <c r="I103" s="49" t="s">
        <v>3628</v>
      </c>
    </row>
    <row r="104">
      <c r="A104" s="48">
        <f>ROW()-ROW(Table_Phrases[N])</f>
        <v>102</v>
      </c>
      <c r="B104" s="48" t="s">
        <v>1413</v>
      </c>
      <c r="C104" s="48">
        <v>0.0</v>
      </c>
      <c r="D104" s="50" t="s">
        <v>1301</v>
      </c>
      <c r="E104" s="63" t="s">
        <v>3404</v>
      </c>
      <c r="F104" s="50" t="s">
        <v>1299</v>
      </c>
      <c r="G104" s="50" t="s">
        <v>1299</v>
      </c>
      <c r="H104" s="49" t="s">
        <v>3629</v>
      </c>
      <c r="I104" s="49" t="s">
        <v>3630</v>
      </c>
    </row>
    <row r="105">
      <c r="A105" s="48">
        <f>ROW()-ROW(Table_Phrases[N])</f>
        <v>103</v>
      </c>
      <c r="B105" s="48" t="s">
        <v>1414</v>
      </c>
      <c r="C105" s="48">
        <v>0.0</v>
      </c>
      <c r="D105" s="50" t="s">
        <v>1301</v>
      </c>
      <c r="E105" s="63" t="s">
        <v>3404</v>
      </c>
      <c r="F105" s="50" t="s">
        <v>1299</v>
      </c>
      <c r="G105" s="50" t="s">
        <v>1299</v>
      </c>
      <c r="H105" s="49" t="s">
        <v>3631</v>
      </c>
      <c r="I105" s="49" t="s">
        <v>3632</v>
      </c>
    </row>
    <row r="106">
      <c r="A106" s="48">
        <f>ROW()-ROW(Table_Phrases[N])</f>
        <v>104</v>
      </c>
      <c r="B106" s="48" t="s">
        <v>1415</v>
      </c>
      <c r="C106" s="48">
        <v>0.0</v>
      </c>
      <c r="D106" s="50" t="s">
        <v>1301</v>
      </c>
      <c r="E106" s="63" t="s">
        <v>3385</v>
      </c>
      <c r="F106" s="50" t="s">
        <v>1299</v>
      </c>
      <c r="G106" s="50" t="s">
        <v>1299</v>
      </c>
      <c r="H106" s="49" t="s">
        <v>3633</v>
      </c>
      <c r="I106" s="49" t="s">
        <v>3634</v>
      </c>
    </row>
    <row r="107">
      <c r="A107" s="48">
        <f>ROW()-ROW(Table_Phrases[N])</f>
        <v>105</v>
      </c>
      <c r="B107" s="48" t="s">
        <v>3635</v>
      </c>
      <c r="C107" s="48">
        <v>0.0</v>
      </c>
      <c r="D107" s="50" t="s">
        <v>1301</v>
      </c>
      <c r="E107" s="63" t="s">
        <v>3404</v>
      </c>
      <c r="F107" s="50" t="s">
        <v>1299</v>
      </c>
      <c r="G107" s="50" t="s">
        <v>1299</v>
      </c>
      <c r="H107" s="49" t="s">
        <v>3636</v>
      </c>
      <c r="I107" s="49" t="s">
        <v>3637</v>
      </c>
    </row>
    <row r="108">
      <c r="A108" s="48">
        <f>ROW()-ROW(Table_Phrases[N])</f>
        <v>106</v>
      </c>
      <c r="B108" s="48" t="s">
        <v>3638</v>
      </c>
      <c r="C108" s="48">
        <v>1.0</v>
      </c>
      <c r="D108" s="50" t="s">
        <v>1301</v>
      </c>
      <c r="E108" s="63" t="s">
        <v>1380</v>
      </c>
      <c r="F108" s="50" t="s">
        <v>3404</v>
      </c>
      <c r="G108" s="50" t="s">
        <v>1299</v>
      </c>
      <c r="H108" s="49" t="s">
        <v>3639</v>
      </c>
      <c r="I108" s="49" t="s">
        <v>3640</v>
      </c>
    </row>
    <row r="109">
      <c r="A109" s="48">
        <f>ROW()-ROW(Table_Phrases[N])</f>
        <v>107</v>
      </c>
      <c r="B109" s="48" t="s">
        <v>3641</v>
      </c>
      <c r="C109" s="48">
        <v>0.0</v>
      </c>
      <c r="D109" s="50" t="s">
        <v>1301</v>
      </c>
      <c r="E109" s="63" t="s">
        <v>3404</v>
      </c>
      <c r="F109" s="50" t="s">
        <v>1299</v>
      </c>
      <c r="G109" s="50" t="s">
        <v>1299</v>
      </c>
      <c r="H109" s="49" t="s">
        <v>3642</v>
      </c>
      <c r="I109" s="49" t="s">
        <v>3643</v>
      </c>
    </row>
    <row r="110">
      <c r="A110" s="48">
        <f>ROW()-ROW(Table_Phrases[N])</f>
        <v>108</v>
      </c>
      <c r="B110" s="48" t="s">
        <v>3644</v>
      </c>
      <c r="C110" s="48">
        <v>1.0</v>
      </c>
      <c r="D110" s="50" t="s">
        <v>1301</v>
      </c>
      <c r="E110" s="63" t="s">
        <v>1380</v>
      </c>
      <c r="F110" s="50" t="s">
        <v>3404</v>
      </c>
      <c r="G110" s="50" t="s">
        <v>1299</v>
      </c>
      <c r="H110" s="49" t="s">
        <v>3645</v>
      </c>
      <c r="I110" s="49" t="s">
        <v>3646</v>
      </c>
    </row>
    <row r="111">
      <c r="A111" s="48">
        <f>ROW()-ROW(Table_Phrases[N])</f>
        <v>109</v>
      </c>
      <c r="B111" s="48" t="s">
        <v>3647</v>
      </c>
      <c r="C111" s="48">
        <v>0.0</v>
      </c>
      <c r="D111" s="50" t="s">
        <v>1301</v>
      </c>
      <c r="E111" s="63" t="s">
        <v>3404</v>
      </c>
      <c r="F111" s="50" t="s">
        <v>1299</v>
      </c>
      <c r="G111" s="50" t="s">
        <v>1299</v>
      </c>
      <c r="H111" s="49" t="s">
        <v>3648</v>
      </c>
      <c r="I111" s="49" t="s">
        <v>3649</v>
      </c>
    </row>
    <row r="112">
      <c r="A112" s="48">
        <f>ROW()-ROW(Table_Phrases[N])</f>
        <v>110</v>
      </c>
      <c r="B112" s="48" t="s">
        <v>3650</v>
      </c>
      <c r="C112" s="48">
        <v>1.0</v>
      </c>
      <c r="D112" s="50" t="s">
        <v>1301</v>
      </c>
      <c r="E112" s="63" t="s">
        <v>1380</v>
      </c>
      <c r="F112" s="50" t="s">
        <v>3404</v>
      </c>
      <c r="G112" s="50" t="s">
        <v>1299</v>
      </c>
      <c r="H112" s="49" t="s">
        <v>3651</v>
      </c>
      <c r="I112" s="49" t="s">
        <v>3651</v>
      </c>
    </row>
    <row r="113">
      <c r="A113" s="48">
        <f>ROW()-ROW(Table_Phrases[N])</f>
        <v>111</v>
      </c>
      <c r="B113" s="48" t="s">
        <v>3652</v>
      </c>
      <c r="C113" s="48">
        <v>0.0</v>
      </c>
      <c r="D113" s="50" t="s">
        <v>1301</v>
      </c>
      <c r="E113" s="63" t="s">
        <v>3404</v>
      </c>
      <c r="F113" s="50" t="s">
        <v>1299</v>
      </c>
      <c r="G113" s="50" t="s">
        <v>1299</v>
      </c>
      <c r="H113" s="49" t="s">
        <v>3653</v>
      </c>
      <c r="I113" s="49" t="s">
        <v>3654</v>
      </c>
    </row>
    <row r="114">
      <c r="A114" s="48">
        <f>ROW()-ROW(Table_Phrases[N])</f>
        <v>112</v>
      </c>
      <c r="B114" s="48" t="s">
        <v>3655</v>
      </c>
      <c r="C114" s="48">
        <v>1.0</v>
      </c>
      <c r="D114" s="50" t="s">
        <v>1301</v>
      </c>
      <c r="E114" s="63" t="s">
        <v>1380</v>
      </c>
      <c r="F114" s="50" t="s">
        <v>3404</v>
      </c>
      <c r="G114" s="50" t="s">
        <v>1299</v>
      </c>
      <c r="H114" s="49" t="s">
        <v>3656</v>
      </c>
      <c r="I114" s="49" t="s">
        <v>3657</v>
      </c>
    </row>
    <row r="115">
      <c r="A115" s="48">
        <f>ROW()-ROW(Table_Phrases[N])</f>
        <v>113</v>
      </c>
      <c r="B115" s="48" t="s">
        <v>3658</v>
      </c>
      <c r="C115" s="48">
        <v>0.0</v>
      </c>
      <c r="D115" s="50" t="s">
        <v>1301</v>
      </c>
      <c r="E115" s="63" t="s">
        <v>3404</v>
      </c>
      <c r="F115" s="50" t="s">
        <v>1299</v>
      </c>
      <c r="G115" s="50" t="s">
        <v>1299</v>
      </c>
      <c r="H115" s="49" t="s">
        <v>3659</v>
      </c>
      <c r="I115" s="49" t="s">
        <v>3660</v>
      </c>
    </row>
    <row r="116">
      <c r="A116" s="48">
        <f>ROW()-ROW(Table_Phrases[N])</f>
        <v>114</v>
      </c>
      <c r="B116" s="48" t="s">
        <v>3661</v>
      </c>
      <c r="C116" s="48">
        <v>1.0</v>
      </c>
      <c r="D116" s="50" t="s">
        <v>1301</v>
      </c>
      <c r="E116" s="63" t="s">
        <v>1380</v>
      </c>
      <c r="F116" s="50" t="s">
        <v>3404</v>
      </c>
      <c r="G116" s="50" t="s">
        <v>1299</v>
      </c>
      <c r="H116" s="49" t="s">
        <v>3662</v>
      </c>
      <c r="I116" s="49" t="s">
        <v>3663</v>
      </c>
    </row>
    <row r="117">
      <c r="A117" s="48">
        <f>ROW()-ROW(Table_Phrases[N])</f>
        <v>115</v>
      </c>
      <c r="B117" s="48" t="s">
        <v>3664</v>
      </c>
      <c r="C117" s="48">
        <v>0.0</v>
      </c>
      <c r="D117" s="50" t="s">
        <v>1301</v>
      </c>
      <c r="E117" s="63" t="s">
        <v>3404</v>
      </c>
      <c r="F117" s="50" t="s">
        <v>1299</v>
      </c>
      <c r="G117" s="50" t="s">
        <v>1299</v>
      </c>
      <c r="H117" s="49" t="s">
        <v>3665</v>
      </c>
      <c r="I117" s="49" t="s">
        <v>3666</v>
      </c>
    </row>
    <row r="118">
      <c r="A118" s="48">
        <f>ROW()-ROW(Table_Phrases[N])</f>
        <v>116</v>
      </c>
      <c r="B118" s="48" t="s">
        <v>3056</v>
      </c>
      <c r="C118" s="48">
        <v>0.0</v>
      </c>
      <c r="D118" s="50" t="s">
        <v>1301</v>
      </c>
      <c r="E118" s="63" t="s">
        <v>3404</v>
      </c>
      <c r="F118" s="50" t="s">
        <v>1299</v>
      </c>
      <c r="G118" s="50" t="s">
        <v>1299</v>
      </c>
      <c r="H118" s="49" t="s">
        <v>3667</v>
      </c>
      <c r="I118" s="49" t="s">
        <v>3668</v>
      </c>
    </row>
    <row r="119">
      <c r="A119" s="48">
        <f>ROW()-ROW(Table_Phrases[N])</f>
        <v>117</v>
      </c>
      <c r="B119" s="48" t="s">
        <v>3669</v>
      </c>
      <c r="C119" s="48">
        <v>0.0</v>
      </c>
      <c r="D119" s="50" t="s">
        <v>1301</v>
      </c>
      <c r="E119" s="63" t="s">
        <v>3404</v>
      </c>
      <c r="F119" s="50" t="s">
        <v>1299</v>
      </c>
      <c r="G119" s="50" t="s">
        <v>1299</v>
      </c>
      <c r="H119" s="49" t="s">
        <v>3670</v>
      </c>
      <c r="I119" s="49" t="s">
        <v>3671</v>
      </c>
    </row>
    <row r="120">
      <c r="A120" s="48">
        <f>ROW()-ROW(Table_Phrases[N])</f>
        <v>118</v>
      </c>
      <c r="B120" s="48" t="s">
        <v>3672</v>
      </c>
      <c r="C120" s="48">
        <v>1.0</v>
      </c>
      <c r="D120" s="50" t="s">
        <v>1301</v>
      </c>
      <c r="E120" s="63" t="s">
        <v>1380</v>
      </c>
      <c r="F120" s="50" t="s">
        <v>3404</v>
      </c>
      <c r="G120" s="50" t="s">
        <v>1299</v>
      </c>
      <c r="H120" s="49" t="s">
        <v>3673</v>
      </c>
      <c r="I120" s="49" t="s">
        <v>3674</v>
      </c>
    </row>
    <row r="121">
      <c r="A121" s="48">
        <f>ROW()-ROW(Table_Phrases[N])</f>
        <v>119</v>
      </c>
      <c r="B121" s="48" t="s">
        <v>1418</v>
      </c>
      <c r="C121" s="48">
        <v>0.0</v>
      </c>
      <c r="D121" s="50" t="s">
        <v>1301</v>
      </c>
      <c r="E121" s="63" t="s">
        <v>3385</v>
      </c>
      <c r="F121" s="50" t="s">
        <v>1299</v>
      </c>
      <c r="G121" s="50" t="s">
        <v>1299</v>
      </c>
      <c r="H121" s="49" t="s">
        <v>3675</v>
      </c>
      <c r="I121" s="49" t="s">
        <v>3676</v>
      </c>
    </row>
    <row r="122">
      <c r="A122" s="48">
        <f>ROW()-ROW(Table_Phrases[N])</f>
        <v>120</v>
      </c>
      <c r="B122" s="48" t="s">
        <v>1420</v>
      </c>
      <c r="C122" s="48">
        <v>0.0</v>
      </c>
      <c r="D122" s="50" t="s">
        <v>2147</v>
      </c>
      <c r="E122" s="63" t="s">
        <v>3385</v>
      </c>
      <c r="F122" s="50" t="s">
        <v>1299</v>
      </c>
      <c r="G122" s="50" t="s">
        <v>1299</v>
      </c>
      <c r="H122" s="49" t="s">
        <v>3677</v>
      </c>
      <c r="I122" s="49" t="s">
        <v>3678</v>
      </c>
    </row>
    <row r="123">
      <c r="A123" s="48">
        <f>ROW()-ROW(Table_Phrases[N])</f>
        <v>121</v>
      </c>
      <c r="B123" s="48" t="s">
        <v>1421</v>
      </c>
      <c r="C123" s="48">
        <v>0.0</v>
      </c>
      <c r="D123" s="50" t="s">
        <v>1301</v>
      </c>
      <c r="E123" s="63" t="s">
        <v>3385</v>
      </c>
      <c r="F123" s="50" t="s">
        <v>1299</v>
      </c>
      <c r="G123" s="50" t="s">
        <v>1299</v>
      </c>
      <c r="H123" s="49" t="s">
        <v>3679</v>
      </c>
      <c r="I123" s="49" t="s">
        <v>3680</v>
      </c>
    </row>
    <row r="124">
      <c r="A124" s="48">
        <f>ROW()-ROW(Table_Phrases[N])</f>
        <v>122</v>
      </c>
      <c r="B124" s="48" t="s">
        <v>1422</v>
      </c>
      <c r="C124" s="48">
        <v>0.0</v>
      </c>
      <c r="D124" s="50" t="s">
        <v>1301</v>
      </c>
      <c r="E124" s="63" t="s">
        <v>3385</v>
      </c>
      <c r="F124" s="50" t="s">
        <v>1299</v>
      </c>
      <c r="G124" s="50" t="s">
        <v>1299</v>
      </c>
      <c r="H124" s="49" t="s">
        <v>3681</v>
      </c>
      <c r="I124" s="49" t="s">
        <v>3682</v>
      </c>
    </row>
    <row r="125">
      <c r="A125" s="48">
        <f>ROW()-ROW(Table_Phrases[N])</f>
        <v>123</v>
      </c>
      <c r="B125" s="48" t="s">
        <v>3058</v>
      </c>
      <c r="C125" s="48">
        <v>0.0</v>
      </c>
      <c r="D125" s="50" t="s">
        <v>1301</v>
      </c>
      <c r="E125" s="63" t="s">
        <v>3404</v>
      </c>
      <c r="F125" s="50" t="s">
        <v>1299</v>
      </c>
      <c r="G125" s="50" t="s">
        <v>1299</v>
      </c>
      <c r="H125" s="49" t="s">
        <v>3683</v>
      </c>
      <c r="I125" s="49" t="s">
        <v>3684</v>
      </c>
    </row>
    <row r="126">
      <c r="A126" s="48">
        <f>ROW()-ROW(Table_Phrases[N])</f>
        <v>124</v>
      </c>
      <c r="B126" s="48" t="s">
        <v>3059</v>
      </c>
      <c r="C126" s="48">
        <v>0.0</v>
      </c>
      <c r="D126" s="50" t="s">
        <v>1301</v>
      </c>
      <c r="E126" s="63" t="s">
        <v>3404</v>
      </c>
      <c r="F126" s="50" t="s">
        <v>1299</v>
      </c>
      <c r="G126" s="50" t="s">
        <v>1299</v>
      </c>
      <c r="H126" s="49" t="s">
        <v>3685</v>
      </c>
      <c r="I126" s="49" t="s">
        <v>3686</v>
      </c>
    </row>
    <row r="127">
      <c r="A127" s="48">
        <f>ROW()-ROW(Table_Phrases[N])</f>
        <v>125</v>
      </c>
      <c r="B127" s="48" t="s">
        <v>3687</v>
      </c>
      <c r="C127" s="48">
        <v>0.0</v>
      </c>
      <c r="D127" s="50" t="s">
        <v>1301</v>
      </c>
      <c r="E127" s="63" t="s">
        <v>3404</v>
      </c>
      <c r="F127" s="50" t="s">
        <v>1299</v>
      </c>
      <c r="G127" s="50" t="s">
        <v>1299</v>
      </c>
      <c r="H127" s="49" t="s">
        <v>3688</v>
      </c>
      <c r="I127" s="49" t="s">
        <v>3689</v>
      </c>
    </row>
    <row r="128">
      <c r="A128" s="48">
        <f>ROW()-ROW(Table_Phrases[N])</f>
        <v>126</v>
      </c>
      <c r="B128" s="48" t="s">
        <v>3690</v>
      </c>
      <c r="C128" s="48">
        <v>0.0</v>
      </c>
      <c r="D128" s="50" t="s">
        <v>1301</v>
      </c>
      <c r="E128" s="63" t="s">
        <v>3404</v>
      </c>
      <c r="F128" s="50" t="s">
        <v>1299</v>
      </c>
      <c r="G128" s="50" t="s">
        <v>1299</v>
      </c>
      <c r="H128" s="49" t="s">
        <v>3691</v>
      </c>
      <c r="I128" s="49" t="s">
        <v>3692</v>
      </c>
    </row>
    <row r="129">
      <c r="A129" s="48">
        <f>ROW()-ROW(Table_Phrases[N])</f>
        <v>127</v>
      </c>
      <c r="B129" s="48" t="s">
        <v>1428</v>
      </c>
      <c r="C129" s="48">
        <v>0.0</v>
      </c>
      <c r="D129" s="50" t="s">
        <v>1301</v>
      </c>
      <c r="E129" s="63" t="s">
        <v>3404</v>
      </c>
      <c r="F129" s="50" t="s">
        <v>1299</v>
      </c>
      <c r="G129" s="50" t="s">
        <v>1299</v>
      </c>
      <c r="H129" s="49" t="s">
        <v>3693</v>
      </c>
      <c r="I129" s="49" t="s">
        <v>3694</v>
      </c>
    </row>
    <row r="130">
      <c r="A130" s="48">
        <f>ROW()-ROW(Table_Phrases[N])</f>
        <v>128</v>
      </c>
      <c r="B130" s="48" t="s">
        <v>1429</v>
      </c>
      <c r="C130" s="48">
        <v>0.0</v>
      </c>
      <c r="D130" s="50" t="s">
        <v>1301</v>
      </c>
      <c r="E130" s="63" t="s">
        <v>3404</v>
      </c>
      <c r="F130" s="50" t="s">
        <v>1299</v>
      </c>
      <c r="G130" s="50" t="s">
        <v>1299</v>
      </c>
      <c r="H130" s="49" t="s">
        <v>3695</v>
      </c>
      <c r="I130" s="49" t="s">
        <v>3696</v>
      </c>
    </row>
    <row r="131">
      <c r="A131" s="48">
        <f>ROW()-ROW(Table_Phrases[N])</f>
        <v>129</v>
      </c>
      <c r="B131" s="48" t="s">
        <v>3697</v>
      </c>
      <c r="C131" s="48">
        <v>0.0</v>
      </c>
      <c r="D131" s="50" t="s">
        <v>2166</v>
      </c>
      <c r="E131" s="63" t="s">
        <v>3404</v>
      </c>
      <c r="F131" s="50" t="s">
        <v>1380</v>
      </c>
      <c r="G131" s="50" t="s">
        <v>1299</v>
      </c>
      <c r="H131" s="49" t="s">
        <v>3698</v>
      </c>
      <c r="I131" s="49" t="s">
        <v>3698</v>
      </c>
    </row>
    <row r="132">
      <c r="A132" s="48">
        <f>ROW()-ROW(Table_Phrases[N])</f>
        <v>130</v>
      </c>
      <c r="B132" s="48" t="s">
        <v>3699</v>
      </c>
      <c r="C132" s="48">
        <v>1.0</v>
      </c>
      <c r="D132" s="50" t="s">
        <v>2168</v>
      </c>
      <c r="E132" s="63" t="s">
        <v>1380</v>
      </c>
      <c r="F132" s="50" t="s">
        <v>3404</v>
      </c>
      <c r="G132" s="50" t="s">
        <v>1299</v>
      </c>
      <c r="H132" s="49" t="s">
        <v>3700</v>
      </c>
      <c r="I132" s="49" t="s">
        <v>3700</v>
      </c>
    </row>
    <row r="133">
      <c r="A133" s="48">
        <f>ROW()-ROW(Table_Phrases[N])</f>
        <v>131</v>
      </c>
      <c r="B133" s="48" t="s">
        <v>3701</v>
      </c>
      <c r="C133" s="48">
        <v>0.0</v>
      </c>
      <c r="D133" s="50" t="s">
        <v>2170</v>
      </c>
      <c r="E133" s="63" t="s">
        <v>3404</v>
      </c>
      <c r="F133" s="50" t="s">
        <v>1380</v>
      </c>
      <c r="G133" s="50" t="s">
        <v>1299</v>
      </c>
      <c r="H133" s="49" t="s">
        <v>3702</v>
      </c>
      <c r="I133" s="49" t="s">
        <v>3702</v>
      </c>
    </row>
    <row r="134">
      <c r="A134" s="48">
        <f>ROW()-ROW(Table_Phrases[N])</f>
        <v>132</v>
      </c>
      <c r="B134" s="48" t="s">
        <v>3703</v>
      </c>
      <c r="C134" s="48">
        <v>1.0</v>
      </c>
      <c r="D134" s="50" t="s">
        <v>2172</v>
      </c>
      <c r="E134" s="63" t="s">
        <v>1380</v>
      </c>
      <c r="F134" s="50" t="s">
        <v>3404</v>
      </c>
      <c r="G134" s="50" t="s">
        <v>1299</v>
      </c>
      <c r="H134" s="49" t="s">
        <v>3704</v>
      </c>
      <c r="I134" s="49" t="s">
        <v>3704</v>
      </c>
    </row>
    <row r="135">
      <c r="A135" s="48">
        <f>ROW()-ROW(Table_Phrases[N])</f>
        <v>133</v>
      </c>
      <c r="B135" s="48" t="s">
        <v>3705</v>
      </c>
      <c r="C135" s="48">
        <v>0.0</v>
      </c>
      <c r="D135" s="50" t="s">
        <v>2174</v>
      </c>
      <c r="E135" s="63" t="s">
        <v>3404</v>
      </c>
      <c r="F135" s="50" t="s">
        <v>1380</v>
      </c>
      <c r="G135" s="50" t="s">
        <v>1299</v>
      </c>
      <c r="H135" s="49" t="s">
        <v>3706</v>
      </c>
      <c r="I135" s="49" t="s">
        <v>3706</v>
      </c>
    </row>
    <row r="136">
      <c r="A136" s="48">
        <f>ROW()-ROW(Table_Phrases[N])</f>
        <v>134</v>
      </c>
      <c r="B136" s="48" t="s">
        <v>3707</v>
      </c>
      <c r="C136" s="48">
        <v>1.0</v>
      </c>
      <c r="D136" s="50" t="s">
        <v>2176</v>
      </c>
      <c r="E136" s="63" t="s">
        <v>1500</v>
      </c>
      <c r="F136" s="50" t="s">
        <v>3404</v>
      </c>
      <c r="G136" s="50" t="s">
        <v>1299</v>
      </c>
      <c r="H136" s="49" t="s">
        <v>3708</v>
      </c>
      <c r="I136" s="49" t="s">
        <v>3708</v>
      </c>
    </row>
    <row r="137">
      <c r="A137" s="48">
        <f>ROW()-ROW(Table_Phrases[N])</f>
        <v>135</v>
      </c>
      <c r="B137" s="48" t="s">
        <v>3709</v>
      </c>
      <c r="C137" s="48">
        <v>0.0</v>
      </c>
      <c r="D137" s="50" t="s">
        <v>2178</v>
      </c>
      <c r="E137" s="63" t="s">
        <v>3404</v>
      </c>
      <c r="F137" s="50" t="s">
        <v>1380</v>
      </c>
      <c r="G137" s="50" t="s">
        <v>1299</v>
      </c>
      <c r="H137" s="49" t="s">
        <v>3710</v>
      </c>
      <c r="I137" s="49" t="s">
        <v>3710</v>
      </c>
    </row>
    <row r="138">
      <c r="A138" s="48">
        <f>ROW()-ROW(Table_Phrases[N])</f>
        <v>136</v>
      </c>
      <c r="B138" s="48" t="s">
        <v>3711</v>
      </c>
      <c r="C138" s="48">
        <v>1.0</v>
      </c>
      <c r="D138" s="50" t="s">
        <v>2180</v>
      </c>
      <c r="E138" s="63" t="s">
        <v>1380</v>
      </c>
      <c r="F138" s="50" t="s">
        <v>3404</v>
      </c>
      <c r="G138" s="50" t="s">
        <v>1299</v>
      </c>
      <c r="H138" s="49" t="s">
        <v>3712</v>
      </c>
      <c r="I138" s="49" t="s">
        <v>3712</v>
      </c>
    </row>
    <row r="139">
      <c r="A139" s="48">
        <f>ROW()-ROW(Table_Phrases[N])</f>
        <v>137</v>
      </c>
      <c r="B139" s="48" t="s">
        <v>3713</v>
      </c>
      <c r="C139" s="48">
        <v>0.0</v>
      </c>
      <c r="D139" s="50" t="s">
        <v>1301</v>
      </c>
      <c r="E139" s="63" t="s">
        <v>1495</v>
      </c>
      <c r="F139" s="50" t="s">
        <v>1380</v>
      </c>
      <c r="G139" s="50" t="s">
        <v>1299</v>
      </c>
      <c r="H139" s="49" t="s">
        <v>3714</v>
      </c>
      <c r="I139" s="49" t="s">
        <v>3714</v>
      </c>
    </row>
    <row r="140">
      <c r="A140" s="48">
        <f>ROW()-ROW(Table_Phrases[N])</f>
        <v>138</v>
      </c>
      <c r="B140" s="48" t="s">
        <v>3068</v>
      </c>
      <c r="C140" s="48">
        <v>0.0</v>
      </c>
      <c r="D140" s="50" t="s">
        <v>2182</v>
      </c>
      <c r="E140" s="63" t="s">
        <v>3404</v>
      </c>
      <c r="F140" s="50" t="s">
        <v>1380</v>
      </c>
      <c r="G140" s="50" t="s">
        <v>1299</v>
      </c>
      <c r="H140" s="49" t="s">
        <v>3715</v>
      </c>
      <c r="I140" s="49" t="s">
        <v>3716</v>
      </c>
    </row>
    <row r="141">
      <c r="A141" s="48">
        <f>ROW()-ROW(Table_Phrases[N])</f>
        <v>139</v>
      </c>
      <c r="B141" s="48" t="s">
        <v>3717</v>
      </c>
      <c r="C141" s="48">
        <v>1.0</v>
      </c>
      <c r="D141" s="50" t="s">
        <v>2162</v>
      </c>
      <c r="E141" s="63" t="s">
        <v>1380</v>
      </c>
      <c r="F141" s="50" t="s">
        <v>3404</v>
      </c>
      <c r="G141" s="50" t="s">
        <v>1299</v>
      </c>
      <c r="H141" s="49" t="s">
        <v>3718</v>
      </c>
      <c r="I141" s="49" t="s">
        <v>3718</v>
      </c>
    </row>
    <row r="142">
      <c r="A142" s="48">
        <f>ROW()-ROW(Table_Phrases[N])</f>
        <v>140</v>
      </c>
      <c r="B142" s="48" t="s">
        <v>3719</v>
      </c>
      <c r="C142" s="48">
        <v>1.0</v>
      </c>
      <c r="D142" s="50" t="s">
        <v>2164</v>
      </c>
      <c r="E142" s="63" t="s">
        <v>1380</v>
      </c>
      <c r="F142" s="50" t="s">
        <v>3404</v>
      </c>
      <c r="G142" s="50" t="s">
        <v>1299</v>
      </c>
      <c r="H142" s="49" t="s">
        <v>3720</v>
      </c>
      <c r="I142" s="49" t="s">
        <v>3720</v>
      </c>
    </row>
    <row r="143">
      <c r="A143" s="48">
        <f>ROW()-ROW(Table_Phrases[N])</f>
        <v>141</v>
      </c>
      <c r="B143" s="48" t="s">
        <v>3721</v>
      </c>
      <c r="C143" s="48">
        <v>0.0</v>
      </c>
      <c r="D143" s="50" t="s">
        <v>2184</v>
      </c>
      <c r="E143" s="63" t="s">
        <v>1373</v>
      </c>
      <c r="F143" s="50" t="s">
        <v>1380</v>
      </c>
      <c r="G143" s="50" t="s">
        <v>1299</v>
      </c>
      <c r="H143" s="49" t="s">
        <v>3722</v>
      </c>
      <c r="I143" s="49" t="s">
        <v>3722</v>
      </c>
    </row>
    <row r="144">
      <c r="A144" s="48">
        <f>ROW()-ROW(Table_Phrases[N])</f>
        <v>142</v>
      </c>
      <c r="B144" s="48" t="s">
        <v>3723</v>
      </c>
      <c r="C144" s="48">
        <v>1.0</v>
      </c>
      <c r="D144" s="50" t="s">
        <v>2186</v>
      </c>
      <c r="E144" s="63" t="s">
        <v>1500</v>
      </c>
      <c r="F144" s="50" t="s">
        <v>3404</v>
      </c>
      <c r="G144" s="50" t="s">
        <v>1299</v>
      </c>
      <c r="H144" s="49" t="s">
        <v>3724</v>
      </c>
      <c r="I144" s="49" t="s">
        <v>3724</v>
      </c>
    </row>
    <row r="145">
      <c r="A145" s="48">
        <f>ROW()-ROW(Table_Phrases[N])</f>
        <v>143</v>
      </c>
      <c r="B145" s="48" t="s">
        <v>3725</v>
      </c>
      <c r="C145" s="48">
        <v>0.0</v>
      </c>
      <c r="D145" s="50" t="s">
        <v>2188</v>
      </c>
      <c r="E145" s="63" t="s">
        <v>1373</v>
      </c>
      <c r="F145" s="50" t="s">
        <v>1380</v>
      </c>
      <c r="G145" s="50" t="s">
        <v>1299</v>
      </c>
      <c r="H145" s="49" t="s">
        <v>3726</v>
      </c>
      <c r="I145" s="49" t="s">
        <v>3726</v>
      </c>
    </row>
    <row r="146">
      <c r="A146" s="48">
        <f>ROW()-ROW(Table_Phrases[N])</f>
        <v>144</v>
      </c>
      <c r="B146" s="48" t="s">
        <v>3727</v>
      </c>
      <c r="C146" s="48">
        <v>1.0</v>
      </c>
      <c r="D146" s="50" t="s">
        <v>2190</v>
      </c>
      <c r="E146" s="63" t="s">
        <v>1495</v>
      </c>
      <c r="F146" s="50" t="s">
        <v>3404</v>
      </c>
      <c r="G146" s="50" t="s">
        <v>1299</v>
      </c>
      <c r="H146" s="49" t="s">
        <v>3728</v>
      </c>
      <c r="I146" s="49" t="s">
        <v>3728</v>
      </c>
    </row>
    <row r="147">
      <c r="A147" s="48">
        <f>ROW()-ROW(Table_Phrases[N])</f>
        <v>145</v>
      </c>
      <c r="B147" s="48" t="s">
        <v>3729</v>
      </c>
      <c r="C147" s="48">
        <v>0.0</v>
      </c>
      <c r="D147" s="50" t="s">
        <v>2192</v>
      </c>
      <c r="E147" s="63" t="s">
        <v>1373</v>
      </c>
      <c r="F147" s="50" t="s">
        <v>1380</v>
      </c>
      <c r="G147" s="50" t="s">
        <v>1299</v>
      </c>
      <c r="H147" s="49" t="s">
        <v>3730</v>
      </c>
      <c r="I147" s="49" t="s">
        <v>3730</v>
      </c>
    </row>
    <row r="148">
      <c r="A148" s="48">
        <f>ROW()-ROW(Table_Phrases[N])</f>
        <v>146</v>
      </c>
      <c r="B148" s="48" t="s">
        <v>3731</v>
      </c>
      <c r="C148" s="48">
        <v>1.0</v>
      </c>
      <c r="D148" s="50" t="s">
        <v>2194</v>
      </c>
      <c r="E148" s="63" t="s">
        <v>1495</v>
      </c>
      <c r="F148" s="50" t="s">
        <v>3404</v>
      </c>
      <c r="G148" s="50" t="s">
        <v>1299</v>
      </c>
      <c r="H148" s="49" t="s">
        <v>3732</v>
      </c>
      <c r="I148" s="49" t="s">
        <v>3732</v>
      </c>
    </row>
    <row r="149">
      <c r="A149" s="48">
        <f>ROW()-ROW(Table_Phrases[N])</f>
        <v>147</v>
      </c>
      <c r="B149" s="48" t="s">
        <v>3733</v>
      </c>
      <c r="C149" s="48">
        <v>0.0</v>
      </c>
      <c r="D149" s="50" t="s">
        <v>2196</v>
      </c>
      <c r="E149" s="63" t="s">
        <v>3404</v>
      </c>
      <c r="F149" s="50" t="s">
        <v>1380</v>
      </c>
      <c r="G149" s="50" t="s">
        <v>1299</v>
      </c>
      <c r="H149" s="49" t="s">
        <v>3734</v>
      </c>
      <c r="I149" s="49" t="s">
        <v>3734</v>
      </c>
    </row>
    <row r="150">
      <c r="A150" s="48">
        <f>ROW()-ROW(Table_Phrases[N])</f>
        <v>148</v>
      </c>
      <c r="B150" s="48" t="s">
        <v>3735</v>
      </c>
      <c r="C150" s="48">
        <v>1.0</v>
      </c>
      <c r="D150" s="50" t="s">
        <v>2198</v>
      </c>
      <c r="E150" s="63" t="s">
        <v>1380</v>
      </c>
      <c r="F150" s="50" t="s">
        <v>3404</v>
      </c>
      <c r="G150" s="50" t="s">
        <v>1299</v>
      </c>
      <c r="H150" s="49" t="s">
        <v>3736</v>
      </c>
      <c r="I150" s="49" t="s">
        <v>3736</v>
      </c>
    </row>
    <row r="151">
      <c r="A151" s="48">
        <f>ROW()-ROW(Table_Phrases[N])</f>
        <v>149</v>
      </c>
      <c r="B151" s="48" t="s">
        <v>3078</v>
      </c>
      <c r="C151" s="48">
        <v>1.0</v>
      </c>
      <c r="D151" s="50" t="s">
        <v>2200</v>
      </c>
      <c r="E151" s="63" t="s">
        <v>1380</v>
      </c>
      <c r="F151" s="50" t="s">
        <v>3404</v>
      </c>
      <c r="G151" s="50" t="s">
        <v>1299</v>
      </c>
      <c r="H151" s="49" t="s">
        <v>3737</v>
      </c>
      <c r="I151" s="49" t="s">
        <v>3737</v>
      </c>
    </row>
    <row r="152">
      <c r="A152" s="48">
        <f>ROW()-ROW(Table_Phrases[N])</f>
        <v>150</v>
      </c>
      <c r="B152" s="48" t="s">
        <v>3738</v>
      </c>
      <c r="C152" s="48">
        <v>1.0</v>
      </c>
      <c r="D152" s="50" t="s">
        <v>2228</v>
      </c>
      <c r="E152" s="63" t="s">
        <v>1380</v>
      </c>
      <c r="F152" s="50" t="s">
        <v>3404</v>
      </c>
      <c r="G152" s="50" t="s">
        <v>1299</v>
      </c>
      <c r="H152" s="49" t="s">
        <v>3739</v>
      </c>
      <c r="I152" s="49" t="s">
        <v>3739</v>
      </c>
    </row>
    <row r="153">
      <c r="A153" s="48">
        <f>ROW()-ROW(Table_Phrases[N])</f>
        <v>151</v>
      </c>
      <c r="B153" s="48" t="s">
        <v>3740</v>
      </c>
      <c r="C153" s="48">
        <v>0.0</v>
      </c>
      <c r="D153" s="50" t="s">
        <v>2230</v>
      </c>
      <c r="E153" s="63" t="s">
        <v>3404</v>
      </c>
      <c r="F153" s="50" t="s">
        <v>1380</v>
      </c>
      <c r="G153" s="50" t="s">
        <v>1299</v>
      </c>
      <c r="H153" s="49" t="s">
        <v>3741</v>
      </c>
      <c r="I153" s="49" t="s">
        <v>3741</v>
      </c>
    </row>
    <row r="154">
      <c r="A154" s="48">
        <f>ROW()-ROW(Table_Phrases[N])</f>
        <v>152</v>
      </c>
      <c r="B154" s="48" t="s">
        <v>3742</v>
      </c>
      <c r="C154" s="48">
        <v>1.0</v>
      </c>
      <c r="D154" s="50" t="s">
        <v>2232</v>
      </c>
      <c r="E154" s="63" t="s">
        <v>1380</v>
      </c>
      <c r="F154" s="50" t="s">
        <v>3404</v>
      </c>
      <c r="G154" s="50" t="s">
        <v>1299</v>
      </c>
      <c r="H154" s="49" t="s">
        <v>3743</v>
      </c>
      <c r="I154" s="49" t="s">
        <v>3743</v>
      </c>
    </row>
    <row r="155">
      <c r="A155" s="48">
        <f>ROW()-ROW(Table_Phrases[N])</f>
        <v>153</v>
      </c>
      <c r="B155" s="48" t="s">
        <v>3744</v>
      </c>
      <c r="C155" s="48">
        <v>0.0</v>
      </c>
      <c r="D155" s="50" t="s">
        <v>2234</v>
      </c>
      <c r="E155" s="63" t="s">
        <v>3404</v>
      </c>
      <c r="F155" s="50" t="s">
        <v>1521</v>
      </c>
      <c r="G155" s="50" t="s">
        <v>1299</v>
      </c>
      <c r="H155" s="49" t="s">
        <v>3745</v>
      </c>
      <c r="I155" s="49" t="s">
        <v>3745</v>
      </c>
    </row>
    <row r="156">
      <c r="A156" s="48">
        <f>ROW()-ROW(Table_Phrases[N])</f>
        <v>154</v>
      </c>
      <c r="B156" s="48" t="s">
        <v>3746</v>
      </c>
      <c r="C156" s="48">
        <v>0.0</v>
      </c>
      <c r="D156" s="50" t="s">
        <v>2237</v>
      </c>
      <c r="E156" s="63" t="s">
        <v>3404</v>
      </c>
      <c r="F156" s="50" t="s">
        <v>1380</v>
      </c>
      <c r="G156" s="50" t="s">
        <v>1299</v>
      </c>
      <c r="H156" s="49" t="s">
        <v>3747</v>
      </c>
      <c r="I156" s="49" t="s">
        <v>3747</v>
      </c>
    </row>
    <row r="157">
      <c r="A157" s="48">
        <f>ROW()-ROW(Table_Phrases[N])</f>
        <v>155</v>
      </c>
      <c r="B157" s="48" t="s">
        <v>3748</v>
      </c>
      <c r="C157" s="48">
        <v>1.0</v>
      </c>
      <c r="D157" s="50" t="s">
        <v>2239</v>
      </c>
      <c r="E157" s="63" t="s">
        <v>1380</v>
      </c>
      <c r="F157" s="50" t="s">
        <v>3404</v>
      </c>
      <c r="G157" s="50" t="s">
        <v>1299</v>
      </c>
      <c r="H157" s="49" t="s">
        <v>3749</v>
      </c>
      <c r="I157" s="49" t="s">
        <v>3749</v>
      </c>
    </row>
    <row r="158">
      <c r="A158" s="48">
        <f>ROW()-ROW(Table_Phrases[N])</f>
        <v>156</v>
      </c>
      <c r="B158" s="48" t="s">
        <v>3750</v>
      </c>
      <c r="C158" s="48">
        <v>0.0</v>
      </c>
      <c r="D158" s="50" t="s">
        <v>2241</v>
      </c>
      <c r="E158" s="63" t="s">
        <v>3404</v>
      </c>
      <c r="F158" s="50" t="s">
        <v>1521</v>
      </c>
      <c r="G158" s="50" t="s">
        <v>1299</v>
      </c>
      <c r="H158" s="49" t="s">
        <v>3751</v>
      </c>
      <c r="I158" s="49" t="s">
        <v>3751</v>
      </c>
    </row>
    <row r="159">
      <c r="A159" s="48">
        <f>ROW()-ROW(Table_Phrases[N])</f>
        <v>157</v>
      </c>
      <c r="B159" s="48" t="s">
        <v>3752</v>
      </c>
      <c r="C159" s="48">
        <v>0.0</v>
      </c>
      <c r="D159" s="50" t="s">
        <v>2243</v>
      </c>
      <c r="E159" s="63" t="s">
        <v>3404</v>
      </c>
      <c r="F159" s="50" t="s">
        <v>1380</v>
      </c>
      <c r="G159" s="50" t="s">
        <v>1299</v>
      </c>
      <c r="H159" s="49" t="s">
        <v>3753</v>
      </c>
      <c r="I159" s="49" t="s">
        <v>3753</v>
      </c>
    </row>
    <row r="160">
      <c r="A160" s="48">
        <f>ROW()-ROW(Table_Phrases[N])</f>
        <v>158</v>
      </c>
      <c r="B160" s="48" t="s">
        <v>3754</v>
      </c>
      <c r="C160" s="48">
        <v>1.0</v>
      </c>
      <c r="D160" s="50" t="s">
        <v>2245</v>
      </c>
      <c r="E160" s="63" t="s">
        <v>1380</v>
      </c>
      <c r="F160" s="50" t="s">
        <v>1521</v>
      </c>
      <c r="G160" s="50" t="s">
        <v>1299</v>
      </c>
      <c r="H160" s="49" t="s">
        <v>3755</v>
      </c>
      <c r="I160" s="49" t="s">
        <v>3755</v>
      </c>
    </row>
    <row r="161">
      <c r="A161" s="48">
        <f>ROW()-ROW(Table_Phrases[N])</f>
        <v>159</v>
      </c>
      <c r="B161" s="48" t="s">
        <v>3756</v>
      </c>
      <c r="C161" s="48">
        <v>0.0</v>
      </c>
      <c r="D161" s="50" t="s">
        <v>1301</v>
      </c>
      <c r="E161" s="63" t="s">
        <v>1495</v>
      </c>
      <c r="F161" s="50" t="s">
        <v>1495</v>
      </c>
      <c r="G161" s="50" t="s">
        <v>1299</v>
      </c>
      <c r="H161" s="49" t="s">
        <v>3714</v>
      </c>
      <c r="I161" s="49" t="s">
        <v>3714</v>
      </c>
    </row>
    <row r="162">
      <c r="A162" s="48">
        <f>ROW()-ROW(Table_Phrases[N])</f>
        <v>160</v>
      </c>
      <c r="B162" s="48" t="s">
        <v>1484</v>
      </c>
      <c r="C162" s="48">
        <v>0.0</v>
      </c>
      <c r="D162" s="50" t="s">
        <v>2247</v>
      </c>
      <c r="E162" s="63" t="s">
        <v>3404</v>
      </c>
      <c r="F162" s="50" t="s">
        <v>1299</v>
      </c>
      <c r="G162" s="50" t="s">
        <v>1299</v>
      </c>
      <c r="H162" s="49" t="s">
        <v>3757</v>
      </c>
      <c r="I162" s="49" t="s">
        <v>3757</v>
      </c>
    </row>
    <row r="163">
      <c r="A163" s="48">
        <f>ROW()-ROW(Table_Phrases[N])</f>
        <v>161</v>
      </c>
      <c r="B163" s="48" t="s">
        <v>1485</v>
      </c>
      <c r="C163" s="48">
        <v>0.0</v>
      </c>
      <c r="D163" s="50" t="s">
        <v>2249</v>
      </c>
      <c r="E163" s="63" t="s">
        <v>3385</v>
      </c>
      <c r="F163" s="50" t="s">
        <v>1299</v>
      </c>
      <c r="G163" s="50" t="s">
        <v>1299</v>
      </c>
      <c r="H163" s="49" t="s">
        <v>3758</v>
      </c>
      <c r="I163" s="49" t="s">
        <v>3758</v>
      </c>
    </row>
    <row r="164">
      <c r="A164" s="48">
        <f>ROW()-ROW(Table_Phrases[N])</f>
        <v>162</v>
      </c>
      <c r="B164" s="48" t="s">
        <v>3759</v>
      </c>
      <c r="C164" s="48">
        <v>0.0</v>
      </c>
      <c r="D164" s="50" t="s">
        <v>2253</v>
      </c>
      <c r="E164" s="63" t="s">
        <v>3404</v>
      </c>
      <c r="F164" s="50" t="s">
        <v>1380</v>
      </c>
      <c r="G164" s="50" t="s">
        <v>1299</v>
      </c>
      <c r="H164" s="49" t="s">
        <v>3760</v>
      </c>
      <c r="I164" s="49" t="s">
        <v>3760</v>
      </c>
    </row>
    <row r="165">
      <c r="A165" s="48">
        <f>ROW()-ROW(Table_Phrases[N])</f>
        <v>163</v>
      </c>
      <c r="B165" s="48" t="s">
        <v>3761</v>
      </c>
      <c r="C165" s="48">
        <v>1.0</v>
      </c>
      <c r="D165" s="50" t="s">
        <v>2255</v>
      </c>
      <c r="E165" s="63" t="s">
        <v>1380</v>
      </c>
      <c r="F165" s="50" t="s">
        <v>3404</v>
      </c>
      <c r="G165" s="50" t="s">
        <v>1299</v>
      </c>
      <c r="H165" s="49" t="s">
        <v>3762</v>
      </c>
      <c r="I165" s="49" t="s">
        <v>3762</v>
      </c>
    </row>
    <row r="166">
      <c r="A166" s="48">
        <f>ROW()-ROW(Table_Phrases[N])</f>
        <v>164</v>
      </c>
      <c r="B166" s="48" t="s">
        <v>3763</v>
      </c>
      <c r="C166" s="48">
        <v>0.0</v>
      </c>
      <c r="D166" s="50" t="s">
        <v>2257</v>
      </c>
      <c r="E166" s="63" t="s">
        <v>3404</v>
      </c>
      <c r="F166" s="50" t="s">
        <v>1380</v>
      </c>
      <c r="G166" s="50" t="s">
        <v>1299</v>
      </c>
      <c r="H166" s="49" t="s">
        <v>3764</v>
      </c>
      <c r="I166" s="49" t="s">
        <v>3764</v>
      </c>
    </row>
    <row r="167">
      <c r="A167" s="48">
        <f>ROW()-ROW(Table_Phrases[N])</f>
        <v>165</v>
      </c>
      <c r="B167" s="48" t="s">
        <v>3765</v>
      </c>
      <c r="C167" s="48">
        <v>1.0</v>
      </c>
      <c r="D167" s="50" t="s">
        <v>2259</v>
      </c>
      <c r="E167" s="63" t="s">
        <v>1380</v>
      </c>
      <c r="F167" s="50" t="s">
        <v>3404</v>
      </c>
      <c r="G167" s="50" t="s">
        <v>1299</v>
      </c>
      <c r="H167" s="49" t="s">
        <v>3766</v>
      </c>
      <c r="I167" s="49" t="s">
        <v>3766</v>
      </c>
    </row>
    <row r="168">
      <c r="A168" s="48">
        <f>ROW()-ROW(Table_Phrases[N])</f>
        <v>166</v>
      </c>
      <c r="B168" s="48" t="s">
        <v>3767</v>
      </c>
      <c r="C168" s="48">
        <v>0.0</v>
      </c>
      <c r="D168" s="50" t="s">
        <v>2261</v>
      </c>
      <c r="E168" s="63" t="s">
        <v>3404</v>
      </c>
      <c r="F168" s="50" t="s">
        <v>1380</v>
      </c>
      <c r="G168" s="50" t="s">
        <v>1299</v>
      </c>
      <c r="H168" s="49" t="s">
        <v>3768</v>
      </c>
      <c r="I168" s="49" t="s">
        <v>3768</v>
      </c>
    </row>
    <row r="169">
      <c r="A169" s="48">
        <f>ROW()-ROW(Table_Phrases[N])</f>
        <v>167</v>
      </c>
      <c r="B169" s="48" t="s">
        <v>3769</v>
      </c>
      <c r="C169" s="48">
        <v>1.0</v>
      </c>
      <c r="D169" s="50" t="s">
        <v>2263</v>
      </c>
      <c r="E169" s="63" t="s">
        <v>1380</v>
      </c>
      <c r="F169" s="50" t="s">
        <v>3404</v>
      </c>
      <c r="G169" s="50" t="s">
        <v>1299</v>
      </c>
      <c r="H169" s="49" t="s">
        <v>3770</v>
      </c>
      <c r="I169" s="49" t="s">
        <v>3770</v>
      </c>
    </row>
    <row r="170">
      <c r="A170" s="48">
        <f>ROW()-ROW(Table_Phrases[N])</f>
        <v>168</v>
      </c>
      <c r="B170" s="48" t="s">
        <v>3771</v>
      </c>
      <c r="C170" s="48">
        <v>0.0</v>
      </c>
      <c r="D170" s="50" t="s">
        <v>2265</v>
      </c>
      <c r="E170" s="63" t="s">
        <v>3404</v>
      </c>
      <c r="F170" s="50" t="s">
        <v>1380</v>
      </c>
      <c r="G170" s="50" t="s">
        <v>1299</v>
      </c>
      <c r="H170" s="49" t="s">
        <v>3772</v>
      </c>
      <c r="I170" s="49" t="s">
        <v>3772</v>
      </c>
    </row>
    <row r="171">
      <c r="A171" s="48">
        <f>ROW()-ROW(Table_Phrases[N])</f>
        <v>169</v>
      </c>
      <c r="B171" s="48" t="s">
        <v>3773</v>
      </c>
      <c r="C171" s="48">
        <v>1.0</v>
      </c>
      <c r="D171" s="50" t="s">
        <v>2267</v>
      </c>
      <c r="E171" s="63" t="s">
        <v>1380</v>
      </c>
      <c r="F171" s="50" t="s">
        <v>3404</v>
      </c>
      <c r="G171" s="50" t="s">
        <v>1299</v>
      </c>
      <c r="H171" s="49" t="s">
        <v>3774</v>
      </c>
      <c r="I171" s="49" t="s">
        <v>3774</v>
      </c>
    </row>
    <row r="172">
      <c r="A172" s="48">
        <f>ROW()-ROW(Table_Phrases[N])</f>
        <v>170</v>
      </c>
      <c r="B172" s="48" t="s">
        <v>3775</v>
      </c>
      <c r="C172" s="48">
        <v>0.0</v>
      </c>
      <c r="D172" s="50" t="s">
        <v>2269</v>
      </c>
      <c r="E172" s="63" t="s">
        <v>3404</v>
      </c>
      <c r="F172" s="50" t="s">
        <v>1380</v>
      </c>
      <c r="G172" s="50" t="s">
        <v>1299</v>
      </c>
      <c r="H172" s="49" t="s">
        <v>3776</v>
      </c>
      <c r="I172" s="49" t="s">
        <v>3776</v>
      </c>
    </row>
    <row r="173">
      <c r="A173" s="48">
        <f>ROW()-ROW(Table_Phrases[N])</f>
        <v>171</v>
      </c>
      <c r="B173" s="48" t="s">
        <v>3777</v>
      </c>
      <c r="C173" s="48">
        <v>0.0</v>
      </c>
      <c r="D173" s="50" t="s">
        <v>2271</v>
      </c>
      <c r="E173" s="63" t="s">
        <v>3404</v>
      </c>
      <c r="F173" s="50" t="s">
        <v>1380</v>
      </c>
      <c r="G173" s="50" t="s">
        <v>1299</v>
      </c>
      <c r="H173" s="49" t="s">
        <v>3778</v>
      </c>
      <c r="I173" s="49" t="s">
        <v>3778</v>
      </c>
    </row>
    <row r="174">
      <c r="A174" s="48">
        <f>ROW()-ROW(Table_Phrases[N])</f>
        <v>172</v>
      </c>
      <c r="B174" s="48" t="s">
        <v>3779</v>
      </c>
      <c r="C174" s="48">
        <v>1.0</v>
      </c>
      <c r="D174" s="50" t="s">
        <v>2273</v>
      </c>
      <c r="E174" s="63" t="s">
        <v>1380</v>
      </c>
      <c r="F174" s="50" t="s">
        <v>3404</v>
      </c>
      <c r="G174" s="50" t="s">
        <v>1299</v>
      </c>
      <c r="H174" s="49" t="s">
        <v>3780</v>
      </c>
      <c r="I174" s="49" t="s">
        <v>3780</v>
      </c>
    </row>
    <row r="175">
      <c r="A175" s="48">
        <f>ROW()-ROW(Table_Phrases[N])</f>
        <v>173</v>
      </c>
      <c r="B175" s="48" t="s">
        <v>3781</v>
      </c>
      <c r="C175" s="48">
        <v>1.0</v>
      </c>
      <c r="D175" s="50" t="s">
        <v>2275</v>
      </c>
      <c r="E175" s="63" t="s">
        <v>1380</v>
      </c>
      <c r="F175" s="50" t="s">
        <v>3404</v>
      </c>
      <c r="G175" s="50" t="s">
        <v>1299</v>
      </c>
      <c r="H175" s="49" t="s">
        <v>3782</v>
      </c>
      <c r="I175" s="49" t="s">
        <v>3782</v>
      </c>
    </row>
    <row r="176">
      <c r="A176" s="48">
        <f>ROW()-ROW(Table_Phrases[N])</f>
        <v>174</v>
      </c>
      <c r="B176" s="48" t="s">
        <v>3783</v>
      </c>
      <c r="C176" s="48">
        <v>0.0</v>
      </c>
      <c r="D176" s="50" t="s">
        <v>2277</v>
      </c>
      <c r="E176" s="63" t="s">
        <v>3404</v>
      </c>
      <c r="F176" s="50" t="s">
        <v>1380</v>
      </c>
      <c r="G176" s="50" t="s">
        <v>1299</v>
      </c>
      <c r="H176" s="49" t="s">
        <v>3784</v>
      </c>
      <c r="I176" s="49" t="s">
        <v>3784</v>
      </c>
    </row>
    <row r="177">
      <c r="A177" s="48">
        <f>ROW()-ROW(Table_Phrases[N])</f>
        <v>175</v>
      </c>
      <c r="B177" s="48" t="s">
        <v>3785</v>
      </c>
      <c r="C177" s="48">
        <v>1.0</v>
      </c>
      <c r="D177" s="50" t="s">
        <v>2279</v>
      </c>
      <c r="E177" s="63" t="s">
        <v>1380</v>
      </c>
      <c r="F177" s="50" t="s">
        <v>3404</v>
      </c>
      <c r="G177" s="50" t="s">
        <v>1299</v>
      </c>
      <c r="H177" s="49" t="s">
        <v>3786</v>
      </c>
      <c r="I177" s="49" t="s">
        <v>3786</v>
      </c>
    </row>
    <row r="178">
      <c r="A178" s="48">
        <f>ROW()-ROW(Table_Phrases[N])</f>
        <v>176</v>
      </c>
      <c r="B178" s="48" t="s">
        <v>3787</v>
      </c>
      <c r="C178" s="48">
        <v>0.0</v>
      </c>
      <c r="D178" s="50" t="s">
        <v>2281</v>
      </c>
      <c r="E178" s="63" t="s">
        <v>3404</v>
      </c>
      <c r="F178" s="50" t="s">
        <v>1380</v>
      </c>
      <c r="G178" s="50" t="s">
        <v>1299</v>
      </c>
      <c r="H178" s="49" t="s">
        <v>3788</v>
      </c>
      <c r="I178" s="49" t="s">
        <v>3788</v>
      </c>
    </row>
    <row r="179">
      <c r="A179" s="48">
        <f>ROW()-ROW(Table_Phrases[N])</f>
        <v>177</v>
      </c>
      <c r="B179" s="48" t="s">
        <v>3789</v>
      </c>
      <c r="C179" s="48">
        <v>1.0</v>
      </c>
      <c r="D179" s="50" t="s">
        <v>2283</v>
      </c>
      <c r="E179" s="63" t="s">
        <v>1380</v>
      </c>
      <c r="F179" s="50" t="s">
        <v>3404</v>
      </c>
      <c r="G179" s="50" t="s">
        <v>1299</v>
      </c>
      <c r="H179" s="49" t="s">
        <v>3790</v>
      </c>
      <c r="I179" s="49" t="s">
        <v>3790</v>
      </c>
    </row>
    <row r="180">
      <c r="A180" s="48">
        <f>ROW()-ROW(Table_Phrases[N])</f>
        <v>178</v>
      </c>
      <c r="B180" s="48" t="s">
        <v>3791</v>
      </c>
      <c r="C180" s="48">
        <v>0.0</v>
      </c>
      <c r="D180" s="50" t="s">
        <v>2285</v>
      </c>
      <c r="E180" s="63" t="s">
        <v>3404</v>
      </c>
      <c r="F180" s="50" t="s">
        <v>1380</v>
      </c>
      <c r="G180" s="50" t="s">
        <v>1299</v>
      </c>
      <c r="H180" s="49" t="s">
        <v>3792</v>
      </c>
      <c r="I180" s="49" t="s">
        <v>3792</v>
      </c>
    </row>
    <row r="181">
      <c r="A181" s="48">
        <f>ROW()-ROW(Table_Phrases[N])</f>
        <v>179</v>
      </c>
      <c r="B181" s="48" t="s">
        <v>3089</v>
      </c>
      <c r="C181" s="48">
        <v>1.0</v>
      </c>
      <c r="D181" s="50" t="s">
        <v>2251</v>
      </c>
      <c r="E181" s="63" t="s">
        <v>1380</v>
      </c>
      <c r="F181" s="50" t="s">
        <v>3404</v>
      </c>
      <c r="G181" s="50" t="s">
        <v>1299</v>
      </c>
      <c r="H181" s="49" t="s">
        <v>3793</v>
      </c>
      <c r="I181" s="49" t="s">
        <v>3793</v>
      </c>
    </row>
    <row r="182">
      <c r="A182" s="48">
        <f>ROW()-ROW(Table_Phrases[N])</f>
        <v>180</v>
      </c>
      <c r="B182" s="48" t="s">
        <v>3794</v>
      </c>
      <c r="C182" s="48">
        <v>0.0</v>
      </c>
      <c r="D182" s="50" t="s">
        <v>2301</v>
      </c>
      <c r="E182" s="63" t="s">
        <v>1299</v>
      </c>
      <c r="F182" s="50" t="s">
        <v>1299</v>
      </c>
      <c r="G182" s="50" t="s">
        <v>1299</v>
      </c>
      <c r="H182" s="49" t="s">
        <v>3795</v>
      </c>
      <c r="I182" s="49" t="s">
        <v>3795</v>
      </c>
    </row>
    <row r="183">
      <c r="A183" s="48">
        <f>ROW()-ROW(Table_Phrases[N])</f>
        <v>181</v>
      </c>
      <c r="B183" s="48" t="s">
        <v>3796</v>
      </c>
      <c r="C183" s="48">
        <v>0.0</v>
      </c>
      <c r="D183" s="50" t="s">
        <v>2303</v>
      </c>
      <c r="E183" s="63" t="s">
        <v>1299</v>
      </c>
      <c r="F183" s="50" t="s">
        <v>1299</v>
      </c>
      <c r="G183" s="50" t="s">
        <v>1299</v>
      </c>
      <c r="H183" s="49" t="s">
        <v>3797</v>
      </c>
      <c r="I183" s="49" t="s">
        <v>3797</v>
      </c>
    </row>
    <row r="184">
      <c r="A184" s="48">
        <f>ROW()-ROW(Table_Phrases[N])</f>
        <v>182</v>
      </c>
      <c r="B184" s="48" t="s">
        <v>3798</v>
      </c>
      <c r="C184" s="48">
        <v>0.0</v>
      </c>
      <c r="D184" s="50" t="s">
        <v>2305</v>
      </c>
      <c r="E184" s="63" t="s">
        <v>1299</v>
      </c>
      <c r="F184" s="50" t="s">
        <v>1299</v>
      </c>
      <c r="G184" s="50" t="s">
        <v>1299</v>
      </c>
      <c r="H184" s="49" t="s">
        <v>3799</v>
      </c>
      <c r="I184" s="49" t="s">
        <v>3799</v>
      </c>
    </row>
    <row r="185">
      <c r="A185" s="48">
        <f>ROW()-ROW(Table_Phrases[N])</f>
        <v>183</v>
      </c>
      <c r="B185" s="48" t="s">
        <v>3800</v>
      </c>
      <c r="C185" s="48">
        <v>0.0</v>
      </c>
      <c r="D185" s="50" t="s">
        <v>2307</v>
      </c>
      <c r="E185" s="63" t="s">
        <v>1299</v>
      </c>
      <c r="F185" s="50" t="s">
        <v>1299</v>
      </c>
      <c r="G185" s="50" t="s">
        <v>1299</v>
      </c>
      <c r="H185" s="49" t="s">
        <v>3801</v>
      </c>
      <c r="I185" s="49" t="s">
        <v>3801</v>
      </c>
    </row>
    <row r="186">
      <c r="A186" s="48">
        <f>ROW()-ROW(Table_Phrases[N])</f>
        <v>184</v>
      </c>
      <c r="B186" s="48" t="s">
        <v>3802</v>
      </c>
      <c r="C186" s="48">
        <v>0.0</v>
      </c>
      <c r="D186" s="50" t="s">
        <v>2309</v>
      </c>
      <c r="E186" s="63" t="s">
        <v>1299</v>
      </c>
      <c r="F186" s="50" t="s">
        <v>1299</v>
      </c>
      <c r="G186" s="50" t="s">
        <v>1299</v>
      </c>
      <c r="H186" s="49" t="s">
        <v>3803</v>
      </c>
      <c r="I186" s="49" t="s">
        <v>3803</v>
      </c>
    </row>
    <row r="187">
      <c r="A187" s="48">
        <f>ROW()-ROW(Table_Phrases[N])</f>
        <v>185</v>
      </c>
      <c r="B187" s="48" t="s">
        <v>3804</v>
      </c>
      <c r="C187" s="48">
        <v>0.0</v>
      </c>
      <c r="D187" s="50" t="s">
        <v>2311</v>
      </c>
      <c r="E187" s="63" t="s">
        <v>1299</v>
      </c>
      <c r="F187" s="50" t="s">
        <v>1299</v>
      </c>
      <c r="G187" s="50" t="s">
        <v>1299</v>
      </c>
      <c r="H187" s="49" t="s">
        <v>3805</v>
      </c>
      <c r="I187" s="49" t="s">
        <v>3805</v>
      </c>
    </row>
    <row r="188">
      <c r="A188" s="48">
        <f>ROW()-ROW(Table_Phrases[N])</f>
        <v>186</v>
      </c>
      <c r="B188" s="48" t="s">
        <v>3806</v>
      </c>
      <c r="C188" s="48">
        <v>0.0</v>
      </c>
      <c r="D188" s="50" t="s">
        <v>2316</v>
      </c>
      <c r="E188" s="63" t="s">
        <v>1299</v>
      </c>
      <c r="F188" s="50" t="s">
        <v>1299</v>
      </c>
      <c r="G188" s="50" t="s">
        <v>1299</v>
      </c>
      <c r="H188" s="49" t="s">
        <v>3807</v>
      </c>
      <c r="I188" s="49" t="s">
        <v>3807</v>
      </c>
    </row>
    <row r="189">
      <c r="A189" s="48">
        <f>ROW()-ROW(Table_Phrases[N])</f>
        <v>187</v>
      </c>
      <c r="B189" s="48" t="s">
        <v>3808</v>
      </c>
      <c r="C189" s="48">
        <v>0.0</v>
      </c>
      <c r="D189" s="50" t="s">
        <v>2291</v>
      </c>
      <c r="E189" s="63" t="s">
        <v>1299</v>
      </c>
      <c r="F189" s="50" t="s">
        <v>1299</v>
      </c>
      <c r="G189" s="50" t="s">
        <v>1299</v>
      </c>
      <c r="H189" s="49" t="s">
        <v>3809</v>
      </c>
      <c r="I189" s="49" t="s">
        <v>3809</v>
      </c>
    </row>
    <row r="190">
      <c r="A190" s="48">
        <f>ROW()-ROW(Table_Phrases[N])</f>
        <v>188</v>
      </c>
      <c r="B190" s="48" t="s">
        <v>3810</v>
      </c>
      <c r="C190" s="48">
        <v>0.0</v>
      </c>
      <c r="D190" s="50" t="s">
        <v>2293</v>
      </c>
      <c r="E190" s="63" t="s">
        <v>1299</v>
      </c>
      <c r="F190" s="50" t="s">
        <v>1299</v>
      </c>
      <c r="G190" s="50" t="s">
        <v>1299</v>
      </c>
      <c r="H190" s="49" t="s">
        <v>3811</v>
      </c>
      <c r="I190" s="49" t="s">
        <v>3811</v>
      </c>
    </row>
    <row r="191">
      <c r="A191" s="48">
        <f>ROW()-ROW(Table_Phrases[N])</f>
        <v>189</v>
      </c>
      <c r="B191" s="48" t="s">
        <v>3812</v>
      </c>
      <c r="C191" s="48">
        <v>0.0</v>
      </c>
      <c r="D191" s="50" t="s">
        <v>2295</v>
      </c>
      <c r="E191" s="63" t="s">
        <v>1299</v>
      </c>
      <c r="F191" s="50" t="s">
        <v>1299</v>
      </c>
      <c r="G191" s="50" t="s">
        <v>1299</v>
      </c>
      <c r="H191" s="49" t="s">
        <v>3813</v>
      </c>
      <c r="I191" s="49" t="s">
        <v>3813</v>
      </c>
    </row>
    <row r="192">
      <c r="A192" s="48">
        <f>ROW()-ROW(Table_Phrases[N])</f>
        <v>190</v>
      </c>
      <c r="B192" s="48" t="s">
        <v>3814</v>
      </c>
      <c r="C192" s="48">
        <v>0.0</v>
      </c>
      <c r="D192" s="50" t="s">
        <v>2297</v>
      </c>
      <c r="E192" s="63" t="s">
        <v>1299</v>
      </c>
      <c r="F192" s="50" t="s">
        <v>1299</v>
      </c>
      <c r="G192" s="50" t="s">
        <v>1299</v>
      </c>
      <c r="H192" s="49" t="s">
        <v>3815</v>
      </c>
      <c r="I192" s="49" t="s">
        <v>3815</v>
      </c>
    </row>
    <row r="193">
      <c r="A193" s="48">
        <f>ROW()-ROW(Table_Phrases[N])</f>
        <v>191</v>
      </c>
      <c r="B193" s="48" t="s">
        <v>3816</v>
      </c>
      <c r="C193" s="48">
        <v>0.0</v>
      </c>
      <c r="D193" s="50" t="s">
        <v>2299</v>
      </c>
      <c r="E193" s="63" t="s">
        <v>1299</v>
      </c>
      <c r="F193" s="50" t="s">
        <v>1299</v>
      </c>
      <c r="G193" s="50" t="s">
        <v>1299</v>
      </c>
      <c r="H193" s="49" t="s">
        <v>3817</v>
      </c>
      <c r="I193" s="49" t="s">
        <v>3817</v>
      </c>
    </row>
    <row r="194">
      <c r="A194" s="48">
        <f>ROW()-ROW(Table_Phrases[N])</f>
        <v>192</v>
      </c>
      <c r="B194" s="48" t="s">
        <v>3818</v>
      </c>
      <c r="C194" s="48">
        <v>0.0</v>
      </c>
      <c r="D194" s="50" t="s">
        <v>2314</v>
      </c>
      <c r="E194" s="63" t="s">
        <v>1299</v>
      </c>
      <c r="F194" s="50" t="s">
        <v>1299</v>
      </c>
      <c r="G194" s="50" t="s">
        <v>1299</v>
      </c>
      <c r="H194" s="49" t="s">
        <v>3819</v>
      </c>
      <c r="I194" s="49" t="s">
        <v>3819</v>
      </c>
    </row>
    <row r="195">
      <c r="A195" s="48">
        <f>ROW()-ROW(Table_Phrases[N])</f>
        <v>193</v>
      </c>
      <c r="B195" s="48" t="s">
        <v>3820</v>
      </c>
      <c r="C195" s="48">
        <v>0.0</v>
      </c>
      <c r="D195" s="50" t="s">
        <v>2318</v>
      </c>
      <c r="E195" s="63" t="s">
        <v>3404</v>
      </c>
      <c r="F195" s="50" t="s">
        <v>1380</v>
      </c>
      <c r="G195" s="50" t="s">
        <v>1299</v>
      </c>
      <c r="H195" s="49" t="s">
        <v>3821</v>
      </c>
      <c r="I195" s="49" t="s">
        <v>3821</v>
      </c>
    </row>
    <row r="196">
      <c r="A196" s="48">
        <f>ROW()-ROW(Table_Phrases[N])</f>
        <v>194</v>
      </c>
      <c r="B196" s="48" t="s">
        <v>3822</v>
      </c>
      <c r="C196" s="48">
        <v>1.0</v>
      </c>
      <c r="D196" s="50" t="s">
        <v>2320</v>
      </c>
      <c r="E196" s="50" t="s">
        <v>3408</v>
      </c>
      <c r="F196" s="50" t="s">
        <v>3404</v>
      </c>
      <c r="G196" s="50" t="s">
        <v>1299</v>
      </c>
      <c r="H196" s="49" t="s">
        <v>3823</v>
      </c>
      <c r="I196" s="49" t="s">
        <v>3823</v>
      </c>
    </row>
    <row r="197">
      <c r="A197" s="48">
        <f>ROW()-ROW(Table_Phrases[N])</f>
        <v>195</v>
      </c>
      <c r="B197" s="48" t="s">
        <v>3824</v>
      </c>
      <c r="C197" s="48">
        <v>0.0</v>
      </c>
      <c r="D197" s="50" t="s">
        <v>2322</v>
      </c>
      <c r="E197" s="63" t="s">
        <v>3404</v>
      </c>
      <c r="F197" s="50" t="s">
        <v>1380</v>
      </c>
      <c r="G197" s="50" t="s">
        <v>1299</v>
      </c>
      <c r="H197" s="49" t="s">
        <v>3825</v>
      </c>
      <c r="I197" s="49" t="s">
        <v>3825</v>
      </c>
    </row>
    <row r="198">
      <c r="A198" s="48">
        <f>ROW()-ROW(Table_Phrases[N])</f>
        <v>196</v>
      </c>
      <c r="B198" s="48" t="s">
        <v>3826</v>
      </c>
      <c r="C198" s="48">
        <v>1.0</v>
      </c>
      <c r="D198" s="50" t="s">
        <v>2324</v>
      </c>
      <c r="E198" s="50" t="s">
        <v>3408</v>
      </c>
      <c r="F198" s="50" t="s">
        <v>3404</v>
      </c>
      <c r="G198" s="50" t="s">
        <v>1299</v>
      </c>
      <c r="H198" s="49" t="s">
        <v>3827</v>
      </c>
      <c r="I198" s="49" t="s">
        <v>3827</v>
      </c>
    </row>
    <row r="199">
      <c r="A199" s="48">
        <f>ROW()-ROW(Table_Phrases[N])</f>
        <v>197</v>
      </c>
      <c r="B199" s="48" t="s">
        <v>3828</v>
      </c>
      <c r="C199" s="48">
        <v>0.0</v>
      </c>
      <c r="D199" s="50" t="s">
        <v>2326</v>
      </c>
      <c r="E199" s="63" t="s">
        <v>3404</v>
      </c>
      <c r="F199" s="50" t="s">
        <v>1380</v>
      </c>
      <c r="G199" s="50" t="s">
        <v>1299</v>
      </c>
      <c r="H199" s="49" t="s">
        <v>3829</v>
      </c>
      <c r="I199" s="49" t="s">
        <v>3829</v>
      </c>
    </row>
    <row r="200">
      <c r="A200" s="48">
        <f>ROW()-ROW(Table_Phrases[N])</f>
        <v>198</v>
      </c>
      <c r="B200" s="48" t="s">
        <v>3830</v>
      </c>
      <c r="C200" s="48">
        <v>0.0</v>
      </c>
      <c r="D200" s="50" t="s">
        <v>2328</v>
      </c>
      <c r="E200" s="63" t="s">
        <v>3404</v>
      </c>
      <c r="F200" s="50" t="s">
        <v>1380</v>
      </c>
      <c r="G200" s="50" t="s">
        <v>1299</v>
      </c>
      <c r="H200" s="49" t="s">
        <v>3831</v>
      </c>
      <c r="I200" s="49" t="s">
        <v>3831</v>
      </c>
    </row>
    <row r="201">
      <c r="A201" s="48">
        <f>ROW()-ROW(Table_Phrases[N])</f>
        <v>199</v>
      </c>
      <c r="B201" s="48" t="s">
        <v>3832</v>
      </c>
      <c r="C201" s="48">
        <v>1.0</v>
      </c>
      <c r="D201" s="50" t="s">
        <v>2330</v>
      </c>
      <c r="E201" s="50" t="s">
        <v>3408</v>
      </c>
      <c r="F201" s="50" t="s">
        <v>3404</v>
      </c>
      <c r="G201" s="50" t="s">
        <v>1299</v>
      </c>
      <c r="H201" s="49" t="s">
        <v>3833</v>
      </c>
      <c r="I201" s="49" t="s">
        <v>3833</v>
      </c>
    </row>
    <row r="202">
      <c r="A202" s="48">
        <f>ROW()-ROW(Table_Phrases[N])</f>
        <v>200</v>
      </c>
      <c r="B202" s="48" t="s">
        <v>3834</v>
      </c>
      <c r="C202" s="48">
        <v>0.0</v>
      </c>
      <c r="D202" s="50" t="s">
        <v>2332</v>
      </c>
      <c r="E202" s="63" t="s">
        <v>3404</v>
      </c>
      <c r="F202" s="50" t="s">
        <v>1380</v>
      </c>
      <c r="G202" s="50" t="s">
        <v>1299</v>
      </c>
      <c r="H202" s="49" t="s">
        <v>3835</v>
      </c>
      <c r="I202" s="49" t="s">
        <v>3835</v>
      </c>
    </row>
    <row r="203">
      <c r="A203" s="48">
        <f>ROW()-ROW(Table_Phrases[N])</f>
        <v>201</v>
      </c>
      <c r="B203" s="48" t="s">
        <v>3836</v>
      </c>
      <c r="C203" s="48">
        <v>1.0</v>
      </c>
      <c r="D203" s="50" t="s">
        <v>2334</v>
      </c>
      <c r="E203" s="50" t="s">
        <v>3408</v>
      </c>
      <c r="F203" s="50" t="s">
        <v>3404</v>
      </c>
      <c r="G203" s="50" t="s">
        <v>1299</v>
      </c>
      <c r="H203" s="49" t="s">
        <v>3837</v>
      </c>
      <c r="I203" s="49" t="s">
        <v>3837</v>
      </c>
    </row>
    <row r="204">
      <c r="A204" s="48">
        <f>ROW()-ROW(Table_Phrases[N])</f>
        <v>202</v>
      </c>
      <c r="B204" s="48" t="s">
        <v>3838</v>
      </c>
      <c r="C204" s="48">
        <v>0.0</v>
      </c>
      <c r="D204" s="50" t="s">
        <v>2336</v>
      </c>
      <c r="E204" s="63" t="s">
        <v>3404</v>
      </c>
      <c r="F204" s="50" t="s">
        <v>1380</v>
      </c>
      <c r="G204" s="50" t="s">
        <v>1299</v>
      </c>
      <c r="H204" s="49" t="s">
        <v>3839</v>
      </c>
      <c r="I204" s="49" t="s">
        <v>3839</v>
      </c>
    </row>
    <row r="205">
      <c r="A205" s="48">
        <f>ROW()-ROW(Table_Phrases[N])</f>
        <v>203</v>
      </c>
      <c r="B205" s="48" t="s">
        <v>3840</v>
      </c>
      <c r="C205" s="48">
        <v>1.0</v>
      </c>
      <c r="D205" s="50" t="s">
        <v>2338</v>
      </c>
      <c r="E205" s="50" t="s">
        <v>3408</v>
      </c>
      <c r="F205" s="50" t="s">
        <v>3404</v>
      </c>
      <c r="G205" s="50" t="s">
        <v>1299</v>
      </c>
      <c r="H205" s="49" t="s">
        <v>3841</v>
      </c>
      <c r="I205" s="49" t="s">
        <v>3841</v>
      </c>
    </row>
    <row r="206">
      <c r="A206" s="48">
        <f>ROW()-ROW(Table_Phrases[N])</f>
        <v>204</v>
      </c>
      <c r="B206" s="48" t="s">
        <v>3842</v>
      </c>
      <c r="C206" s="48">
        <v>0.0</v>
      </c>
      <c r="D206" s="50" t="s">
        <v>2340</v>
      </c>
      <c r="E206" s="63" t="s">
        <v>3404</v>
      </c>
      <c r="F206" s="50" t="s">
        <v>1380</v>
      </c>
      <c r="G206" s="50" t="s">
        <v>1299</v>
      </c>
      <c r="H206" s="49" t="s">
        <v>3843</v>
      </c>
      <c r="I206" s="49" t="s">
        <v>3843</v>
      </c>
    </row>
    <row r="207">
      <c r="A207" s="48">
        <f>ROW()-ROW(Table_Phrases[N])</f>
        <v>205</v>
      </c>
      <c r="B207" s="48" t="s">
        <v>3844</v>
      </c>
      <c r="C207" s="48">
        <v>1.0</v>
      </c>
      <c r="D207" s="50" t="s">
        <v>2342</v>
      </c>
      <c r="E207" s="50" t="s">
        <v>3408</v>
      </c>
      <c r="F207" s="50" t="s">
        <v>3404</v>
      </c>
      <c r="G207" s="50" t="s">
        <v>1299</v>
      </c>
      <c r="H207" s="49" t="s">
        <v>3845</v>
      </c>
      <c r="I207" s="49" t="s">
        <v>3845</v>
      </c>
    </row>
    <row r="208">
      <c r="A208" s="48">
        <f>ROW()-ROW(Table_Phrases[N])</f>
        <v>206</v>
      </c>
      <c r="B208" s="48" t="s">
        <v>3846</v>
      </c>
      <c r="C208" s="48">
        <v>0.0</v>
      </c>
      <c r="D208" s="50" t="s">
        <v>2344</v>
      </c>
      <c r="E208" s="63" t="s">
        <v>3404</v>
      </c>
      <c r="F208" s="50" t="s">
        <v>1380</v>
      </c>
      <c r="G208" s="50" t="s">
        <v>1299</v>
      </c>
      <c r="H208" s="49" t="s">
        <v>3847</v>
      </c>
      <c r="I208" s="49" t="s">
        <v>3847</v>
      </c>
    </row>
    <row r="209">
      <c r="A209" s="48">
        <f>ROW()-ROW(Table_Phrases[N])</f>
        <v>207</v>
      </c>
      <c r="B209" s="48" t="s">
        <v>3848</v>
      </c>
      <c r="C209" s="48">
        <v>1.0</v>
      </c>
      <c r="D209" s="50" t="s">
        <v>2346</v>
      </c>
      <c r="E209" s="50" t="s">
        <v>3408</v>
      </c>
      <c r="F209" s="50" t="s">
        <v>3404</v>
      </c>
      <c r="G209" s="50" t="s">
        <v>1299</v>
      </c>
      <c r="H209" s="49" t="s">
        <v>3849</v>
      </c>
      <c r="I209" s="49" t="s">
        <v>3849</v>
      </c>
    </row>
    <row r="210">
      <c r="A210" s="48">
        <f>ROW()-ROW(Table_Phrases[N])</f>
        <v>208</v>
      </c>
      <c r="B210" s="48" t="s">
        <v>3850</v>
      </c>
      <c r="C210" s="48">
        <v>0.0</v>
      </c>
      <c r="D210" s="50" t="s">
        <v>2348</v>
      </c>
      <c r="E210" s="50" t="s">
        <v>3404</v>
      </c>
      <c r="F210" s="50" t="s">
        <v>1380</v>
      </c>
      <c r="G210" s="50" t="s">
        <v>1299</v>
      </c>
      <c r="H210" s="49" t="s">
        <v>3851</v>
      </c>
      <c r="I210" s="49" t="s">
        <v>3851</v>
      </c>
    </row>
    <row r="211">
      <c r="A211" s="48">
        <f>ROW()-ROW(Table_Phrases[N])</f>
        <v>209</v>
      </c>
      <c r="B211" s="48" t="s">
        <v>3852</v>
      </c>
      <c r="C211" s="48">
        <v>1.0</v>
      </c>
      <c r="D211" s="50" t="s">
        <v>2350</v>
      </c>
      <c r="E211" s="50" t="s">
        <v>3408</v>
      </c>
      <c r="F211" s="50" t="s">
        <v>3404</v>
      </c>
      <c r="G211" s="50" t="s">
        <v>1299</v>
      </c>
      <c r="H211" s="49" t="s">
        <v>3853</v>
      </c>
      <c r="I211" s="49" t="s">
        <v>3853</v>
      </c>
    </row>
    <row r="212">
      <c r="A212" s="48">
        <f>ROW()-ROW(Table_Phrases[N])</f>
        <v>210</v>
      </c>
      <c r="B212" s="48" t="s">
        <v>3854</v>
      </c>
      <c r="C212" s="48">
        <v>0.0</v>
      </c>
      <c r="D212" s="50" t="s">
        <v>2352</v>
      </c>
      <c r="E212" s="50" t="s">
        <v>3404</v>
      </c>
      <c r="F212" s="50" t="s">
        <v>1380</v>
      </c>
      <c r="G212" s="50" t="s">
        <v>1299</v>
      </c>
      <c r="H212" s="49" t="s">
        <v>3855</v>
      </c>
      <c r="I212" s="49" t="s">
        <v>3855</v>
      </c>
    </row>
    <row r="213">
      <c r="A213" s="48">
        <f>ROW()-ROW(Table_Phrases[N])</f>
        <v>211</v>
      </c>
      <c r="B213" s="48" t="s">
        <v>3856</v>
      </c>
      <c r="C213" s="48">
        <v>1.0</v>
      </c>
      <c r="D213" s="50" t="s">
        <v>2354</v>
      </c>
      <c r="E213" s="50" t="s">
        <v>3408</v>
      </c>
      <c r="F213" s="50" t="s">
        <v>3404</v>
      </c>
      <c r="G213" s="50" t="s">
        <v>1299</v>
      </c>
      <c r="H213" s="49" t="s">
        <v>3857</v>
      </c>
      <c r="I213" s="49" t="s">
        <v>3857</v>
      </c>
    </row>
    <row r="214">
      <c r="A214" s="48">
        <f>ROW()-ROW(Table_Phrases[N])</f>
        <v>212</v>
      </c>
      <c r="B214" s="48" t="s">
        <v>3098</v>
      </c>
      <c r="C214" s="48">
        <v>1.0</v>
      </c>
      <c r="D214" s="50" t="s">
        <v>2356</v>
      </c>
      <c r="E214" s="50" t="s">
        <v>3408</v>
      </c>
      <c r="F214" s="50" t="s">
        <v>3404</v>
      </c>
      <c r="G214" s="50" t="s">
        <v>1299</v>
      </c>
      <c r="H214" s="49" t="s">
        <v>3858</v>
      </c>
      <c r="I214" s="49" t="s">
        <v>3858</v>
      </c>
    </row>
    <row r="215">
      <c r="A215" s="48">
        <f>ROW()-ROW(Table_Phrases[N])</f>
        <v>213</v>
      </c>
      <c r="B215" s="48" t="s">
        <v>3859</v>
      </c>
      <c r="C215" s="48">
        <v>0.0</v>
      </c>
      <c r="D215" s="50" t="s">
        <v>2358</v>
      </c>
      <c r="E215" s="50" t="s">
        <v>3404</v>
      </c>
      <c r="F215" s="50" t="s">
        <v>1375</v>
      </c>
      <c r="G215" s="50" t="s">
        <v>1299</v>
      </c>
      <c r="H215" s="49" t="s">
        <v>3860</v>
      </c>
      <c r="I215" s="49" t="s">
        <v>3860</v>
      </c>
    </row>
    <row r="216">
      <c r="A216" s="48">
        <f>ROW()-ROW(Table_Phrases[N])</f>
        <v>214</v>
      </c>
      <c r="B216" s="48" t="s">
        <v>3861</v>
      </c>
      <c r="C216" s="48">
        <v>2.0</v>
      </c>
      <c r="D216" s="50" t="s">
        <v>2374</v>
      </c>
      <c r="E216" s="50" t="s">
        <v>3408</v>
      </c>
      <c r="F216" s="50" t="s">
        <v>1299</v>
      </c>
      <c r="G216" s="50" t="s">
        <v>1495</v>
      </c>
      <c r="H216" s="49" t="s">
        <v>3862</v>
      </c>
      <c r="I216" s="49" t="s">
        <v>3863</v>
      </c>
    </row>
    <row r="217">
      <c r="A217" s="48">
        <f>ROW()-ROW(Table_Phrases[N])</f>
        <v>215</v>
      </c>
      <c r="B217" s="48" t="s">
        <v>3864</v>
      </c>
      <c r="C217" s="48">
        <v>1.0</v>
      </c>
      <c r="D217" s="50" t="s">
        <v>2360</v>
      </c>
      <c r="E217" s="50" t="s">
        <v>3408</v>
      </c>
      <c r="F217" s="50" t="s">
        <v>3404</v>
      </c>
      <c r="G217" s="50" t="s">
        <v>1299</v>
      </c>
      <c r="H217" s="49" t="s">
        <v>3865</v>
      </c>
      <c r="I217" s="49" t="s">
        <v>3865</v>
      </c>
    </row>
    <row r="218">
      <c r="A218" s="48">
        <f>ROW()-ROW(Table_Phrases[N])</f>
        <v>216</v>
      </c>
      <c r="B218" s="48" t="s">
        <v>3866</v>
      </c>
      <c r="C218" s="48">
        <v>0.0</v>
      </c>
      <c r="D218" s="50" t="s">
        <v>2362</v>
      </c>
      <c r="E218" s="50" t="s">
        <v>3404</v>
      </c>
      <c r="F218" s="50" t="s">
        <v>1375</v>
      </c>
      <c r="G218" s="50" t="s">
        <v>1299</v>
      </c>
      <c r="H218" s="49" t="s">
        <v>3867</v>
      </c>
      <c r="I218" s="49" t="s">
        <v>3867</v>
      </c>
    </row>
    <row r="219">
      <c r="A219" s="48">
        <f>ROW()-ROW(Table_Phrases[N])</f>
        <v>217</v>
      </c>
      <c r="B219" s="48" t="s">
        <v>3868</v>
      </c>
      <c r="C219" s="48">
        <v>1.0</v>
      </c>
      <c r="D219" s="50" t="s">
        <v>2364</v>
      </c>
      <c r="E219" s="50" t="s">
        <v>3408</v>
      </c>
      <c r="F219" s="50" t="s">
        <v>3404</v>
      </c>
      <c r="G219" s="50" t="s">
        <v>1299</v>
      </c>
      <c r="H219" s="49" t="s">
        <v>3869</v>
      </c>
      <c r="I219" s="49" t="s">
        <v>3869</v>
      </c>
    </row>
    <row r="220">
      <c r="A220" s="48">
        <f>ROW()-ROW(Table_Phrases[N])</f>
        <v>218</v>
      </c>
      <c r="B220" s="48" t="s">
        <v>3870</v>
      </c>
      <c r="C220" s="48">
        <v>0.0</v>
      </c>
      <c r="D220" s="50" t="s">
        <v>2366</v>
      </c>
      <c r="E220" s="50" t="s">
        <v>3404</v>
      </c>
      <c r="F220" s="50" t="s">
        <v>1375</v>
      </c>
      <c r="G220" s="50" t="s">
        <v>1299</v>
      </c>
      <c r="H220" s="49" t="s">
        <v>3871</v>
      </c>
      <c r="I220" s="49" t="s">
        <v>3871</v>
      </c>
    </row>
    <row r="221">
      <c r="A221" s="48">
        <f>ROW()-ROW(Table_Phrases[N])</f>
        <v>219</v>
      </c>
      <c r="B221" s="48" t="s">
        <v>3872</v>
      </c>
      <c r="C221" s="48">
        <v>1.0</v>
      </c>
      <c r="D221" s="50" t="s">
        <v>2368</v>
      </c>
      <c r="E221" s="50" t="s">
        <v>3408</v>
      </c>
      <c r="F221" s="50" t="s">
        <v>3404</v>
      </c>
      <c r="G221" s="50" t="s">
        <v>1299</v>
      </c>
      <c r="H221" s="49" t="s">
        <v>3873</v>
      </c>
      <c r="I221" s="49" t="s">
        <v>3873</v>
      </c>
    </row>
    <row r="222">
      <c r="A222" s="48">
        <f>ROW()-ROW(Table_Phrases[N])</f>
        <v>220</v>
      </c>
      <c r="B222" s="48" t="s">
        <v>3106</v>
      </c>
      <c r="C222" s="48">
        <v>0.0</v>
      </c>
      <c r="D222" s="50" t="s">
        <v>2182</v>
      </c>
      <c r="E222" s="50" t="s">
        <v>3404</v>
      </c>
      <c r="F222" s="50" t="s">
        <v>1375</v>
      </c>
      <c r="G222" s="50" t="s">
        <v>1299</v>
      </c>
      <c r="H222" s="49" t="s">
        <v>3874</v>
      </c>
      <c r="I222" s="49" t="s">
        <v>3874</v>
      </c>
    </row>
    <row r="223">
      <c r="A223" s="48">
        <f>ROW()-ROW(Table_Phrases[N])</f>
        <v>221</v>
      </c>
      <c r="B223" s="48" t="s">
        <v>3875</v>
      </c>
      <c r="C223" s="48">
        <v>1.0</v>
      </c>
      <c r="D223" s="50" t="s">
        <v>2370</v>
      </c>
      <c r="E223" s="50" t="s">
        <v>3408</v>
      </c>
      <c r="F223" s="50" t="s">
        <v>3404</v>
      </c>
      <c r="G223" s="50" t="s">
        <v>1299</v>
      </c>
      <c r="H223" s="49" t="s">
        <v>3876</v>
      </c>
      <c r="I223" s="49" t="s">
        <v>3876</v>
      </c>
    </row>
    <row r="224">
      <c r="A224" s="48">
        <f>ROW()-ROW(Table_Phrases[N])</f>
        <v>222</v>
      </c>
      <c r="B224" s="48" t="s">
        <v>3877</v>
      </c>
      <c r="C224" s="48">
        <v>0.0</v>
      </c>
      <c r="D224" s="50" t="s">
        <v>2372</v>
      </c>
      <c r="E224" s="50" t="s">
        <v>3404</v>
      </c>
      <c r="F224" s="50" t="s">
        <v>1375</v>
      </c>
      <c r="G224" s="50" t="s">
        <v>1299</v>
      </c>
      <c r="H224" s="49" t="s">
        <v>3878</v>
      </c>
      <c r="I224" s="49" t="s">
        <v>3878</v>
      </c>
    </row>
    <row r="225">
      <c r="A225" s="48">
        <f>ROW()-ROW(Table_Phrases[N])</f>
        <v>223</v>
      </c>
      <c r="B225" s="48" t="s">
        <v>1507</v>
      </c>
      <c r="C225" s="48">
        <v>0.0</v>
      </c>
      <c r="D225" s="50" t="s">
        <v>2375</v>
      </c>
      <c r="E225" s="63" t="s">
        <v>1299</v>
      </c>
      <c r="F225" s="63" t="s">
        <v>1299</v>
      </c>
      <c r="G225" s="63" t="s">
        <v>1299</v>
      </c>
      <c r="H225" s="49" t="s">
        <v>3879</v>
      </c>
      <c r="I225" s="49" t="s">
        <v>3879</v>
      </c>
    </row>
    <row r="226">
      <c r="A226" s="48">
        <f>ROW()-ROW(Table_Phrases[N])</f>
        <v>224</v>
      </c>
      <c r="B226" s="48" t="s">
        <v>1509</v>
      </c>
      <c r="C226" s="48">
        <v>0.0</v>
      </c>
      <c r="D226" s="50" t="s">
        <v>2377</v>
      </c>
      <c r="E226" s="63" t="s">
        <v>1299</v>
      </c>
      <c r="F226" s="50" t="s">
        <v>1299</v>
      </c>
      <c r="G226" s="50" t="s">
        <v>1299</v>
      </c>
      <c r="H226" s="49" t="s">
        <v>3880</v>
      </c>
      <c r="I226" s="49" t="s">
        <v>3880</v>
      </c>
    </row>
    <row r="227">
      <c r="A227" s="48">
        <f>ROW()-ROW(Table_Phrases[N])</f>
        <v>225</v>
      </c>
      <c r="B227" s="54" t="s">
        <v>3881</v>
      </c>
      <c r="C227" s="75">
        <v>0.0</v>
      </c>
      <c r="D227" s="63" t="s">
        <v>2379</v>
      </c>
      <c r="E227" s="55" t="s">
        <v>3404</v>
      </c>
      <c r="F227" s="55" t="s">
        <v>1380</v>
      </c>
      <c r="G227" s="55" t="s">
        <v>1299</v>
      </c>
      <c r="H227" s="53" t="s">
        <v>3882</v>
      </c>
      <c r="I227" s="53" t="s">
        <v>3882</v>
      </c>
    </row>
    <row r="228">
      <c r="A228" s="48">
        <f>ROW()-ROW(Table_Phrases[N])</f>
        <v>226</v>
      </c>
      <c r="B228" s="54" t="s">
        <v>3883</v>
      </c>
      <c r="C228" s="75">
        <v>1.0</v>
      </c>
      <c r="D228" s="63" t="s">
        <v>2381</v>
      </c>
      <c r="E228" s="50" t="s">
        <v>3408</v>
      </c>
      <c r="F228" s="55" t="s">
        <v>3404</v>
      </c>
      <c r="G228" s="55" t="s">
        <v>1299</v>
      </c>
      <c r="H228" s="53" t="s">
        <v>3884</v>
      </c>
      <c r="I228" s="53" t="s">
        <v>3884</v>
      </c>
    </row>
    <row r="229">
      <c r="A229" s="48">
        <f>ROW()-ROW(Table_Phrases[N])</f>
        <v>227</v>
      </c>
      <c r="B229" s="54" t="s">
        <v>3885</v>
      </c>
      <c r="C229" s="54">
        <v>0.0</v>
      </c>
      <c r="D229" s="63" t="s">
        <v>2383</v>
      </c>
      <c r="E229" s="63" t="s">
        <v>3404</v>
      </c>
      <c r="F229" s="63" t="s">
        <v>1380</v>
      </c>
      <c r="G229" s="55" t="s">
        <v>1299</v>
      </c>
      <c r="H229" s="53" t="s">
        <v>3886</v>
      </c>
      <c r="I229" s="53" t="s">
        <v>3886</v>
      </c>
    </row>
    <row r="230">
      <c r="A230" s="48">
        <f>ROW()-ROW(Table_Phrases[N])</f>
        <v>228</v>
      </c>
      <c r="B230" s="54" t="s">
        <v>3887</v>
      </c>
      <c r="C230" s="54">
        <v>1.0</v>
      </c>
      <c r="D230" s="63" t="s">
        <v>2385</v>
      </c>
      <c r="E230" s="50" t="s">
        <v>3408</v>
      </c>
      <c r="F230" s="63" t="s">
        <v>3404</v>
      </c>
      <c r="G230" s="55" t="s">
        <v>1299</v>
      </c>
      <c r="H230" s="53" t="s">
        <v>3888</v>
      </c>
      <c r="I230" s="53" t="s">
        <v>3888</v>
      </c>
    </row>
    <row r="231">
      <c r="A231" s="48">
        <f>ROW()-ROW(Table_Phrases[N])</f>
        <v>229</v>
      </c>
      <c r="B231" s="54" t="s">
        <v>3889</v>
      </c>
      <c r="C231" s="54">
        <v>0.0</v>
      </c>
      <c r="D231" s="63" t="s">
        <v>2387</v>
      </c>
      <c r="E231" s="63" t="s">
        <v>3404</v>
      </c>
      <c r="F231" s="63" t="s">
        <v>1380</v>
      </c>
      <c r="G231" s="55" t="s">
        <v>1299</v>
      </c>
      <c r="H231" s="53" t="s">
        <v>3890</v>
      </c>
      <c r="I231" s="53" t="s">
        <v>3890</v>
      </c>
    </row>
    <row r="232">
      <c r="A232" s="48">
        <f>ROW()-ROW(Table_Phrases[N])</f>
        <v>230</v>
      </c>
      <c r="B232" s="54" t="s">
        <v>3891</v>
      </c>
      <c r="C232" s="54">
        <v>1.0</v>
      </c>
      <c r="D232" s="63" t="s">
        <v>2389</v>
      </c>
      <c r="E232" s="50" t="s">
        <v>3408</v>
      </c>
      <c r="F232" s="63" t="s">
        <v>3404</v>
      </c>
      <c r="G232" s="55" t="s">
        <v>1299</v>
      </c>
      <c r="H232" s="53" t="s">
        <v>3892</v>
      </c>
      <c r="I232" s="53" t="s">
        <v>3892</v>
      </c>
    </row>
    <row r="233">
      <c r="A233" s="48">
        <f>ROW()-ROW(Table_Phrases[N])</f>
        <v>231</v>
      </c>
      <c r="B233" s="54" t="s">
        <v>3117</v>
      </c>
      <c r="C233" s="54">
        <v>0.0</v>
      </c>
      <c r="D233" s="63" t="s">
        <v>2391</v>
      </c>
      <c r="E233" s="63" t="s">
        <v>3404</v>
      </c>
      <c r="F233" s="63" t="s">
        <v>1380</v>
      </c>
      <c r="G233" s="55" t="s">
        <v>1299</v>
      </c>
      <c r="H233" s="53" t="s">
        <v>3893</v>
      </c>
      <c r="I233" s="53" t="s">
        <v>3893</v>
      </c>
    </row>
    <row r="234">
      <c r="A234" s="48">
        <f>ROW()-ROW(Table_Phrases[N])</f>
        <v>232</v>
      </c>
      <c r="B234" s="54" t="s">
        <v>3894</v>
      </c>
      <c r="C234" s="54">
        <v>0.0</v>
      </c>
      <c r="D234" s="63" t="s">
        <v>2393</v>
      </c>
      <c r="E234" s="63" t="s">
        <v>3404</v>
      </c>
      <c r="F234" s="63" t="s">
        <v>1380</v>
      </c>
      <c r="G234" s="55" t="s">
        <v>1299</v>
      </c>
      <c r="H234" s="53" t="s">
        <v>3895</v>
      </c>
      <c r="I234" s="53" t="s">
        <v>3895</v>
      </c>
    </row>
    <row r="235">
      <c r="A235" s="48">
        <f>ROW()-ROW(Table_Phrases[N])</f>
        <v>233</v>
      </c>
      <c r="B235" s="54" t="s">
        <v>3896</v>
      </c>
      <c r="C235" s="54">
        <v>1.0</v>
      </c>
      <c r="D235" s="63" t="s">
        <v>2395</v>
      </c>
      <c r="E235" s="50" t="s">
        <v>3408</v>
      </c>
      <c r="F235" s="63" t="s">
        <v>3404</v>
      </c>
      <c r="G235" s="55" t="s">
        <v>1299</v>
      </c>
      <c r="H235" s="53" t="s">
        <v>3897</v>
      </c>
      <c r="I235" s="53" t="s">
        <v>3897</v>
      </c>
    </row>
    <row r="236">
      <c r="A236" s="48">
        <f>ROW()-ROW(Table_Phrases[N])</f>
        <v>234</v>
      </c>
      <c r="B236" s="54" t="s">
        <v>1519</v>
      </c>
      <c r="C236" s="54">
        <v>0.0</v>
      </c>
      <c r="D236" s="63" t="s">
        <v>2397</v>
      </c>
      <c r="E236" s="63" t="s">
        <v>3385</v>
      </c>
      <c r="F236" s="63" t="s">
        <v>1299</v>
      </c>
      <c r="G236" s="63" t="s">
        <v>1299</v>
      </c>
      <c r="H236" s="53" t="s">
        <v>3898</v>
      </c>
      <c r="I236" s="53" t="s">
        <v>3898</v>
      </c>
    </row>
    <row r="237">
      <c r="A237" s="48">
        <f>ROW()-ROW(Table_Phrases[N])</f>
        <v>235</v>
      </c>
      <c r="B237" s="54" t="s">
        <v>1527</v>
      </c>
      <c r="C237" s="54">
        <v>0.0</v>
      </c>
      <c r="D237" s="63" t="s">
        <v>2399</v>
      </c>
      <c r="E237" s="63" t="s">
        <v>3385</v>
      </c>
      <c r="F237" s="63" t="s">
        <v>1299</v>
      </c>
      <c r="G237" s="63" t="s">
        <v>1299</v>
      </c>
      <c r="H237" s="53" t="s">
        <v>3899</v>
      </c>
      <c r="I237" s="53" t="s">
        <v>3899</v>
      </c>
    </row>
    <row r="238">
      <c r="A238" s="48">
        <f>ROW()-ROW(Table_Phrases[N])</f>
        <v>236</v>
      </c>
      <c r="B238" s="48" t="s">
        <v>1537</v>
      </c>
      <c r="C238" s="48">
        <v>0.0</v>
      </c>
      <c r="D238" s="50" t="s">
        <v>2401</v>
      </c>
      <c r="E238" s="63" t="s">
        <v>3385</v>
      </c>
      <c r="F238" s="50" t="s">
        <v>1299</v>
      </c>
      <c r="G238" s="50" t="s">
        <v>1299</v>
      </c>
      <c r="H238" s="49" t="s">
        <v>3900</v>
      </c>
      <c r="I238" s="49" t="s">
        <v>3900</v>
      </c>
    </row>
    <row r="239">
      <c r="A239" s="48">
        <f>ROW()-ROW(Table_Phrases[N])</f>
        <v>237</v>
      </c>
      <c r="B239" s="48" t="s">
        <v>1541</v>
      </c>
      <c r="C239" s="48">
        <v>0.0</v>
      </c>
      <c r="D239" s="50" t="s">
        <v>2403</v>
      </c>
      <c r="E239" s="63" t="s">
        <v>3385</v>
      </c>
      <c r="F239" s="50" t="s">
        <v>1299</v>
      </c>
      <c r="G239" s="50" t="s">
        <v>1299</v>
      </c>
      <c r="H239" s="49" t="s">
        <v>3901</v>
      </c>
      <c r="I239" s="49" t="s">
        <v>3901</v>
      </c>
    </row>
    <row r="240">
      <c r="A240" s="48">
        <f>ROW()-ROW(Table_Phrases[N])</f>
        <v>238</v>
      </c>
      <c r="B240" s="48" t="s">
        <v>3902</v>
      </c>
      <c r="C240" s="48">
        <v>0.0</v>
      </c>
      <c r="D240" s="50" t="s">
        <v>2405</v>
      </c>
      <c r="E240" s="63" t="s">
        <v>3404</v>
      </c>
      <c r="F240" s="50" t="s">
        <v>1380</v>
      </c>
      <c r="G240" s="50" t="s">
        <v>1299</v>
      </c>
      <c r="H240" s="49" t="s">
        <v>3903</v>
      </c>
      <c r="I240" s="49" t="s">
        <v>3903</v>
      </c>
    </row>
    <row r="241">
      <c r="A241" s="48">
        <f>ROW()-ROW(Table_Phrases[N])</f>
        <v>239</v>
      </c>
      <c r="B241" s="48" t="s">
        <v>3904</v>
      </c>
      <c r="C241" s="48">
        <v>1.0</v>
      </c>
      <c r="D241" s="50" t="s">
        <v>2407</v>
      </c>
      <c r="E241" s="63" t="s">
        <v>3408</v>
      </c>
      <c r="F241" s="50" t="s">
        <v>3404</v>
      </c>
      <c r="G241" s="50" t="s">
        <v>1299</v>
      </c>
      <c r="H241" s="49" t="s">
        <v>3905</v>
      </c>
      <c r="I241" s="49" t="s">
        <v>3905</v>
      </c>
    </row>
    <row r="242">
      <c r="A242" s="48">
        <f>ROW()-ROW(Table_Phrases[N])</f>
        <v>240</v>
      </c>
      <c r="B242" s="54" t="s">
        <v>3906</v>
      </c>
      <c r="C242" s="75">
        <v>0.0</v>
      </c>
      <c r="D242" s="63" t="s">
        <v>2409</v>
      </c>
      <c r="E242" s="55" t="s">
        <v>3404</v>
      </c>
      <c r="F242" s="55" t="s">
        <v>1380</v>
      </c>
      <c r="G242" s="55" t="s">
        <v>1299</v>
      </c>
      <c r="H242" s="53" t="s">
        <v>3907</v>
      </c>
      <c r="I242" s="53" t="s">
        <v>3907</v>
      </c>
    </row>
    <row r="243">
      <c r="A243" s="48">
        <f>ROW()-ROW(Table_Phrases[N])</f>
        <v>241</v>
      </c>
      <c r="B243" s="54" t="s">
        <v>3908</v>
      </c>
      <c r="C243" s="75">
        <v>1.0</v>
      </c>
      <c r="D243" s="63" t="s">
        <v>2411</v>
      </c>
      <c r="E243" s="63" t="s">
        <v>3408</v>
      </c>
      <c r="F243" s="55" t="s">
        <v>3404</v>
      </c>
      <c r="G243" s="55" t="s">
        <v>1299</v>
      </c>
      <c r="H243" s="53" t="s">
        <v>3909</v>
      </c>
      <c r="I243" s="53" t="s">
        <v>3909</v>
      </c>
    </row>
    <row r="244">
      <c r="A244" s="48">
        <f>ROW()-ROW(Table_Phrases[N])</f>
        <v>242</v>
      </c>
      <c r="B244" s="48" t="s">
        <v>3122</v>
      </c>
      <c r="C244" s="48">
        <v>0.0</v>
      </c>
      <c r="D244" s="50" t="s">
        <v>2413</v>
      </c>
      <c r="E244" s="63" t="s">
        <v>3404</v>
      </c>
      <c r="F244" s="50" t="s">
        <v>1380</v>
      </c>
      <c r="G244" s="50" t="s">
        <v>1299</v>
      </c>
      <c r="H244" s="49" t="s">
        <v>3910</v>
      </c>
      <c r="I244" s="49" t="s">
        <v>3910</v>
      </c>
    </row>
    <row r="245">
      <c r="A245" s="48">
        <f>ROW()-ROW(Table_Phrases[N])</f>
        <v>243</v>
      </c>
      <c r="B245" s="48" t="s">
        <v>3124</v>
      </c>
      <c r="C245" s="48">
        <v>0.0</v>
      </c>
      <c r="D245" s="50" t="s">
        <v>2415</v>
      </c>
      <c r="E245" s="63" t="s">
        <v>3404</v>
      </c>
      <c r="F245" s="50" t="s">
        <v>3911</v>
      </c>
      <c r="G245" s="50" t="s">
        <v>1299</v>
      </c>
      <c r="H245" s="49" t="s">
        <v>3912</v>
      </c>
      <c r="I245" s="49" t="s">
        <v>3912</v>
      </c>
    </row>
    <row r="246">
      <c r="A246" s="48">
        <f>ROW()-ROW(Table_Phrases[N])</f>
        <v>244</v>
      </c>
      <c r="B246" s="54" t="s">
        <v>3913</v>
      </c>
      <c r="C246" s="75">
        <v>0.0</v>
      </c>
      <c r="D246" s="63" t="s">
        <v>2417</v>
      </c>
      <c r="E246" s="55" t="s">
        <v>1299</v>
      </c>
      <c r="F246" s="55" t="s">
        <v>1299</v>
      </c>
      <c r="G246" s="55" t="s">
        <v>1299</v>
      </c>
      <c r="H246" s="53" t="s">
        <v>3914</v>
      </c>
      <c r="I246" s="53" t="s">
        <v>3914</v>
      </c>
    </row>
    <row r="247">
      <c r="A247" s="48">
        <f>ROW()-ROW(Table_Phrases[N])</f>
        <v>245</v>
      </c>
      <c r="B247" s="54" t="s">
        <v>3915</v>
      </c>
      <c r="C247" s="75">
        <v>0.0</v>
      </c>
      <c r="D247" s="63" t="s">
        <v>2419</v>
      </c>
      <c r="E247" s="55" t="s">
        <v>1299</v>
      </c>
      <c r="F247" s="55" t="s">
        <v>1299</v>
      </c>
      <c r="G247" s="55" t="s">
        <v>1299</v>
      </c>
      <c r="H247" s="53" t="s">
        <v>3916</v>
      </c>
      <c r="I247" s="53" t="s">
        <v>3916</v>
      </c>
    </row>
    <row r="248">
      <c r="A248" s="48">
        <f>ROW()-ROW(Table_Phrases[N])</f>
        <v>246</v>
      </c>
      <c r="B248" s="54" t="s">
        <v>3917</v>
      </c>
      <c r="C248" s="75">
        <v>0.0</v>
      </c>
      <c r="D248" s="63" t="s">
        <v>2421</v>
      </c>
      <c r="E248" s="55" t="s">
        <v>1299</v>
      </c>
      <c r="F248" s="55" t="s">
        <v>1299</v>
      </c>
      <c r="G248" s="55" t="s">
        <v>1299</v>
      </c>
      <c r="H248" s="53" t="s">
        <v>3918</v>
      </c>
      <c r="I248" s="53" t="s">
        <v>3918</v>
      </c>
    </row>
    <row r="249">
      <c r="A249" s="48">
        <f>ROW()-ROW(Table_Phrases[N])</f>
        <v>247</v>
      </c>
      <c r="B249" s="54" t="s">
        <v>3919</v>
      </c>
      <c r="C249" s="75">
        <v>0.0</v>
      </c>
      <c r="D249" s="63" t="s">
        <v>2423</v>
      </c>
      <c r="E249" s="55" t="s">
        <v>1299</v>
      </c>
      <c r="F249" s="55" t="s">
        <v>1299</v>
      </c>
      <c r="G249" s="55" t="s">
        <v>1299</v>
      </c>
      <c r="H249" s="53" t="s">
        <v>3920</v>
      </c>
      <c r="I249" s="53" t="s">
        <v>3920</v>
      </c>
    </row>
    <row r="250">
      <c r="A250" s="48">
        <f>ROW()-ROW(Table_Phrases[N])</f>
        <v>248</v>
      </c>
      <c r="B250" s="54" t="s">
        <v>3921</v>
      </c>
      <c r="C250" s="75">
        <v>0.0</v>
      </c>
      <c r="D250" s="63" t="s">
        <v>2425</v>
      </c>
      <c r="E250" s="55" t="s">
        <v>1299</v>
      </c>
      <c r="F250" s="55" t="s">
        <v>1299</v>
      </c>
      <c r="G250" s="55" t="s">
        <v>1299</v>
      </c>
      <c r="H250" s="53" t="s">
        <v>3922</v>
      </c>
      <c r="I250" s="53" t="s">
        <v>3922</v>
      </c>
    </row>
    <row r="251">
      <c r="A251" s="48">
        <f>ROW()-ROW(Table_Phrases[N])</f>
        <v>249</v>
      </c>
      <c r="B251" s="54" t="s">
        <v>1546</v>
      </c>
      <c r="C251" s="54">
        <v>0.0</v>
      </c>
      <c r="D251" s="63" t="s">
        <v>2429</v>
      </c>
      <c r="E251" s="55" t="s">
        <v>1299</v>
      </c>
      <c r="F251" s="55" t="s">
        <v>1299</v>
      </c>
      <c r="G251" s="55" t="s">
        <v>1299</v>
      </c>
      <c r="H251" s="53" t="s">
        <v>3923</v>
      </c>
      <c r="I251" s="53" t="s">
        <v>3923</v>
      </c>
    </row>
    <row r="252">
      <c r="A252" s="48">
        <f>ROW()-ROW(Table_Phrases[N])</f>
        <v>250</v>
      </c>
      <c r="B252" s="48" t="s">
        <v>1550</v>
      </c>
      <c r="C252" s="48">
        <v>0.0</v>
      </c>
      <c r="D252" s="50" t="s">
        <v>2427</v>
      </c>
      <c r="E252" s="63" t="s">
        <v>3385</v>
      </c>
      <c r="F252" s="50" t="s">
        <v>1299</v>
      </c>
      <c r="G252" s="50" t="s">
        <v>1299</v>
      </c>
      <c r="H252" s="49" t="s">
        <v>3924</v>
      </c>
      <c r="I252" s="49" t="s">
        <v>3924</v>
      </c>
    </row>
    <row r="253">
      <c r="A253" s="48">
        <f>ROW()-ROW(Table_Phrases[N])</f>
        <v>251</v>
      </c>
      <c r="B253" s="48" t="s">
        <v>3925</v>
      </c>
      <c r="C253" s="48">
        <v>0.0</v>
      </c>
      <c r="D253" s="50" t="s">
        <v>2431</v>
      </c>
      <c r="E253" s="63" t="s">
        <v>3404</v>
      </c>
      <c r="F253" s="50" t="s">
        <v>1375</v>
      </c>
      <c r="G253" s="55" t="s">
        <v>1299</v>
      </c>
      <c r="H253" s="49" t="s">
        <v>3926</v>
      </c>
      <c r="I253" s="49" t="s">
        <v>3926</v>
      </c>
    </row>
    <row r="254">
      <c r="A254" s="48">
        <f>ROW()-ROW(Table_Phrases[N])</f>
        <v>252</v>
      </c>
      <c r="B254" s="48" t="s">
        <v>3927</v>
      </c>
      <c r="C254" s="48">
        <v>1.0</v>
      </c>
      <c r="D254" s="50" t="s">
        <v>2433</v>
      </c>
      <c r="E254" s="63" t="s">
        <v>3408</v>
      </c>
      <c r="F254" s="50" t="s">
        <v>3404</v>
      </c>
      <c r="G254" s="55" t="s">
        <v>1299</v>
      </c>
      <c r="H254" s="49" t="s">
        <v>3928</v>
      </c>
      <c r="I254" s="49" t="s">
        <v>3928</v>
      </c>
    </row>
    <row r="255">
      <c r="A255" s="48">
        <f>ROW()-ROW(Table_Phrases[N])</f>
        <v>253</v>
      </c>
      <c r="B255" s="48" t="s">
        <v>3929</v>
      </c>
      <c r="C255" s="48">
        <v>0.0</v>
      </c>
      <c r="D255" s="50" t="s">
        <v>2435</v>
      </c>
      <c r="E255" s="63" t="s">
        <v>3404</v>
      </c>
      <c r="F255" s="50" t="s">
        <v>1375</v>
      </c>
      <c r="G255" s="55" t="s">
        <v>1299</v>
      </c>
      <c r="H255" s="49" t="s">
        <v>3930</v>
      </c>
      <c r="I255" s="49" t="s">
        <v>3930</v>
      </c>
    </row>
    <row r="256">
      <c r="A256" s="48">
        <f>ROW()-ROW(Table_Phrases[N])</f>
        <v>254</v>
      </c>
      <c r="B256" s="48" t="s">
        <v>3931</v>
      </c>
      <c r="C256" s="48">
        <v>1.0</v>
      </c>
      <c r="D256" s="50" t="s">
        <v>2437</v>
      </c>
      <c r="E256" s="63" t="s">
        <v>3408</v>
      </c>
      <c r="F256" s="50" t="s">
        <v>3404</v>
      </c>
      <c r="G256" s="55" t="s">
        <v>1299</v>
      </c>
      <c r="H256" s="49" t="s">
        <v>3932</v>
      </c>
      <c r="I256" s="49" t="s">
        <v>3932</v>
      </c>
    </row>
    <row r="257">
      <c r="A257" s="48">
        <f>ROW()-ROW(Table_Phrases[N])</f>
        <v>255</v>
      </c>
      <c r="B257" s="48" t="s">
        <v>3933</v>
      </c>
      <c r="C257" s="48">
        <v>1.0</v>
      </c>
      <c r="D257" s="50" t="s">
        <v>2439</v>
      </c>
      <c r="E257" s="63" t="s">
        <v>3408</v>
      </c>
      <c r="F257" s="50" t="s">
        <v>3404</v>
      </c>
      <c r="G257" s="55" t="s">
        <v>1299</v>
      </c>
      <c r="H257" s="49" t="s">
        <v>3934</v>
      </c>
      <c r="I257" s="49" t="s">
        <v>3934</v>
      </c>
    </row>
    <row r="258">
      <c r="A258" s="48">
        <f>ROW()-ROW(Table_Phrases[N])</f>
        <v>256</v>
      </c>
      <c r="B258" s="48" t="s">
        <v>3935</v>
      </c>
      <c r="C258" s="48">
        <v>0.0</v>
      </c>
      <c r="D258" s="50" t="s">
        <v>2441</v>
      </c>
      <c r="E258" s="63" t="s">
        <v>3404</v>
      </c>
      <c r="F258" s="50" t="s">
        <v>1375</v>
      </c>
      <c r="G258" s="63" t="s">
        <v>1380</v>
      </c>
      <c r="H258" s="49" t="s">
        <v>3936</v>
      </c>
      <c r="I258" s="49" t="s">
        <v>3936</v>
      </c>
    </row>
    <row r="259">
      <c r="A259" s="48">
        <f>ROW()-ROW(Table_Phrases[N])</f>
        <v>257</v>
      </c>
      <c r="B259" s="48" t="s">
        <v>3937</v>
      </c>
      <c r="C259" s="48">
        <v>2.0</v>
      </c>
      <c r="D259" s="50" t="s">
        <v>2443</v>
      </c>
      <c r="E259" s="63" t="s">
        <v>3408</v>
      </c>
      <c r="F259" s="50" t="s">
        <v>1375</v>
      </c>
      <c r="G259" s="63" t="s">
        <v>3404</v>
      </c>
      <c r="H259" s="49" t="s">
        <v>3938</v>
      </c>
      <c r="I259" s="49" t="s">
        <v>3938</v>
      </c>
    </row>
    <row r="260">
      <c r="A260" s="48">
        <f>ROW()-ROW(Table_Phrases[N])</f>
        <v>258</v>
      </c>
      <c r="B260" s="48" t="s">
        <v>3939</v>
      </c>
      <c r="C260" s="48">
        <v>1.0</v>
      </c>
      <c r="D260" s="50" t="s">
        <v>2445</v>
      </c>
      <c r="E260" s="63" t="s">
        <v>3408</v>
      </c>
      <c r="F260" s="50" t="s">
        <v>3404</v>
      </c>
      <c r="G260" s="63" t="s">
        <v>1380</v>
      </c>
      <c r="H260" s="49" t="s">
        <v>3940</v>
      </c>
      <c r="I260" s="49" t="s">
        <v>3940</v>
      </c>
    </row>
    <row r="261">
      <c r="A261" s="48">
        <f>ROW()-ROW(Table_Phrases[N])</f>
        <v>259</v>
      </c>
      <c r="B261" s="48" t="s">
        <v>3941</v>
      </c>
      <c r="C261" s="48">
        <v>1.0</v>
      </c>
      <c r="D261" s="50" t="s">
        <v>2447</v>
      </c>
      <c r="E261" s="63" t="s">
        <v>3408</v>
      </c>
      <c r="F261" s="50" t="s">
        <v>3404</v>
      </c>
      <c r="G261" s="63" t="s">
        <v>1380</v>
      </c>
      <c r="H261" s="49" t="s">
        <v>3942</v>
      </c>
      <c r="I261" s="49" t="s">
        <v>3942</v>
      </c>
    </row>
    <row r="262">
      <c r="A262" s="48">
        <f>ROW()-ROW(Table_Phrases[N])</f>
        <v>260</v>
      </c>
      <c r="B262" s="48" t="s">
        <v>3943</v>
      </c>
      <c r="C262" s="48">
        <v>0.0</v>
      </c>
      <c r="D262" s="50" t="s">
        <v>2449</v>
      </c>
      <c r="E262" s="63" t="s">
        <v>3404</v>
      </c>
      <c r="F262" s="50" t="s">
        <v>1380</v>
      </c>
      <c r="G262" s="50" t="s">
        <v>1299</v>
      </c>
      <c r="H262" s="49" t="s">
        <v>3944</v>
      </c>
      <c r="I262" s="49" t="s">
        <v>3944</v>
      </c>
    </row>
    <row r="263">
      <c r="A263" s="48">
        <f>ROW()-ROW(Table_Phrases[N])</f>
        <v>261</v>
      </c>
      <c r="B263" s="48" t="s">
        <v>3945</v>
      </c>
      <c r="C263" s="48">
        <v>1.0</v>
      </c>
      <c r="D263" s="50" t="s">
        <v>2451</v>
      </c>
      <c r="E263" s="63" t="s">
        <v>3408</v>
      </c>
      <c r="F263" s="50" t="s">
        <v>3404</v>
      </c>
      <c r="G263" s="50" t="s">
        <v>1299</v>
      </c>
      <c r="H263" s="49" t="s">
        <v>3946</v>
      </c>
      <c r="I263" s="49" t="s">
        <v>3946</v>
      </c>
    </row>
    <row r="264">
      <c r="A264" s="48">
        <f>ROW()-ROW(Table_Phrases[N])</f>
        <v>262</v>
      </c>
      <c r="B264" s="48" t="s">
        <v>3947</v>
      </c>
      <c r="C264" s="48">
        <v>0.0</v>
      </c>
      <c r="D264" s="50" t="s">
        <v>2453</v>
      </c>
      <c r="E264" s="63" t="s">
        <v>3404</v>
      </c>
      <c r="F264" s="50" t="s">
        <v>1380</v>
      </c>
      <c r="G264" s="50" t="s">
        <v>1299</v>
      </c>
      <c r="H264" s="97" t="s">
        <v>3948</v>
      </c>
      <c r="I264" s="97" t="s">
        <v>3948</v>
      </c>
    </row>
    <row r="265">
      <c r="A265" s="48">
        <f>ROW()-ROW(Table_Phrases[N])</f>
        <v>263</v>
      </c>
      <c r="B265" s="48" t="s">
        <v>3949</v>
      </c>
      <c r="C265" s="48">
        <v>1.0</v>
      </c>
      <c r="D265" s="50" t="s">
        <v>2455</v>
      </c>
      <c r="E265" s="63" t="s">
        <v>3408</v>
      </c>
      <c r="F265" s="50" t="s">
        <v>3404</v>
      </c>
      <c r="G265" s="50" t="s">
        <v>1299</v>
      </c>
      <c r="H265" s="49" t="s">
        <v>3950</v>
      </c>
      <c r="I265" s="49" t="s">
        <v>3950</v>
      </c>
    </row>
    <row r="266">
      <c r="A266" s="48">
        <f>ROW()-ROW(Table_Phrases[N])</f>
        <v>264</v>
      </c>
      <c r="B266" s="48" t="s">
        <v>3951</v>
      </c>
      <c r="C266" s="48">
        <v>1.0</v>
      </c>
      <c r="D266" s="50" t="s">
        <v>2457</v>
      </c>
      <c r="E266" s="63" t="s">
        <v>3408</v>
      </c>
      <c r="F266" s="50" t="s">
        <v>3404</v>
      </c>
      <c r="G266" s="50" t="s">
        <v>1299</v>
      </c>
      <c r="H266" s="49" t="s">
        <v>3952</v>
      </c>
      <c r="I266" s="49" t="s">
        <v>3952</v>
      </c>
    </row>
    <row r="267">
      <c r="A267" s="48">
        <f>ROW()-ROW(Table_Phrases[N])</f>
        <v>265</v>
      </c>
      <c r="B267" s="48" t="s">
        <v>1567</v>
      </c>
      <c r="C267" s="48">
        <v>0.0</v>
      </c>
      <c r="D267" s="50" t="s">
        <v>2459</v>
      </c>
      <c r="E267" s="63" t="s">
        <v>3385</v>
      </c>
      <c r="F267" s="50" t="s">
        <v>1299</v>
      </c>
      <c r="G267" s="50" t="s">
        <v>1299</v>
      </c>
      <c r="H267" s="49" t="s">
        <v>3953</v>
      </c>
      <c r="I267" s="49" t="s">
        <v>3953</v>
      </c>
    </row>
    <row r="268">
      <c r="A268" s="48">
        <f>ROW()-ROW(Table_Phrases[N])</f>
        <v>266</v>
      </c>
      <c r="B268" s="48" t="s">
        <v>1569</v>
      </c>
      <c r="C268" s="48">
        <v>0.0</v>
      </c>
      <c r="D268" s="50" t="s">
        <v>2461</v>
      </c>
      <c r="E268" s="63" t="s">
        <v>3385</v>
      </c>
      <c r="F268" s="50" t="s">
        <v>1299</v>
      </c>
      <c r="G268" s="50" t="s">
        <v>1299</v>
      </c>
      <c r="H268" s="49" t="s">
        <v>3954</v>
      </c>
      <c r="I268" s="49" t="s">
        <v>3954</v>
      </c>
    </row>
    <row r="269">
      <c r="A269" s="48">
        <f>ROW()-ROW(Table_Phrases[N])</f>
        <v>267</v>
      </c>
      <c r="B269" s="48" t="s">
        <v>1570</v>
      </c>
      <c r="C269" s="48">
        <v>0.0</v>
      </c>
      <c r="D269" s="50" t="s">
        <v>2463</v>
      </c>
      <c r="E269" s="63" t="s">
        <v>1299</v>
      </c>
      <c r="F269" s="50" t="s">
        <v>1299</v>
      </c>
      <c r="G269" s="50" t="s">
        <v>1299</v>
      </c>
      <c r="H269" s="49" t="s">
        <v>3955</v>
      </c>
      <c r="I269" s="49" t="s">
        <v>3955</v>
      </c>
    </row>
    <row r="270">
      <c r="A270" s="48">
        <f>ROW()-ROW(Table_Phrases[N])</f>
        <v>268</v>
      </c>
      <c r="B270" s="48" t="s">
        <v>3956</v>
      </c>
      <c r="C270" s="48">
        <v>0.0</v>
      </c>
      <c r="D270" s="50" t="s">
        <v>2465</v>
      </c>
      <c r="E270" s="63" t="s">
        <v>3385</v>
      </c>
      <c r="F270" s="50" t="s">
        <v>1299</v>
      </c>
      <c r="G270" s="50" t="s">
        <v>1299</v>
      </c>
      <c r="H270" s="49" t="s">
        <v>3957</v>
      </c>
      <c r="I270" s="49" t="s">
        <v>3957</v>
      </c>
    </row>
    <row r="271">
      <c r="A271" s="48">
        <f>ROW()-ROW(Table_Phrases[N])</f>
        <v>269</v>
      </c>
      <c r="B271" s="48" t="s">
        <v>3958</v>
      </c>
      <c r="C271" s="48">
        <v>0.0</v>
      </c>
      <c r="D271" s="50" t="s">
        <v>2467</v>
      </c>
      <c r="E271" s="63" t="s">
        <v>1925</v>
      </c>
      <c r="F271" s="50" t="s">
        <v>1299</v>
      </c>
      <c r="G271" s="50" t="s">
        <v>1299</v>
      </c>
      <c r="H271" s="49"/>
      <c r="I271" s="49"/>
    </row>
    <row r="272">
      <c r="A272" s="48">
        <f>ROW()-ROW(Table_Phrases[N])</f>
        <v>270</v>
      </c>
      <c r="B272" s="48" t="s">
        <v>3136</v>
      </c>
      <c r="C272" s="48">
        <v>0.0</v>
      </c>
      <c r="D272" s="50" t="s">
        <v>2468</v>
      </c>
      <c r="E272" s="63" t="s">
        <v>3385</v>
      </c>
      <c r="F272" s="50" t="s">
        <v>1299</v>
      </c>
      <c r="G272" s="50" t="s">
        <v>1299</v>
      </c>
      <c r="H272" s="49" t="s">
        <v>3959</v>
      </c>
      <c r="I272" s="49" t="s">
        <v>3959</v>
      </c>
    </row>
    <row r="273">
      <c r="A273" s="48">
        <f>ROW()-ROW(Table_Phrases[N])</f>
        <v>271</v>
      </c>
      <c r="B273" s="48" t="s">
        <v>3960</v>
      </c>
      <c r="C273" s="48">
        <v>1.0</v>
      </c>
      <c r="D273" s="50" t="s">
        <v>2470</v>
      </c>
      <c r="E273" s="63" t="s">
        <v>3408</v>
      </c>
      <c r="F273" s="50" t="s">
        <v>3404</v>
      </c>
      <c r="G273" s="50" t="s">
        <v>1299</v>
      </c>
      <c r="H273" s="49" t="s">
        <v>3961</v>
      </c>
      <c r="I273" s="49" t="s">
        <v>3961</v>
      </c>
    </row>
    <row r="274">
      <c r="A274" s="48">
        <f>ROW()-ROW(Table_Phrases[N])</f>
        <v>272</v>
      </c>
      <c r="B274" s="48" t="s">
        <v>3962</v>
      </c>
      <c r="C274" s="48">
        <v>0.0</v>
      </c>
      <c r="D274" s="50" t="s">
        <v>2472</v>
      </c>
      <c r="E274" s="63" t="s">
        <v>3404</v>
      </c>
      <c r="F274" s="63" t="s">
        <v>3408</v>
      </c>
      <c r="G274" s="50" t="s">
        <v>1299</v>
      </c>
      <c r="H274" s="49" t="s">
        <v>3963</v>
      </c>
      <c r="I274" s="49" t="s">
        <v>3963</v>
      </c>
    </row>
    <row r="275">
      <c r="A275" s="48">
        <f>ROW()-ROW(Table_Phrases[N])</f>
        <v>273</v>
      </c>
      <c r="B275" s="48" t="s">
        <v>3964</v>
      </c>
      <c r="C275" s="48">
        <v>1.0</v>
      </c>
      <c r="D275" s="50" t="s">
        <v>2474</v>
      </c>
      <c r="E275" s="63" t="s">
        <v>3408</v>
      </c>
      <c r="F275" s="50" t="s">
        <v>3404</v>
      </c>
      <c r="G275" s="50" t="s">
        <v>1299</v>
      </c>
      <c r="H275" s="49" t="s">
        <v>3965</v>
      </c>
      <c r="I275" s="49" t="s">
        <v>3965</v>
      </c>
    </row>
    <row r="276">
      <c r="A276" s="48">
        <f>ROW()-ROW(Table_Phrases[N])</f>
        <v>274</v>
      </c>
      <c r="B276" s="48" t="s">
        <v>3966</v>
      </c>
      <c r="C276" s="48">
        <v>0.0</v>
      </c>
      <c r="D276" s="50" t="s">
        <v>2476</v>
      </c>
      <c r="E276" s="63" t="s">
        <v>3404</v>
      </c>
      <c r="F276" s="63" t="s">
        <v>3408</v>
      </c>
      <c r="G276" s="50" t="s">
        <v>1299</v>
      </c>
      <c r="H276" s="49" t="s">
        <v>3967</v>
      </c>
      <c r="I276" s="49" t="s">
        <v>3967</v>
      </c>
    </row>
    <row r="277">
      <c r="A277" s="48">
        <f>ROW()-ROW(Table_Phrases[N])</f>
        <v>275</v>
      </c>
      <c r="B277" s="48" t="s">
        <v>3968</v>
      </c>
      <c r="C277" s="48">
        <v>1.0</v>
      </c>
      <c r="D277" s="50" t="s">
        <v>2478</v>
      </c>
      <c r="E277" s="63" t="s">
        <v>3408</v>
      </c>
      <c r="F277" s="50" t="s">
        <v>3404</v>
      </c>
      <c r="G277" s="50" t="s">
        <v>1299</v>
      </c>
      <c r="H277" s="49" t="s">
        <v>3969</v>
      </c>
      <c r="I277" s="49" t="s">
        <v>3969</v>
      </c>
    </row>
    <row r="278">
      <c r="A278" s="48">
        <f>ROW()-ROW(Table_Phrases[N])</f>
        <v>276</v>
      </c>
      <c r="B278" s="48" t="s">
        <v>3970</v>
      </c>
      <c r="C278" s="48">
        <v>0.0</v>
      </c>
      <c r="D278" s="50" t="s">
        <v>2480</v>
      </c>
      <c r="E278" s="63" t="s">
        <v>3404</v>
      </c>
      <c r="F278" s="50" t="s">
        <v>1380</v>
      </c>
      <c r="G278" s="50" t="s">
        <v>1299</v>
      </c>
      <c r="H278" s="49" t="s">
        <v>3971</v>
      </c>
      <c r="I278" s="49" t="s">
        <v>3971</v>
      </c>
    </row>
    <row r="279">
      <c r="A279" s="48">
        <f>ROW()-ROW(Table_Phrases[N])</f>
        <v>277</v>
      </c>
      <c r="B279" s="48" t="s">
        <v>3972</v>
      </c>
      <c r="C279" s="48">
        <v>1.0</v>
      </c>
      <c r="D279" s="50" t="s">
        <v>2482</v>
      </c>
      <c r="E279" s="50" t="s">
        <v>1380</v>
      </c>
      <c r="F279" s="50" t="s">
        <v>3404</v>
      </c>
      <c r="G279" s="50" t="s">
        <v>1299</v>
      </c>
      <c r="H279" s="49" t="s">
        <v>3973</v>
      </c>
      <c r="I279" s="49" t="s">
        <v>3973</v>
      </c>
    </row>
    <row r="280">
      <c r="A280" s="48">
        <f>ROW()-ROW(Table_Phrases[N])</f>
        <v>278</v>
      </c>
      <c r="B280" s="48" t="s">
        <v>3974</v>
      </c>
      <c r="C280" s="48">
        <v>0.0</v>
      </c>
      <c r="D280" s="50" t="s">
        <v>2484</v>
      </c>
      <c r="E280" s="63" t="s">
        <v>3404</v>
      </c>
      <c r="F280" s="50" t="s">
        <v>1380</v>
      </c>
      <c r="G280" s="50" t="s">
        <v>1299</v>
      </c>
      <c r="H280" s="49" t="s">
        <v>3975</v>
      </c>
      <c r="I280" s="49" t="s">
        <v>3975</v>
      </c>
    </row>
    <row r="281">
      <c r="A281" s="48">
        <f>ROW()-ROW(Table_Phrases[N])</f>
        <v>279</v>
      </c>
      <c r="B281" s="48" t="s">
        <v>3976</v>
      </c>
      <c r="C281" s="48">
        <v>1.0</v>
      </c>
      <c r="D281" s="50" t="s">
        <v>2486</v>
      </c>
      <c r="E281" s="50" t="s">
        <v>1380</v>
      </c>
      <c r="F281" s="50" t="s">
        <v>3404</v>
      </c>
      <c r="G281" s="50" t="s">
        <v>1299</v>
      </c>
      <c r="H281" s="49" t="s">
        <v>3977</v>
      </c>
      <c r="I281" s="49" t="s">
        <v>3977</v>
      </c>
    </row>
    <row r="282">
      <c r="A282" s="48">
        <f>ROW()-ROW(Table_Phrases[N])</f>
        <v>280</v>
      </c>
      <c r="B282" s="48" t="s">
        <v>3978</v>
      </c>
      <c r="C282" s="48">
        <v>1.0</v>
      </c>
      <c r="D282" s="50" t="s">
        <v>2488</v>
      </c>
      <c r="E282" s="50" t="s">
        <v>1380</v>
      </c>
      <c r="F282" s="50" t="s">
        <v>3404</v>
      </c>
      <c r="G282" s="50" t="s">
        <v>1299</v>
      </c>
      <c r="H282" s="49" t="s">
        <v>3979</v>
      </c>
      <c r="I282" s="49" t="s">
        <v>3979</v>
      </c>
    </row>
    <row r="283">
      <c r="A283" s="48">
        <f>ROW()-ROW(Table_Phrases[N])</f>
        <v>281</v>
      </c>
      <c r="B283" s="48" t="s">
        <v>3980</v>
      </c>
      <c r="C283" s="48">
        <v>0.0</v>
      </c>
      <c r="D283" s="50" t="s">
        <v>2490</v>
      </c>
      <c r="E283" s="63" t="s">
        <v>3404</v>
      </c>
      <c r="F283" s="50" t="s">
        <v>1380</v>
      </c>
      <c r="G283" s="50" t="s">
        <v>1299</v>
      </c>
      <c r="H283" s="49" t="s">
        <v>3981</v>
      </c>
      <c r="I283" s="49" t="s">
        <v>3981</v>
      </c>
    </row>
    <row r="284">
      <c r="A284" s="48">
        <f>ROW()-ROW(Table_Phrases[N])</f>
        <v>282</v>
      </c>
      <c r="B284" s="48" t="s">
        <v>3982</v>
      </c>
      <c r="C284" s="48">
        <v>1.0</v>
      </c>
      <c r="D284" s="50" t="s">
        <v>2492</v>
      </c>
      <c r="E284" s="50" t="s">
        <v>1380</v>
      </c>
      <c r="F284" s="50" t="s">
        <v>3404</v>
      </c>
      <c r="G284" s="50" t="s">
        <v>1299</v>
      </c>
      <c r="H284" s="49" t="s">
        <v>3983</v>
      </c>
      <c r="I284" s="49" t="s">
        <v>3983</v>
      </c>
    </row>
    <row r="285">
      <c r="A285" s="48">
        <f>ROW()-ROW(Table_Phrases[N])</f>
        <v>283</v>
      </c>
      <c r="B285" s="48" t="s">
        <v>3984</v>
      </c>
      <c r="C285" s="48">
        <v>1.0</v>
      </c>
      <c r="D285" s="50" t="s">
        <v>2494</v>
      </c>
      <c r="E285" s="50" t="s">
        <v>1380</v>
      </c>
      <c r="F285" s="50" t="s">
        <v>3404</v>
      </c>
      <c r="G285" s="50" t="s">
        <v>1299</v>
      </c>
      <c r="H285" s="49" t="s">
        <v>3985</v>
      </c>
      <c r="I285" s="49" t="s">
        <v>3985</v>
      </c>
    </row>
    <row r="286">
      <c r="A286" s="48">
        <f>ROW()-ROW(Table_Phrases[N])</f>
        <v>284</v>
      </c>
      <c r="B286" s="48" t="s">
        <v>3986</v>
      </c>
      <c r="C286" s="48">
        <v>0.0</v>
      </c>
      <c r="D286" s="50" t="s">
        <v>2496</v>
      </c>
      <c r="E286" s="63" t="s">
        <v>3404</v>
      </c>
      <c r="F286" s="50" t="s">
        <v>1380</v>
      </c>
      <c r="G286" s="50" t="s">
        <v>1299</v>
      </c>
      <c r="H286" s="49" t="s">
        <v>3987</v>
      </c>
      <c r="I286" s="49" t="s">
        <v>3987</v>
      </c>
    </row>
    <row r="287">
      <c r="A287" s="48">
        <f>ROW()-ROW(Table_Phrases[N])</f>
        <v>285</v>
      </c>
      <c r="B287" s="48" t="s">
        <v>3988</v>
      </c>
      <c r="C287" s="48">
        <v>1.0</v>
      </c>
      <c r="D287" s="50" t="s">
        <v>2498</v>
      </c>
      <c r="E287" s="50" t="s">
        <v>1380</v>
      </c>
      <c r="F287" s="50" t="s">
        <v>3404</v>
      </c>
      <c r="G287" s="50" t="s">
        <v>1299</v>
      </c>
      <c r="H287" s="49" t="s">
        <v>3989</v>
      </c>
      <c r="I287" s="49" t="s">
        <v>3989</v>
      </c>
    </row>
    <row r="288">
      <c r="A288" s="48">
        <f>ROW()-ROW(Table_Phrases[N])</f>
        <v>286</v>
      </c>
      <c r="B288" s="48" t="s">
        <v>3990</v>
      </c>
      <c r="C288" s="48">
        <v>0.0</v>
      </c>
      <c r="D288" s="50" t="s">
        <v>2500</v>
      </c>
      <c r="E288" s="63" t="s">
        <v>3404</v>
      </c>
      <c r="F288" s="50" t="s">
        <v>1380</v>
      </c>
      <c r="G288" s="50" t="s">
        <v>1299</v>
      </c>
      <c r="H288" s="49" t="s">
        <v>3991</v>
      </c>
      <c r="I288" s="49" t="s">
        <v>3991</v>
      </c>
    </row>
    <row r="289">
      <c r="A289" s="48">
        <f>ROW()-ROW(Table_Phrases[N])</f>
        <v>287</v>
      </c>
      <c r="B289" s="48" t="s">
        <v>3992</v>
      </c>
      <c r="C289" s="48">
        <v>1.0</v>
      </c>
      <c r="D289" s="50" t="s">
        <v>2502</v>
      </c>
      <c r="E289" s="50" t="s">
        <v>1380</v>
      </c>
      <c r="F289" s="50" t="s">
        <v>3404</v>
      </c>
      <c r="G289" s="50" t="s">
        <v>1299</v>
      </c>
      <c r="H289" s="49" t="s">
        <v>3993</v>
      </c>
      <c r="I289" s="49" t="s">
        <v>3993</v>
      </c>
    </row>
    <row r="290">
      <c r="A290" s="48">
        <f>ROW()-ROW(Table_Phrases[N])</f>
        <v>288</v>
      </c>
      <c r="B290" s="48" t="s">
        <v>3994</v>
      </c>
      <c r="C290" s="48">
        <v>0.0</v>
      </c>
      <c r="D290" s="50" t="s">
        <v>2504</v>
      </c>
      <c r="E290" s="63" t="s">
        <v>3404</v>
      </c>
      <c r="F290" s="50" t="s">
        <v>1380</v>
      </c>
      <c r="G290" s="50" t="s">
        <v>1299</v>
      </c>
      <c r="H290" s="49" t="s">
        <v>3995</v>
      </c>
      <c r="I290" s="49" t="s">
        <v>3995</v>
      </c>
    </row>
    <row r="291">
      <c r="A291" s="48">
        <f>ROW()-ROW(Table_Phrases[N])</f>
        <v>289</v>
      </c>
      <c r="B291" s="48" t="s">
        <v>3996</v>
      </c>
      <c r="C291" s="48">
        <v>1.0</v>
      </c>
      <c r="D291" s="50" t="s">
        <v>2506</v>
      </c>
      <c r="E291" s="50" t="s">
        <v>1380</v>
      </c>
      <c r="F291" s="50" t="s">
        <v>3404</v>
      </c>
      <c r="G291" s="50" t="s">
        <v>1299</v>
      </c>
      <c r="H291" s="49" t="s">
        <v>3997</v>
      </c>
      <c r="I291" s="49" t="s">
        <v>3997</v>
      </c>
    </row>
    <row r="292">
      <c r="A292" s="48">
        <f>ROW()-ROW(Table_Phrases[N])</f>
        <v>290</v>
      </c>
      <c r="B292" s="48" t="s">
        <v>3998</v>
      </c>
      <c r="C292" s="48">
        <v>0.0</v>
      </c>
      <c r="D292" s="50" t="s">
        <v>2508</v>
      </c>
      <c r="E292" s="63" t="s">
        <v>3404</v>
      </c>
      <c r="F292" s="50" t="s">
        <v>1380</v>
      </c>
      <c r="G292" s="50" t="s">
        <v>1299</v>
      </c>
      <c r="H292" s="49" t="s">
        <v>3999</v>
      </c>
      <c r="I292" s="49" t="s">
        <v>3999</v>
      </c>
    </row>
    <row r="293">
      <c r="A293" s="48">
        <f>ROW()-ROW(Table_Phrases[N])</f>
        <v>291</v>
      </c>
      <c r="B293" s="48" t="s">
        <v>4000</v>
      </c>
      <c r="C293" s="48">
        <v>1.0</v>
      </c>
      <c r="D293" s="50" t="s">
        <v>2510</v>
      </c>
      <c r="E293" s="50" t="s">
        <v>1380</v>
      </c>
      <c r="F293" s="50" t="s">
        <v>3404</v>
      </c>
      <c r="G293" s="50" t="s">
        <v>1299</v>
      </c>
      <c r="H293" s="49" t="s">
        <v>4001</v>
      </c>
      <c r="I293" s="49" t="s">
        <v>4001</v>
      </c>
    </row>
    <row r="294">
      <c r="A294" s="48">
        <f>ROW()-ROW(Table_Phrases[N])</f>
        <v>292</v>
      </c>
      <c r="B294" s="48" t="s">
        <v>4002</v>
      </c>
      <c r="C294" s="48">
        <v>0.0</v>
      </c>
      <c r="D294" s="50" t="s">
        <v>2512</v>
      </c>
      <c r="E294" s="63" t="s">
        <v>3404</v>
      </c>
      <c r="F294" s="50" t="s">
        <v>1380</v>
      </c>
      <c r="G294" s="50" t="s">
        <v>1299</v>
      </c>
      <c r="H294" s="49" t="s">
        <v>4003</v>
      </c>
      <c r="I294" s="49" t="s">
        <v>4003</v>
      </c>
    </row>
    <row r="295">
      <c r="A295" s="48">
        <f>ROW()-ROW(Table_Phrases[N])</f>
        <v>293</v>
      </c>
      <c r="B295" s="48" t="s">
        <v>4004</v>
      </c>
      <c r="C295" s="48">
        <v>1.0</v>
      </c>
      <c r="D295" s="50" t="s">
        <v>2514</v>
      </c>
      <c r="E295" s="50" t="s">
        <v>1380</v>
      </c>
      <c r="F295" s="50" t="s">
        <v>3404</v>
      </c>
      <c r="G295" s="50" t="s">
        <v>1299</v>
      </c>
      <c r="H295" s="49" t="s">
        <v>4005</v>
      </c>
      <c r="I295" s="49" t="s">
        <v>4005</v>
      </c>
    </row>
    <row r="296">
      <c r="A296" s="48">
        <f>ROW()-ROW(Table_Phrases[N])</f>
        <v>294</v>
      </c>
      <c r="B296" s="48" t="s">
        <v>4006</v>
      </c>
      <c r="C296" s="48">
        <v>0.0</v>
      </c>
      <c r="D296" s="50" t="s">
        <v>2516</v>
      </c>
      <c r="E296" s="63" t="s">
        <v>3404</v>
      </c>
      <c r="F296" s="50" t="s">
        <v>1380</v>
      </c>
      <c r="G296" s="50" t="s">
        <v>1299</v>
      </c>
      <c r="H296" s="49" t="s">
        <v>4007</v>
      </c>
      <c r="I296" s="49" t="s">
        <v>4007</v>
      </c>
    </row>
    <row r="297">
      <c r="A297" s="48">
        <f>ROW()-ROW(Table_Phrases[N])</f>
        <v>295</v>
      </c>
      <c r="B297" s="48" t="s">
        <v>4008</v>
      </c>
      <c r="C297" s="48">
        <v>0.0</v>
      </c>
      <c r="D297" s="50" t="s">
        <v>2518</v>
      </c>
      <c r="E297" s="63" t="s">
        <v>3404</v>
      </c>
      <c r="F297" s="50" t="s">
        <v>1380</v>
      </c>
      <c r="G297" s="50" t="s">
        <v>1299</v>
      </c>
      <c r="H297" s="49" t="s">
        <v>4009</v>
      </c>
      <c r="I297" s="49" t="s">
        <v>4009</v>
      </c>
    </row>
    <row r="298">
      <c r="A298" s="48">
        <f>ROW()-ROW(Table_Phrases[N])</f>
        <v>296</v>
      </c>
      <c r="B298" s="48" t="s">
        <v>4010</v>
      </c>
      <c r="C298" s="48">
        <v>1.0</v>
      </c>
      <c r="D298" s="50" t="s">
        <v>2520</v>
      </c>
      <c r="E298" s="50" t="s">
        <v>1380</v>
      </c>
      <c r="F298" s="50" t="s">
        <v>3404</v>
      </c>
      <c r="G298" s="50" t="s">
        <v>1299</v>
      </c>
      <c r="H298" s="49" t="s">
        <v>4011</v>
      </c>
      <c r="I298" s="49" t="s">
        <v>4011</v>
      </c>
    </row>
    <row r="299">
      <c r="A299" s="48">
        <f>ROW()-ROW(Table_Phrases[N])</f>
        <v>297</v>
      </c>
      <c r="B299" s="48" t="s">
        <v>4012</v>
      </c>
      <c r="C299" s="48">
        <v>0.0</v>
      </c>
      <c r="D299" s="50" t="s">
        <v>2522</v>
      </c>
      <c r="E299" s="63" t="s">
        <v>3404</v>
      </c>
      <c r="F299" s="50" t="s">
        <v>1380</v>
      </c>
      <c r="G299" s="50" t="s">
        <v>1299</v>
      </c>
      <c r="H299" s="49" t="s">
        <v>4013</v>
      </c>
      <c r="I299" s="49" t="s">
        <v>4013</v>
      </c>
    </row>
    <row r="300">
      <c r="A300" s="48">
        <f>ROW()-ROW(Table_Phrases[N])</f>
        <v>298</v>
      </c>
      <c r="B300" s="48" t="s">
        <v>4014</v>
      </c>
      <c r="C300" s="48">
        <v>1.0</v>
      </c>
      <c r="D300" s="50" t="s">
        <v>2524</v>
      </c>
      <c r="E300" s="50" t="s">
        <v>1380</v>
      </c>
      <c r="F300" s="50" t="s">
        <v>3404</v>
      </c>
      <c r="G300" s="50" t="s">
        <v>1299</v>
      </c>
      <c r="H300" s="49" t="s">
        <v>4015</v>
      </c>
      <c r="I300" s="49" t="s">
        <v>4015</v>
      </c>
    </row>
    <row r="301">
      <c r="A301" s="48">
        <f>ROW()-ROW(Table_Phrases[N])</f>
        <v>299</v>
      </c>
      <c r="B301" s="48" t="s">
        <v>4016</v>
      </c>
      <c r="C301" s="48">
        <v>0.0</v>
      </c>
      <c r="D301" s="50" t="s">
        <v>2526</v>
      </c>
      <c r="E301" s="63" t="s">
        <v>3404</v>
      </c>
      <c r="F301" s="50" t="s">
        <v>1380</v>
      </c>
      <c r="G301" s="50" t="s">
        <v>1299</v>
      </c>
      <c r="H301" s="49" t="s">
        <v>4017</v>
      </c>
      <c r="I301" s="49" t="s">
        <v>4017</v>
      </c>
    </row>
    <row r="302">
      <c r="A302" s="48">
        <f>ROW()-ROW(Table_Phrases[N])</f>
        <v>300</v>
      </c>
      <c r="B302" s="48" t="s">
        <v>4018</v>
      </c>
      <c r="C302" s="48">
        <v>1.0</v>
      </c>
      <c r="D302" s="50" t="s">
        <v>2528</v>
      </c>
      <c r="E302" s="50" t="s">
        <v>1380</v>
      </c>
      <c r="F302" s="50" t="s">
        <v>3404</v>
      </c>
      <c r="G302" s="50" t="s">
        <v>1299</v>
      </c>
      <c r="H302" s="49" t="s">
        <v>4019</v>
      </c>
      <c r="I302" s="49" t="s">
        <v>4019</v>
      </c>
    </row>
    <row r="303">
      <c r="A303" s="48">
        <f>ROW()-ROW(Table_Phrases[N])</f>
        <v>301</v>
      </c>
      <c r="B303" s="48" t="s">
        <v>4020</v>
      </c>
      <c r="C303" s="48">
        <v>0.0</v>
      </c>
      <c r="D303" s="50" t="s">
        <v>2530</v>
      </c>
      <c r="E303" s="63" t="s">
        <v>3404</v>
      </c>
      <c r="F303" s="50" t="s">
        <v>1380</v>
      </c>
      <c r="G303" s="50" t="s">
        <v>1299</v>
      </c>
      <c r="H303" s="49" t="s">
        <v>4021</v>
      </c>
      <c r="I303" s="49" t="s">
        <v>4021</v>
      </c>
    </row>
    <row r="304">
      <c r="A304" s="48">
        <f>ROW()-ROW(Table_Phrases[N])</f>
        <v>302</v>
      </c>
      <c r="B304" s="48" t="s">
        <v>4022</v>
      </c>
      <c r="C304" s="48">
        <v>1.0</v>
      </c>
      <c r="D304" s="50" t="s">
        <v>2532</v>
      </c>
      <c r="E304" s="50" t="s">
        <v>1380</v>
      </c>
      <c r="F304" s="50" t="s">
        <v>3404</v>
      </c>
      <c r="G304" s="50" t="s">
        <v>1299</v>
      </c>
      <c r="H304" s="49" t="s">
        <v>4023</v>
      </c>
      <c r="I304" s="49" t="s">
        <v>4023</v>
      </c>
    </row>
    <row r="305">
      <c r="A305" s="48">
        <f>ROW()-ROW(Table_Phrases[N])</f>
        <v>303</v>
      </c>
      <c r="B305" s="48" t="s">
        <v>4024</v>
      </c>
      <c r="C305" s="48">
        <v>0.0</v>
      </c>
      <c r="D305" s="50" t="s">
        <v>2534</v>
      </c>
      <c r="E305" s="63" t="s">
        <v>3404</v>
      </c>
      <c r="F305" s="50" t="s">
        <v>1380</v>
      </c>
      <c r="G305" s="50" t="s">
        <v>1299</v>
      </c>
      <c r="H305" s="49" t="s">
        <v>4025</v>
      </c>
      <c r="I305" s="49" t="s">
        <v>4025</v>
      </c>
    </row>
    <row r="306">
      <c r="A306" s="48">
        <f>ROW()-ROW(Table_Phrases[N])</f>
        <v>304</v>
      </c>
      <c r="B306" s="48" t="s">
        <v>4026</v>
      </c>
      <c r="C306" s="48">
        <v>1.0</v>
      </c>
      <c r="D306" s="50" t="s">
        <v>2536</v>
      </c>
      <c r="E306" s="50" t="s">
        <v>1380</v>
      </c>
      <c r="F306" s="50" t="s">
        <v>3404</v>
      </c>
      <c r="G306" s="50" t="s">
        <v>1299</v>
      </c>
      <c r="H306" s="49" t="s">
        <v>4027</v>
      </c>
      <c r="I306" s="49" t="s">
        <v>4027</v>
      </c>
    </row>
    <row r="307">
      <c r="A307" s="48">
        <f>ROW()-ROW(Table_Phrases[N])</f>
        <v>305</v>
      </c>
      <c r="B307" s="48" t="s">
        <v>4028</v>
      </c>
      <c r="C307" s="48">
        <v>0.0</v>
      </c>
      <c r="D307" s="50" t="s">
        <v>2538</v>
      </c>
      <c r="E307" s="63" t="s">
        <v>3404</v>
      </c>
      <c r="F307" s="50" t="s">
        <v>1380</v>
      </c>
      <c r="G307" s="50" t="s">
        <v>1299</v>
      </c>
      <c r="H307" s="49" t="s">
        <v>4029</v>
      </c>
      <c r="I307" s="49" t="s">
        <v>4029</v>
      </c>
    </row>
    <row r="308">
      <c r="A308" s="48">
        <f>ROW()-ROW(Table_Phrases[N])</f>
        <v>306</v>
      </c>
      <c r="B308" s="48" t="s">
        <v>4030</v>
      </c>
      <c r="C308" s="48">
        <v>1.0</v>
      </c>
      <c r="D308" s="50" t="s">
        <v>2540</v>
      </c>
      <c r="E308" s="50" t="s">
        <v>1380</v>
      </c>
      <c r="F308" s="50" t="s">
        <v>3404</v>
      </c>
      <c r="G308" s="50" t="s">
        <v>1299</v>
      </c>
      <c r="H308" s="49" t="s">
        <v>4031</v>
      </c>
      <c r="I308" s="49" t="s">
        <v>4031</v>
      </c>
    </row>
    <row r="309">
      <c r="A309" s="48">
        <f>ROW()-ROW(Table_Phrases[N])</f>
        <v>307</v>
      </c>
      <c r="B309" s="48" t="s">
        <v>4032</v>
      </c>
      <c r="C309" s="48">
        <v>0.0</v>
      </c>
      <c r="D309" s="50" t="s">
        <v>2542</v>
      </c>
      <c r="E309" s="63" t="s">
        <v>3404</v>
      </c>
      <c r="F309" s="50" t="s">
        <v>1380</v>
      </c>
      <c r="G309" s="50" t="s">
        <v>1299</v>
      </c>
      <c r="H309" s="49" t="s">
        <v>4033</v>
      </c>
      <c r="I309" s="49" t="s">
        <v>4033</v>
      </c>
    </row>
    <row r="310">
      <c r="A310" s="48">
        <f>ROW()-ROW(Table_Phrases[N])</f>
        <v>308</v>
      </c>
      <c r="B310" s="48" t="s">
        <v>4034</v>
      </c>
      <c r="C310" s="48">
        <v>1.0</v>
      </c>
      <c r="D310" s="50" t="s">
        <v>2544</v>
      </c>
      <c r="E310" s="50" t="s">
        <v>1380</v>
      </c>
      <c r="F310" s="50" t="s">
        <v>3404</v>
      </c>
      <c r="G310" s="50" t="s">
        <v>1299</v>
      </c>
      <c r="H310" s="49" t="s">
        <v>4035</v>
      </c>
      <c r="I310" s="49" t="s">
        <v>4035</v>
      </c>
    </row>
    <row r="311">
      <c r="A311" s="48">
        <f>ROW()-ROW(Table_Phrases[N])</f>
        <v>309</v>
      </c>
      <c r="B311" s="48" t="s">
        <v>4036</v>
      </c>
      <c r="C311" s="48">
        <v>0.0</v>
      </c>
      <c r="D311" s="50" t="s">
        <v>2546</v>
      </c>
      <c r="E311" s="63" t="s">
        <v>3404</v>
      </c>
      <c r="F311" s="50" t="s">
        <v>1380</v>
      </c>
      <c r="G311" s="50" t="s">
        <v>1299</v>
      </c>
      <c r="H311" s="49" t="s">
        <v>4037</v>
      </c>
      <c r="I311" s="49" t="s">
        <v>4037</v>
      </c>
    </row>
    <row r="312">
      <c r="A312" s="48">
        <f>ROW()-ROW(Table_Phrases[N])</f>
        <v>310</v>
      </c>
      <c r="B312" s="48" t="s">
        <v>4038</v>
      </c>
      <c r="C312" s="48">
        <v>1.0</v>
      </c>
      <c r="D312" s="50" t="s">
        <v>2548</v>
      </c>
      <c r="E312" s="50" t="s">
        <v>1380</v>
      </c>
      <c r="F312" s="50" t="s">
        <v>3404</v>
      </c>
      <c r="G312" s="50" t="s">
        <v>1299</v>
      </c>
      <c r="H312" s="49" t="s">
        <v>4039</v>
      </c>
      <c r="I312" s="49" t="s">
        <v>4039</v>
      </c>
    </row>
    <row r="313">
      <c r="A313" s="48">
        <f>ROW()-ROW(Table_Phrases[N])</f>
        <v>311</v>
      </c>
      <c r="B313" s="48" t="s">
        <v>4040</v>
      </c>
      <c r="C313" s="48">
        <v>0.0</v>
      </c>
      <c r="D313" s="50" t="s">
        <v>2550</v>
      </c>
      <c r="E313" s="63" t="s">
        <v>3404</v>
      </c>
      <c r="F313" s="50" t="s">
        <v>1380</v>
      </c>
      <c r="G313" s="50" t="s">
        <v>1299</v>
      </c>
      <c r="H313" s="49" t="s">
        <v>4041</v>
      </c>
      <c r="I313" s="49" t="s">
        <v>4041</v>
      </c>
    </row>
    <row r="314">
      <c r="A314" s="48">
        <f>ROW()-ROW(Table_Phrases[N])</f>
        <v>312</v>
      </c>
      <c r="B314" s="48" t="s">
        <v>4042</v>
      </c>
      <c r="C314" s="48">
        <v>1.0</v>
      </c>
      <c r="D314" s="50" t="s">
        <v>2552</v>
      </c>
      <c r="E314" s="50" t="s">
        <v>1380</v>
      </c>
      <c r="F314" s="50" t="s">
        <v>3404</v>
      </c>
      <c r="G314" s="50" t="s">
        <v>1299</v>
      </c>
      <c r="H314" s="49" t="s">
        <v>4043</v>
      </c>
      <c r="I314" s="49" t="s">
        <v>4043</v>
      </c>
    </row>
    <row r="315">
      <c r="A315" s="48">
        <f>ROW()-ROW(Table_Phrases[N])</f>
        <v>313</v>
      </c>
      <c r="B315" s="48" t="s">
        <v>4044</v>
      </c>
      <c r="C315" s="48">
        <v>0.0</v>
      </c>
      <c r="D315" s="50" t="s">
        <v>2554</v>
      </c>
      <c r="E315" s="63" t="s">
        <v>3404</v>
      </c>
      <c r="F315" s="50" t="s">
        <v>1380</v>
      </c>
      <c r="G315" s="50" t="s">
        <v>1299</v>
      </c>
      <c r="H315" s="49" t="s">
        <v>4045</v>
      </c>
      <c r="I315" s="49" t="s">
        <v>4045</v>
      </c>
    </row>
    <row r="316">
      <c r="A316" s="48">
        <f>ROW()-ROW(Table_Phrases[N])</f>
        <v>314</v>
      </c>
      <c r="B316" s="48" t="s">
        <v>4046</v>
      </c>
      <c r="C316" s="48">
        <v>1.0</v>
      </c>
      <c r="D316" s="50" t="s">
        <v>2556</v>
      </c>
      <c r="E316" s="50" t="s">
        <v>1380</v>
      </c>
      <c r="F316" s="50" t="s">
        <v>3404</v>
      </c>
      <c r="G316" s="50" t="s">
        <v>1299</v>
      </c>
      <c r="H316" s="49" t="s">
        <v>4047</v>
      </c>
      <c r="I316" s="49" t="s">
        <v>4047</v>
      </c>
    </row>
    <row r="317">
      <c r="A317" s="48">
        <f>ROW()-ROW(Table_Phrases[N])</f>
        <v>315</v>
      </c>
      <c r="B317" s="48" t="s">
        <v>4048</v>
      </c>
      <c r="C317" s="48">
        <v>0.0</v>
      </c>
      <c r="D317" s="50" t="s">
        <v>2558</v>
      </c>
      <c r="E317" s="63" t="s">
        <v>3404</v>
      </c>
      <c r="F317" s="50" t="s">
        <v>1380</v>
      </c>
      <c r="G317" s="50" t="s">
        <v>1299</v>
      </c>
      <c r="H317" s="49" t="s">
        <v>4049</v>
      </c>
      <c r="I317" s="49" t="s">
        <v>4049</v>
      </c>
    </row>
    <row r="318">
      <c r="A318" s="48">
        <f>ROW()-ROW(Table_Phrases[N])</f>
        <v>316</v>
      </c>
      <c r="B318" s="48" t="s">
        <v>4050</v>
      </c>
      <c r="C318" s="48">
        <v>1.0</v>
      </c>
      <c r="D318" s="50" t="s">
        <v>2560</v>
      </c>
      <c r="E318" s="50" t="s">
        <v>1380</v>
      </c>
      <c r="F318" s="50" t="s">
        <v>3404</v>
      </c>
      <c r="G318" s="50" t="s">
        <v>1299</v>
      </c>
      <c r="H318" s="49" t="s">
        <v>4051</v>
      </c>
      <c r="I318" s="49" t="s">
        <v>4051</v>
      </c>
    </row>
    <row r="319">
      <c r="A319" s="48">
        <f>ROW()-ROW(Table_Phrases[N])</f>
        <v>317</v>
      </c>
      <c r="B319" s="48" t="s">
        <v>4052</v>
      </c>
      <c r="C319" s="48">
        <v>0.0</v>
      </c>
      <c r="D319" s="50" t="s">
        <v>2562</v>
      </c>
      <c r="E319" s="63" t="s">
        <v>3404</v>
      </c>
      <c r="F319" s="50" t="s">
        <v>1380</v>
      </c>
      <c r="G319" s="50" t="s">
        <v>1299</v>
      </c>
      <c r="H319" s="49" t="s">
        <v>4053</v>
      </c>
      <c r="I319" s="49" t="s">
        <v>4053</v>
      </c>
    </row>
    <row r="320">
      <c r="A320" s="48">
        <f>ROW()-ROW(Table_Phrases[N])</f>
        <v>318</v>
      </c>
      <c r="B320" s="48" t="s">
        <v>4054</v>
      </c>
      <c r="C320" s="48">
        <v>1.0</v>
      </c>
      <c r="D320" s="50" t="s">
        <v>2564</v>
      </c>
      <c r="E320" s="50" t="s">
        <v>1380</v>
      </c>
      <c r="F320" s="50" t="s">
        <v>3404</v>
      </c>
      <c r="G320" s="50" t="s">
        <v>1299</v>
      </c>
      <c r="H320" s="49" t="s">
        <v>4055</v>
      </c>
      <c r="I320" s="49" t="s">
        <v>4055</v>
      </c>
    </row>
    <row r="321">
      <c r="A321" s="48">
        <f>ROW()-ROW(Table_Phrases[N])</f>
        <v>319</v>
      </c>
      <c r="B321" s="48" t="s">
        <v>4056</v>
      </c>
      <c r="C321" s="48">
        <v>0.0</v>
      </c>
      <c r="D321" s="50" t="s">
        <v>2566</v>
      </c>
      <c r="E321" s="63" t="s">
        <v>3404</v>
      </c>
      <c r="F321" s="50" t="s">
        <v>1380</v>
      </c>
      <c r="G321" s="50" t="s">
        <v>1299</v>
      </c>
      <c r="H321" s="49" t="s">
        <v>4057</v>
      </c>
      <c r="I321" s="49" t="s">
        <v>4057</v>
      </c>
    </row>
    <row r="322">
      <c r="A322" s="48">
        <f>ROW()-ROW(Table_Phrases[N])</f>
        <v>320</v>
      </c>
      <c r="B322" s="48" t="s">
        <v>4058</v>
      </c>
      <c r="C322" s="48">
        <v>1.0</v>
      </c>
      <c r="D322" s="50" t="s">
        <v>2568</v>
      </c>
      <c r="E322" s="50" t="s">
        <v>1380</v>
      </c>
      <c r="F322" s="50" t="s">
        <v>3404</v>
      </c>
      <c r="G322" s="50" t="s">
        <v>1299</v>
      </c>
      <c r="H322" s="49" t="s">
        <v>4059</v>
      </c>
      <c r="I322" s="49" t="s">
        <v>4059</v>
      </c>
    </row>
    <row r="323">
      <c r="A323" s="48">
        <f>ROW()-ROW(Table_Phrases[N])</f>
        <v>321</v>
      </c>
      <c r="B323" s="48" t="s">
        <v>4060</v>
      </c>
      <c r="C323" s="48">
        <v>1.0</v>
      </c>
      <c r="D323" s="50" t="s">
        <v>2570</v>
      </c>
      <c r="E323" s="50" t="s">
        <v>1380</v>
      </c>
      <c r="F323" s="50" t="s">
        <v>3404</v>
      </c>
      <c r="G323" s="50" t="s">
        <v>1299</v>
      </c>
      <c r="H323" s="49" t="s">
        <v>4061</v>
      </c>
      <c r="I323" s="49" t="s">
        <v>4061</v>
      </c>
    </row>
    <row r="324">
      <c r="A324" s="48">
        <f>ROW()-ROW(Table_Phrases[N])</f>
        <v>322</v>
      </c>
      <c r="B324" s="48" t="s">
        <v>4062</v>
      </c>
      <c r="C324" s="48">
        <v>0.0</v>
      </c>
      <c r="D324" s="50" t="s">
        <v>2572</v>
      </c>
      <c r="E324" s="63" t="s">
        <v>3404</v>
      </c>
      <c r="F324" s="50" t="s">
        <v>3408</v>
      </c>
      <c r="G324" s="50" t="s">
        <v>1299</v>
      </c>
      <c r="H324" s="49" t="s">
        <v>4063</v>
      </c>
      <c r="I324" s="49" t="s">
        <v>4063</v>
      </c>
    </row>
    <row r="325">
      <c r="A325" s="48">
        <f>ROW()-ROW(Table_Phrases[N])</f>
        <v>323</v>
      </c>
      <c r="B325" s="48" t="s">
        <v>4064</v>
      </c>
      <c r="C325" s="48">
        <v>0.0</v>
      </c>
      <c r="D325" s="50" t="s">
        <v>2574</v>
      </c>
      <c r="E325" s="63" t="s">
        <v>3404</v>
      </c>
      <c r="F325" s="50" t="s">
        <v>3408</v>
      </c>
      <c r="G325" s="50" t="s">
        <v>1299</v>
      </c>
      <c r="H325" s="49" t="s">
        <v>4065</v>
      </c>
      <c r="I325" s="49" t="s">
        <v>4065</v>
      </c>
    </row>
    <row r="326">
      <c r="A326" s="48">
        <f>ROW()-ROW(Table_Phrases[N])</f>
        <v>324</v>
      </c>
      <c r="B326" s="48" t="s">
        <v>4066</v>
      </c>
      <c r="C326" s="48">
        <v>0.0</v>
      </c>
      <c r="D326" s="50" t="s">
        <v>2576</v>
      </c>
      <c r="E326" s="63" t="s">
        <v>3404</v>
      </c>
      <c r="F326" s="50" t="s">
        <v>1380</v>
      </c>
      <c r="G326" s="50" t="s">
        <v>1299</v>
      </c>
      <c r="H326" s="49" t="s">
        <v>4067</v>
      </c>
      <c r="I326" s="49" t="s">
        <v>4067</v>
      </c>
    </row>
    <row r="327">
      <c r="A327" s="48">
        <f>ROW()-ROW(Table_Phrases[N])</f>
        <v>325</v>
      </c>
      <c r="B327" s="48" t="s">
        <v>4068</v>
      </c>
      <c r="C327" s="48">
        <v>1.0</v>
      </c>
      <c r="D327" s="50" t="s">
        <v>2578</v>
      </c>
      <c r="E327" s="50" t="s">
        <v>1380</v>
      </c>
      <c r="F327" s="50" t="s">
        <v>3404</v>
      </c>
      <c r="G327" s="50" t="s">
        <v>1299</v>
      </c>
      <c r="H327" s="49" t="s">
        <v>4069</v>
      </c>
      <c r="I327" s="49" t="s">
        <v>4069</v>
      </c>
    </row>
    <row r="328">
      <c r="A328" s="48">
        <f>ROW()-ROW(Table_Phrases[N])</f>
        <v>326</v>
      </c>
      <c r="B328" s="48" t="s">
        <v>4070</v>
      </c>
      <c r="C328" s="48">
        <v>0.0</v>
      </c>
      <c r="D328" s="50" t="s">
        <v>2580</v>
      </c>
      <c r="E328" s="63" t="s">
        <v>3404</v>
      </c>
      <c r="F328" s="50" t="s">
        <v>1380</v>
      </c>
      <c r="G328" s="50" t="s">
        <v>1299</v>
      </c>
      <c r="H328" s="49" t="s">
        <v>4071</v>
      </c>
      <c r="I328" s="49" t="s">
        <v>4071</v>
      </c>
    </row>
    <row r="329">
      <c r="A329" s="48">
        <f>ROW()-ROW(Table_Phrases[N])</f>
        <v>327</v>
      </c>
      <c r="B329" s="48" t="s">
        <v>4072</v>
      </c>
      <c r="C329" s="48">
        <v>1.0</v>
      </c>
      <c r="D329" s="50" t="s">
        <v>2582</v>
      </c>
      <c r="E329" s="50" t="s">
        <v>1380</v>
      </c>
      <c r="F329" s="50" t="s">
        <v>3404</v>
      </c>
      <c r="G329" s="50" t="s">
        <v>1299</v>
      </c>
      <c r="H329" s="49" t="s">
        <v>4073</v>
      </c>
      <c r="I329" s="49" t="s">
        <v>4073</v>
      </c>
    </row>
    <row r="330">
      <c r="A330" s="48">
        <f>ROW()-ROW(Table_Phrases[N])</f>
        <v>328</v>
      </c>
      <c r="B330" s="48" t="s">
        <v>4074</v>
      </c>
      <c r="C330" s="48">
        <v>0.0</v>
      </c>
      <c r="D330" s="50" t="s">
        <v>2584</v>
      </c>
      <c r="E330" s="63" t="s">
        <v>3404</v>
      </c>
      <c r="F330" s="50" t="s">
        <v>1380</v>
      </c>
      <c r="G330" s="50" t="s">
        <v>1299</v>
      </c>
      <c r="H330" s="49" t="s">
        <v>4075</v>
      </c>
      <c r="I330" s="49" t="s">
        <v>4075</v>
      </c>
    </row>
    <row r="331">
      <c r="A331" s="48">
        <f>ROW()-ROW(Table_Phrases[N])</f>
        <v>329</v>
      </c>
      <c r="B331" s="48" t="s">
        <v>4076</v>
      </c>
      <c r="C331" s="48">
        <v>1.0</v>
      </c>
      <c r="D331" s="50" t="s">
        <v>2586</v>
      </c>
      <c r="E331" s="50" t="s">
        <v>1380</v>
      </c>
      <c r="F331" s="50" t="s">
        <v>3404</v>
      </c>
      <c r="G331" s="50" t="s">
        <v>1299</v>
      </c>
      <c r="H331" s="49" t="s">
        <v>4077</v>
      </c>
      <c r="I331" s="49" t="s">
        <v>4077</v>
      </c>
    </row>
    <row r="332">
      <c r="A332" s="48">
        <f>ROW()-ROW(Table_Phrases[N])</f>
        <v>330</v>
      </c>
      <c r="B332" s="48" t="s">
        <v>4078</v>
      </c>
      <c r="C332" s="48">
        <v>0.0</v>
      </c>
      <c r="D332" s="50" t="s">
        <v>2588</v>
      </c>
      <c r="E332" s="63" t="s">
        <v>3404</v>
      </c>
      <c r="F332" s="50" t="s">
        <v>1299</v>
      </c>
      <c r="G332" s="50" t="s">
        <v>1299</v>
      </c>
      <c r="H332" s="49" t="s">
        <v>4079</v>
      </c>
      <c r="I332" s="49" t="s">
        <v>4079</v>
      </c>
    </row>
    <row r="333">
      <c r="A333" s="48">
        <f>ROW()-ROW(Table_Phrases[N])</f>
        <v>331</v>
      </c>
      <c r="B333" s="48" t="s">
        <v>3151</v>
      </c>
      <c r="C333" s="48">
        <v>0.0</v>
      </c>
      <c r="D333" s="50" t="s">
        <v>2590</v>
      </c>
      <c r="E333" s="63" t="s">
        <v>3404</v>
      </c>
      <c r="F333" s="50" t="s">
        <v>1380</v>
      </c>
      <c r="G333" s="50" t="s">
        <v>1299</v>
      </c>
      <c r="H333" s="49" t="s">
        <v>4080</v>
      </c>
      <c r="I333" s="49" t="s">
        <v>4080</v>
      </c>
    </row>
    <row r="334">
      <c r="A334" s="48">
        <f>ROW()-ROW(Table_Phrases[N])</f>
        <v>332</v>
      </c>
      <c r="B334" s="48" t="s">
        <v>4081</v>
      </c>
      <c r="C334" s="48">
        <v>1.0</v>
      </c>
      <c r="D334" s="50" t="s">
        <v>2592</v>
      </c>
      <c r="E334" s="63" t="s">
        <v>1380</v>
      </c>
      <c r="F334" s="50" t="s">
        <v>3404</v>
      </c>
      <c r="G334" s="50" t="s">
        <v>1299</v>
      </c>
      <c r="H334" s="49" t="s">
        <v>4082</v>
      </c>
      <c r="I334" s="49" t="s">
        <v>4082</v>
      </c>
    </row>
    <row r="335">
      <c r="A335" s="48">
        <f>ROW()-ROW(Table_Phrases[N])</f>
        <v>333</v>
      </c>
      <c r="B335" s="48" t="s">
        <v>3153</v>
      </c>
      <c r="C335" s="48">
        <v>0.0</v>
      </c>
      <c r="D335" s="50" t="s">
        <v>2594</v>
      </c>
      <c r="E335" s="63" t="s">
        <v>3404</v>
      </c>
      <c r="F335" s="50" t="s">
        <v>1299</v>
      </c>
      <c r="G335" s="50" t="s">
        <v>1299</v>
      </c>
      <c r="H335" s="49" t="s">
        <v>4083</v>
      </c>
      <c r="I335" s="49" t="s">
        <v>4083</v>
      </c>
    </row>
    <row r="336">
      <c r="A336" s="48">
        <f>ROW()-ROW(Table_Phrases[N])</f>
        <v>334</v>
      </c>
      <c r="B336" s="48" t="s">
        <v>4084</v>
      </c>
      <c r="C336" s="48">
        <v>0.0</v>
      </c>
      <c r="D336" s="50" t="s">
        <v>1608</v>
      </c>
      <c r="E336" s="63" t="s">
        <v>1521</v>
      </c>
      <c r="F336" s="50" t="s">
        <v>1299</v>
      </c>
      <c r="G336" s="50" t="s">
        <v>1299</v>
      </c>
      <c r="H336" s="49"/>
      <c r="I336" s="49"/>
    </row>
    <row r="337">
      <c r="A337" s="48">
        <f>ROW()-ROW(Table_Phrases[N])</f>
        <v>335</v>
      </c>
      <c r="B337" s="48" t="s">
        <v>3155</v>
      </c>
      <c r="C337" s="48">
        <v>0.0</v>
      </c>
      <c r="D337" s="50" t="s">
        <v>2596</v>
      </c>
      <c r="E337" s="63" t="s">
        <v>3404</v>
      </c>
      <c r="F337" s="50" t="s">
        <v>1299</v>
      </c>
      <c r="G337" s="50" t="s">
        <v>1299</v>
      </c>
      <c r="H337" s="49" t="s">
        <v>4085</v>
      </c>
      <c r="I337" s="49" t="s">
        <v>4085</v>
      </c>
    </row>
    <row r="338">
      <c r="A338" s="48">
        <f>ROW()-ROW(Table_Phrases[N])</f>
        <v>336</v>
      </c>
      <c r="B338" s="48" t="s">
        <v>4086</v>
      </c>
      <c r="C338" s="48">
        <v>0.0</v>
      </c>
      <c r="D338" s="50" t="s">
        <v>2598</v>
      </c>
      <c r="E338" s="63" t="s">
        <v>3385</v>
      </c>
      <c r="F338" s="50" t="s">
        <v>1299</v>
      </c>
      <c r="G338" s="50" t="s">
        <v>1299</v>
      </c>
      <c r="H338" s="49" t="s">
        <v>4087</v>
      </c>
      <c r="I338" s="49" t="s">
        <v>4087</v>
      </c>
    </row>
    <row r="339">
      <c r="A339" s="48">
        <f>ROW()-ROW(Table_Phrases[N])</f>
        <v>337</v>
      </c>
      <c r="B339" s="48" t="s">
        <v>4088</v>
      </c>
      <c r="C339" s="48">
        <v>0.0</v>
      </c>
      <c r="D339" s="50" t="s">
        <v>2600</v>
      </c>
      <c r="E339" s="63" t="s">
        <v>3385</v>
      </c>
      <c r="F339" s="50" t="s">
        <v>1299</v>
      </c>
      <c r="G339" s="50" t="s">
        <v>1299</v>
      </c>
      <c r="H339" s="49" t="s">
        <v>4089</v>
      </c>
      <c r="I339" s="49" t="s">
        <v>4089</v>
      </c>
    </row>
    <row r="340">
      <c r="A340" s="48">
        <f>ROW()-ROW(Table_Phrases[N])</f>
        <v>338</v>
      </c>
      <c r="B340" s="48" t="s">
        <v>1639</v>
      </c>
      <c r="C340" s="48">
        <v>0.0</v>
      </c>
      <c r="D340" s="50" t="s">
        <v>2603</v>
      </c>
      <c r="E340" s="63" t="s">
        <v>3385</v>
      </c>
      <c r="F340" s="50" t="s">
        <v>1299</v>
      </c>
      <c r="G340" s="50" t="s">
        <v>1299</v>
      </c>
      <c r="H340" s="49" t="s">
        <v>4090</v>
      </c>
      <c r="I340" s="49" t="s">
        <v>4090</v>
      </c>
    </row>
    <row r="341">
      <c r="A341" s="48">
        <f>ROW()-ROW(Table_Phrases[N])</f>
        <v>339</v>
      </c>
      <c r="B341" s="48" t="s">
        <v>1641</v>
      </c>
      <c r="C341" s="48">
        <v>0.0</v>
      </c>
      <c r="D341" s="50" t="s">
        <v>2605</v>
      </c>
      <c r="E341" s="63" t="s">
        <v>3385</v>
      </c>
      <c r="F341" s="50" t="s">
        <v>1299</v>
      </c>
      <c r="G341" s="50" t="s">
        <v>1299</v>
      </c>
      <c r="H341" s="49" t="s">
        <v>4091</v>
      </c>
      <c r="I341" s="49" t="s">
        <v>4091</v>
      </c>
    </row>
    <row r="342">
      <c r="A342" s="48">
        <f>ROW()-ROW(Table_Phrases[N])</f>
        <v>340</v>
      </c>
      <c r="B342" s="48" t="s">
        <v>1650</v>
      </c>
      <c r="C342" s="48">
        <v>0.0</v>
      </c>
      <c r="D342" s="50" t="s">
        <v>2607</v>
      </c>
      <c r="E342" s="63" t="s">
        <v>3385</v>
      </c>
      <c r="F342" s="50" t="s">
        <v>1299</v>
      </c>
      <c r="G342" s="50" t="s">
        <v>1299</v>
      </c>
      <c r="H342" s="49" t="s">
        <v>4092</v>
      </c>
      <c r="I342" s="49" t="s">
        <v>4092</v>
      </c>
    </row>
    <row r="343">
      <c r="A343" s="48">
        <f>ROW()-ROW(Table_Phrases[N])</f>
        <v>341</v>
      </c>
      <c r="B343" s="48" t="s">
        <v>1651</v>
      </c>
      <c r="C343" s="48">
        <v>0.0</v>
      </c>
      <c r="D343" s="50" t="s">
        <v>2609</v>
      </c>
      <c r="E343" s="63" t="s">
        <v>3385</v>
      </c>
      <c r="F343" s="50" t="s">
        <v>1299</v>
      </c>
      <c r="G343" s="50" t="s">
        <v>1299</v>
      </c>
      <c r="H343" s="49" t="s">
        <v>4093</v>
      </c>
      <c r="I343" s="49" t="s">
        <v>4093</v>
      </c>
    </row>
    <row r="344">
      <c r="A344" s="48">
        <f>ROW()-ROW(Table_Phrases[N])</f>
        <v>342</v>
      </c>
      <c r="B344" s="48" t="s">
        <v>1656</v>
      </c>
      <c r="C344" s="48">
        <v>0.0</v>
      </c>
      <c r="D344" s="50" t="s">
        <v>2611</v>
      </c>
      <c r="E344" s="63" t="s">
        <v>3385</v>
      </c>
      <c r="F344" s="50" t="s">
        <v>1299</v>
      </c>
      <c r="G344" s="50" t="s">
        <v>1299</v>
      </c>
      <c r="H344" s="49" t="s">
        <v>4094</v>
      </c>
      <c r="I344" s="49" t="s">
        <v>4094</v>
      </c>
    </row>
    <row r="345">
      <c r="A345" s="48">
        <f>ROW()-ROW(Table_Phrases[N])</f>
        <v>343</v>
      </c>
      <c r="B345" s="48" t="s">
        <v>1657</v>
      </c>
      <c r="C345" s="48">
        <v>0.0</v>
      </c>
      <c r="D345" s="50" t="s">
        <v>2613</v>
      </c>
      <c r="E345" s="63" t="s">
        <v>3385</v>
      </c>
      <c r="F345" s="50" t="s">
        <v>1299</v>
      </c>
      <c r="G345" s="50" t="s">
        <v>1299</v>
      </c>
      <c r="H345" s="49" t="s">
        <v>4095</v>
      </c>
      <c r="I345" s="49" t="s">
        <v>4095</v>
      </c>
    </row>
    <row r="346">
      <c r="A346" s="48">
        <f>ROW()-ROW(Table_Phrases[N])</f>
        <v>344</v>
      </c>
      <c r="B346" s="48" t="s">
        <v>1658</v>
      </c>
      <c r="C346" s="48">
        <v>0.0</v>
      </c>
      <c r="D346" s="50" t="s">
        <v>2615</v>
      </c>
      <c r="E346" s="63" t="s">
        <v>3385</v>
      </c>
      <c r="F346" s="50" t="s">
        <v>1299</v>
      </c>
      <c r="G346" s="50" t="s">
        <v>1299</v>
      </c>
      <c r="H346" s="49" t="s">
        <v>4096</v>
      </c>
      <c r="I346" s="49" t="s">
        <v>4096</v>
      </c>
    </row>
    <row r="347">
      <c r="A347" s="48">
        <f>ROW()-ROW(Table_Phrases[N])</f>
        <v>345</v>
      </c>
      <c r="B347" s="48" t="s">
        <v>4097</v>
      </c>
      <c r="C347" s="48">
        <v>0.0</v>
      </c>
      <c r="D347" s="50" t="s">
        <v>2617</v>
      </c>
      <c r="E347" s="63" t="s">
        <v>3404</v>
      </c>
      <c r="F347" s="50" t="s">
        <v>1380</v>
      </c>
      <c r="G347" s="50" t="s">
        <v>1299</v>
      </c>
      <c r="H347" s="49" t="s">
        <v>4098</v>
      </c>
      <c r="I347" s="49" t="s">
        <v>4098</v>
      </c>
    </row>
    <row r="348">
      <c r="A348" s="48">
        <f>ROW()-ROW(Table_Phrases[N])</f>
        <v>346</v>
      </c>
      <c r="B348" s="48" t="s">
        <v>4099</v>
      </c>
      <c r="C348" s="48">
        <v>1.0</v>
      </c>
      <c r="D348" s="50" t="s">
        <v>2619</v>
      </c>
      <c r="E348" s="63" t="s">
        <v>3408</v>
      </c>
      <c r="F348" s="50" t="s">
        <v>1521</v>
      </c>
      <c r="G348" s="50" t="s">
        <v>1299</v>
      </c>
      <c r="H348" s="49" t="s">
        <v>4100</v>
      </c>
      <c r="I348" s="49" t="s">
        <v>4100</v>
      </c>
    </row>
    <row r="349">
      <c r="A349" s="48">
        <f>ROW()-ROW(Table_Phrases[N])</f>
        <v>347</v>
      </c>
      <c r="B349" s="48" t="s">
        <v>4101</v>
      </c>
      <c r="C349" s="48">
        <v>1.0</v>
      </c>
      <c r="D349" s="50" t="s">
        <v>2621</v>
      </c>
      <c r="E349" s="63" t="s">
        <v>3408</v>
      </c>
      <c r="F349" s="50" t="s">
        <v>3404</v>
      </c>
      <c r="G349" s="50" t="s">
        <v>1299</v>
      </c>
      <c r="H349" s="49" t="s">
        <v>4102</v>
      </c>
      <c r="I349" s="49" t="s">
        <v>4102</v>
      </c>
    </row>
    <row r="350">
      <c r="A350" s="48">
        <f>ROW()-ROW(Table_Phrases[N])</f>
        <v>348</v>
      </c>
      <c r="B350" s="48" t="s">
        <v>4103</v>
      </c>
      <c r="C350" s="48">
        <v>0.0</v>
      </c>
      <c r="D350" s="50" t="s">
        <v>2623</v>
      </c>
      <c r="E350" s="63" t="s">
        <v>3404</v>
      </c>
      <c r="F350" s="50" t="s">
        <v>1380</v>
      </c>
      <c r="G350" s="50" t="s">
        <v>1299</v>
      </c>
      <c r="H350" s="49" t="s">
        <v>4104</v>
      </c>
      <c r="I350" s="49" t="s">
        <v>4104</v>
      </c>
    </row>
    <row r="351">
      <c r="A351" s="48">
        <f>ROW()-ROW(Table_Phrases[N])</f>
        <v>349</v>
      </c>
      <c r="B351" s="48" t="s">
        <v>4105</v>
      </c>
      <c r="C351" s="48">
        <v>1.0</v>
      </c>
      <c r="D351" s="50" t="s">
        <v>2625</v>
      </c>
      <c r="E351" s="63" t="s">
        <v>3408</v>
      </c>
      <c r="F351" s="50" t="s">
        <v>3404</v>
      </c>
      <c r="G351" s="50" t="s">
        <v>1299</v>
      </c>
      <c r="H351" s="49" t="s">
        <v>4106</v>
      </c>
      <c r="I351" s="49" t="s">
        <v>4106</v>
      </c>
    </row>
    <row r="352">
      <c r="A352" s="48">
        <f>ROW()-ROW(Table_Phrases[N])</f>
        <v>350</v>
      </c>
      <c r="B352" s="48" t="s">
        <v>4107</v>
      </c>
      <c r="C352" s="48">
        <v>0.0</v>
      </c>
      <c r="D352" s="50" t="s">
        <v>2627</v>
      </c>
      <c r="E352" s="63" t="s">
        <v>3404</v>
      </c>
      <c r="F352" s="50" t="s">
        <v>1380</v>
      </c>
      <c r="G352" s="50" t="s">
        <v>1299</v>
      </c>
      <c r="H352" s="49" t="s">
        <v>4108</v>
      </c>
      <c r="I352" s="49" t="s">
        <v>4108</v>
      </c>
    </row>
    <row r="353">
      <c r="A353" s="48">
        <f>ROW()-ROW(Table_Phrases[N])</f>
        <v>351</v>
      </c>
      <c r="B353" s="48" t="s">
        <v>4109</v>
      </c>
      <c r="C353" s="48">
        <v>1.0</v>
      </c>
      <c r="D353" s="50" t="s">
        <v>2629</v>
      </c>
      <c r="E353" s="63" t="s">
        <v>3408</v>
      </c>
      <c r="F353" s="50" t="s">
        <v>3404</v>
      </c>
      <c r="G353" s="50" t="s">
        <v>1299</v>
      </c>
      <c r="H353" s="49" t="s">
        <v>4110</v>
      </c>
      <c r="I353" s="49" t="s">
        <v>4110</v>
      </c>
    </row>
    <row r="354">
      <c r="A354" s="48">
        <f>ROW()-ROW(Table_Phrases[N])</f>
        <v>352</v>
      </c>
      <c r="B354" s="48" t="s">
        <v>4111</v>
      </c>
      <c r="C354" s="48">
        <v>0.0</v>
      </c>
      <c r="D354" s="50" t="s">
        <v>2631</v>
      </c>
      <c r="E354" s="63" t="s">
        <v>3404</v>
      </c>
      <c r="F354" s="50" t="s">
        <v>1380</v>
      </c>
      <c r="G354" s="50" t="s">
        <v>1299</v>
      </c>
      <c r="H354" s="49" t="s">
        <v>4112</v>
      </c>
      <c r="I354" s="49" t="s">
        <v>4112</v>
      </c>
    </row>
    <row r="355">
      <c r="A355" s="48">
        <f>ROW()-ROW(Table_Phrases[N])</f>
        <v>353</v>
      </c>
      <c r="B355" s="48" t="s">
        <v>4113</v>
      </c>
      <c r="C355" s="48">
        <v>1.0</v>
      </c>
      <c r="D355" s="50" t="s">
        <v>2633</v>
      </c>
      <c r="E355" s="63" t="s">
        <v>1380</v>
      </c>
      <c r="F355" s="50" t="s">
        <v>3404</v>
      </c>
      <c r="G355" s="50" t="s">
        <v>1299</v>
      </c>
      <c r="H355" s="49" t="s">
        <v>4114</v>
      </c>
      <c r="I355" s="49" t="s">
        <v>4114</v>
      </c>
    </row>
    <row r="356">
      <c r="A356" s="48">
        <f>ROW()-ROW(Table_Phrases[N])</f>
        <v>354</v>
      </c>
      <c r="B356" s="48" t="s">
        <v>4115</v>
      </c>
      <c r="C356" s="48">
        <v>0.0</v>
      </c>
      <c r="D356" s="50" t="s">
        <v>2635</v>
      </c>
      <c r="E356" s="63" t="s">
        <v>3404</v>
      </c>
      <c r="F356" s="50" t="s">
        <v>1380</v>
      </c>
      <c r="G356" s="50" t="s">
        <v>1299</v>
      </c>
      <c r="H356" s="49" t="s">
        <v>4116</v>
      </c>
      <c r="I356" s="49" t="s">
        <v>4116</v>
      </c>
    </row>
    <row r="357">
      <c r="A357" s="48">
        <f>ROW()-ROW(Table_Phrases[N])</f>
        <v>355</v>
      </c>
      <c r="B357" s="48" t="s">
        <v>4117</v>
      </c>
      <c r="C357" s="48">
        <v>1.0</v>
      </c>
      <c r="D357" s="50" t="s">
        <v>2637</v>
      </c>
      <c r="E357" s="63" t="s">
        <v>1380</v>
      </c>
      <c r="F357" s="50" t="s">
        <v>3404</v>
      </c>
      <c r="G357" s="50" t="s">
        <v>1299</v>
      </c>
      <c r="H357" s="49" t="s">
        <v>4118</v>
      </c>
      <c r="I357" s="49" t="s">
        <v>4118</v>
      </c>
    </row>
    <row r="358">
      <c r="A358" s="48">
        <f>ROW()-ROW(Table_Phrases[N])</f>
        <v>356</v>
      </c>
      <c r="B358" s="48" t="s">
        <v>4119</v>
      </c>
      <c r="C358" s="48">
        <v>0.0</v>
      </c>
      <c r="D358" s="50" t="s">
        <v>2639</v>
      </c>
      <c r="E358" s="63" t="s">
        <v>3404</v>
      </c>
      <c r="F358" s="50" t="s">
        <v>1380</v>
      </c>
      <c r="G358" s="50" t="s">
        <v>1299</v>
      </c>
      <c r="H358" s="49" t="s">
        <v>4120</v>
      </c>
      <c r="I358" s="49" t="s">
        <v>4120</v>
      </c>
    </row>
    <row r="359">
      <c r="A359" s="48">
        <f>ROW()-ROW(Table_Phrases[N])</f>
        <v>357</v>
      </c>
      <c r="B359" s="48" t="s">
        <v>4121</v>
      </c>
      <c r="C359" s="48">
        <v>0.0</v>
      </c>
      <c r="D359" s="50" t="s">
        <v>2641</v>
      </c>
      <c r="E359" s="63" t="s">
        <v>3404</v>
      </c>
      <c r="F359" s="50" t="s">
        <v>1380</v>
      </c>
      <c r="G359" s="50" t="s">
        <v>1299</v>
      </c>
      <c r="H359" s="49" t="s">
        <v>4122</v>
      </c>
      <c r="I359" s="49" t="s">
        <v>4122</v>
      </c>
    </row>
    <row r="360">
      <c r="A360" s="48">
        <f>ROW()-ROW(Table_Phrases[N])</f>
        <v>358</v>
      </c>
      <c r="B360" s="48" t="s">
        <v>4123</v>
      </c>
      <c r="C360" s="48">
        <v>1.0</v>
      </c>
      <c r="D360" s="50" t="s">
        <v>2643</v>
      </c>
      <c r="E360" s="63" t="s">
        <v>1380</v>
      </c>
      <c r="F360" s="50" t="s">
        <v>3404</v>
      </c>
      <c r="G360" s="50" t="s">
        <v>1299</v>
      </c>
      <c r="H360" s="49" t="s">
        <v>4124</v>
      </c>
      <c r="I360" s="49" t="s">
        <v>4124</v>
      </c>
    </row>
    <row r="361">
      <c r="A361" s="48">
        <f>ROW()-ROW(Table_Phrases[N])</f>
        <v>359</v>
      </c>
      <c r="B361" s="48" t="s">
        <v>4125</v>
      </c>
      <c r="C361" s="48">
        <v>1.0</v>
      </c>
      <c r="D361" s="50" t="s">
        <v>2645</v>
      </c>
      <c r="E361" s="63" t="s">
        <v>1380</v>
      </c>
      <c r="F361" s="50" t="s">
        <v>3404</v>
      </c>
      <c r="G361" s="50" t="s">
        <v>1299</v>
      </c>
      <c r="H361" s="49" t="s">
        <v>4126</v>
      </c>
      <c r="I361" s="49" t="s">
        <v>4126</v>
      </c>
    </row>
    <row r="362">
      <c r="A362" s="48">
        <f>ROW()-ROW(Table_Phrases[N])</f>
        <v>360</v>
      </c>
      <c r="B362" s="48" t="s">
        <v>4127</v>
      </c>
      <c r="C362" s="48">
        <v>0.0</v>
      </c>
      <c r="D362" s="50" t="s">
        <v>2647</v>
      </c>
      <c r="E362" s="63" t="s">
        <v>3404</v>
      </c>
      <c r="F362" s="50" t="s">
        <v>1380</v>
      </c>
      <c r="G362" s="50" t="s">
        <v>1299</v>
      </c>
      <c r="H362" s="49" t="s">
        <v>4128</v>
      </c>
      <c r="I362" s="49" t="s">
        <v>4128</v>
      </c>
    </row>
    <row r="363">
      <c r="A363" s="48">
        <f>ROW()-ROW(Table_Phrases[N])</f>
        <v>361</v>
      </c>
      <c r="B363" s="48" t="s">
        <v>4129</v>
      </c>
      <c r="C363" s="48">
        <v>1.0</v>
      </c>
      <c r="D363" s="50" t="s">
        <v>2649</v>
      </c>
      <c r="E363" s="50" t="s">
        <v>1380</v>
      </c>
      <c r="F363" s="63" t="s">
        <v>3404</v>
      </c>
      <c r="G363" s="50" t="s">
        <v>1299</v>
      </c>
      <c r="H363" s="49" t="s">
        <v>4130</v>
      </c>
      <c r="I363" s="49" t="s">
        <v>4130</v>
      </c>
    </row>
    <row r="364">
      <c r="A364" s="48">
        <f>ROW()-ROW(Table_Phrases[N])</f>
        <v>362</v>
      </c>
      <c r="B364" s="48" t="s">
        <v>1676</v>
      </c>
      <c r="C364" s="48">
        <v>0.0</v>
      </c>
      <c r="D364" s="50" t="s">
        <v>2651</v>
      </c>
      <c r="E364" s="63" t="s">
        <v>3385</v>
      </c>
      <c r="F364" s="50" t="s">
        <v>1299</v>
      </c>
      <c r="G364" s="50" t="s">
        <v>1299</v>
      </c>
      <c r="H364" s="49" t="s">
        <v>4131</v>
      </c>
      <c r="I364" s="49" t="s">
        <v>4131</v>
      </c>
    </row>
    <row r="365">
      <c r="A365" s="48">
        <f>ROW()-ROW(Table_Phrases[N])</f>
        <v>363</v>
      </c>
      <c r="B365" s="48" t="s">
        <v>4132</v>
      </c>
      <c r="C365" s="48">
        <v>1.0</v>
      </c>
      <c r="D365" s="50" t="s">
        <v>2653</v>
      </c>
      <c r="E365" s="63" t="s">
        <v>3512</v>
      </c>
      <c r="F365" s="50" t="s">
        <v>3404</v>
      </c>
      <c r="G365" s="50" t="s">
        <v>1299</v>
      </c>
      <c r="H365" s="49" t="s">
        <v>4133</v>
      </c>
      <c r="I365" s="49" t="s">
        <v>4133</v>
      </c>
    </row>
    <row r="366">
      <c r="A366" s="48">
        <f>ROW()-ROW(Table_Phrases[N])</f>
        <v>364</v>
      </c>
      <c r="B366" s="48" t="s">
        <v>4134</v>
      </c>
      <c r="C366" s="48">
        <v>0.0</v>
      </c>
      <c r="D366" s="50" t="s">
        <v>2655</v>
      </c>
      <c r="E366" s="63" t="s">
        <v>3517</v>
      </c>
      <c r="F366" s="50" t="s">
        <v>1380</v>
      </c>
      <c r="G366" s="50" t="s">
        <v>1299</v>
      </c>
      <c r="H366" s="49" t="s">
        <v>4135</v>
      </c>
      <c r="I366" s="49" t="s">
        <v>4135</v>
      </c>
    </row>
    <row r="367">
      <c r="A367" s="48">
        <f>ROW()-ROW(Table_Phrases[N])</f>
        <v>365</v>
      </c>
      <c r="B367" s="48" t="s">
        <v>4136</v>
      </c>
      <c r="C367" s="48">
        <v>1.0</v>
      </c>
      <c r="D367" s="50" t="s">
        <v>2657</v>
      </c>
      <c r="E367" s="63" t="s">
        <v>3512</v>
      </c>
      <c r="F367" s="50" t="s">
        <v>3404</v>
      </c>
      <c r="G367" s="50" t="s">
        <v>1299</v>
      </c>
      <c r="H367" s="49" t="s">
        <v>4137</v>
      </c>
      <c r="I367" s="49" t="s">
        <v>4137</v>
      </c>
    </row>
    <row r="368">
      <c r="A368" s="48">
        <f>ROW()-ROW(Table_Phrases[N])</f>
        <v>366</v>
      </c>
      <c r="B368" s="48" t="s">
        <v>4138</v>
      </c>
      <c r="C368" s="48">
        <v>1.0</v>
      </c>
      <c r="D368" s="50" t="s">
        <v>2659</v>
      </c>
      <c r="E368" s="63" t="s">
        <v>3512</v>
      </c>
      <c r="F368" s="50" t="s">
        <v>3404</v>
      </c>
      <c r="G368" s="50" t="s">
        <v>1299</v>
      </c>
      <c r="H368" s="49" t="s">
        <v>4139</v>
      </c>
      <c r="I368" s="49" t="s">
        <v>4139</v>
      </c>
    </row>
    <row r="369">
      <c r="A369" s="48">
        <f>ROW()-ROW(Table_Phrases[N])</f>
        <v>367</v>
      </c>
      <c r="B369" s="48" t="s">
        <v>4140</v>
      </c>
      <c r="C369" s="48">
        <v>0.0</v>
      </c>
      <c r="D369" s="50" t="s">
        <v>2661</v>
      </c>
      <c r="E369" s="63" t="s">
        <v>3517</v>
      </c>
      <c r="F369" s="50" t="s">
        <v>1380</v>
      </c>
      <c r="G369" s="50" t="s">
        <v>1299</v>
      </c>
      <c r="H369" s="49" t="s">
        <v>4141</v>
      </c>
      <c r="I369" s="49" t="s">
        <v>4141</v>
      </c>
    </row>
    <row r="370">
      <c r="A370" s="48">
        <f>ROW()-ROW(Table_Phrases[N])</f>
        <v>368</v>
      </c>
      <c r="B370" s="48" t="s">
        <v>4142</v>
      </c>
      <c r="C370" s="48">
        <v>1.0</v>
      </c>
      <c r="D370" s="50" t="s">
        <v>2663</v>
      </c>
      <c r="E370" s="63" t="s">
        <v>3512</v>
      </c>
      <c r="F370" s="50" t="s">
        <v>3404</v>
      </c>
      <c r="G370" s="50" t="s">
        <v>1299</v>
      </c>
      <c r="H370" s="49" t="s">
        <v>4143</v>
      </c>
      <c r="I370" s="49" t="s">
        <v>4143</v>
      </c>
    </row>
    <row r="371">
      <c r="A371" s="48">
        <f>ROW()-ROW(Table_Phrases[N])</f>
        <v>369</v>
      </c>
      <c r="B371" s="48" t="s">
        <v>4144</v>
      </c>
      <c r="C371" s="48">
        <v>1.0</v>
      </c>
      <c r="D371" s="50" t="s">
        <v>2665</v>
      </c>
      <c r="E371" s="63" t="s">
        <v>3512</v>
      </c>
      <c r="F371" s="50" t="s">
        <v>3404</v>
      </c>
      <c r="G371" s="50" t="s">
        <v>1299</v>
      </c>
      <c r="H371" s="49" t="s">
        <v>4145</v>
      </c>
      <c r="I371" s="49" t="s">
        <v>4145</v>
      </c>
    </row>
    <row r="372">
      <c r="A372" s="48">
        <f>ROW()-ROW(Table_Phrases[N])</f>
        <v>370</v>
      </c>
      <c r="B372" s="48" t="s">
        <v>4146</v>
      </c>
      <c r="C372" s="48">
        <v>0.0</v>
      </c>
      <c r="D372" s="50" t="s">
        <v>2667</v>
      </c>
      <c r="E372" s="63" t="s">
        <v>3517</v>
      </c>
      <c r="F372" s="50" t="s">
        <v>1380</v>
      </c>
      <c r="G372" s="50" t="s">
        <v>1299</v>
      </c>
      <c r="H372" s="49" t="s">
        <v>4147</v>
      </c>
      <c r="I372" s="49" t="s">
        <v>4147</v>
      </c>
    </row>
    <row r="373">
      <c r="A373" s="48">
        <f>ROW()-ROW(Table_Phrases[N])</f>
        <v>371</v>
      </c>
      <c r="B373" s="48" t="s">
        <v>4148</v>
      </c>
      <c r="C373" s="48">
        <v>1.0</v>
      </c>
      <c r="D373" s="50" t="s">
        <v>2669</v>
      </c>
      <c r="E373" s="63" t="s">
        <v>3512</v>
      </c>
      <c r="F373" s="50" t="s">
        <v>3404</v>
      </c>
      <c r="G373" s="50" t="s">
        <v>1299</v>
      </c>
      <c r="H373" s="49" t="s">
        <v>4149</v>
      </c>
      <c r="I373" s="49" t="s">
        <v>4149</v>
      </c>
    </row>
    <row r="374">
      <c r="A374" s="48">
        <f>ROW()-ROW(Table_Phrases[N])</f>
        <v>372</v>
      </c>
      <c r="B374" s="48" t="s">
        <v>4150</v>
      </c>
      <c r="C374" s="48">
        <v>0.0</v>
      </c>
      <c r="D374" s="50" t="s">
        <v>2671</v>
      </c>
      <c r="E374" s="63" t="s">
        <v>3517</v>
      </c>
      <c r="F374" s="50" t="s">
        <v>1380</v>
      </c>
      <c r="G374" s="50" t="s">
        <v>1299</v>
      </c>
      <c r="H374" s="49" t="s">
        <v>4151</v>
      </c>
      <c r="I374" s="49" t="s">
        <v>4151</v>
      </c>
    </row>
    <row r="375">
      <c r="A375" s="48">
        <f>ROW()-ROW(Table_Phrases[N])</f>
        <v>373</v>
      </c>
      <c r="B375" s="48" t="s">
        <v>4152</v>
      </c>
      <c r="C375" s="48">
        <v>1.0</v>
      </c>
      <c r="D375" s="50" t="s">
        <v>2673</v>
      </c>
      <c r="E375" s="63" t="s">
        <v>3512</v>
      </c>
      <c r="F375" s="50" t="s">
        <v>3404</v>
      </c>
      <c r="G375" s="50" t="s">
        <v>1299</v>
      </c>
      <c r="H375" s="49" t="s">
        <v>4153</v>
      </c>
      <c r="I375" s="49" t="s">
        <v>4153</v>
      </c>
    </row>
    <row r="376">
      <c r="A376" s="48">
        <f>ROW()-ROW(Table_Phrases[N])</f>
        <v>374</v>
      </c>
      <c r="B376" s="48" t="s">
        <v>1682</v>
      </c>
      <c r="C376" s="48">
        <v>0.0</v>
      </c>
      <c r="D376" s="50" t="s">
        <v>2676</v>
      </c>
      <c r="E376" s="63" t="s">
        <v>3385</v>
      </c>
      <c r="F376" s="50" t="s">
        <v>1299</v>
      </c>
      <c r="G376" s="50" t="s">
        <v>1299</v>
      </c>
      <c r="H376" s="49" t="s">
        <v>4154</v>
      </c>
      <c r="I376" s="49" t="s">
        <v>4154</v>
      </c>
    </row>
    <row r="377">
      <c r="A377" s="48">
        <f>ROW()-ROW(Table_Phrases[N])</f>
        <v>375</v>
      </c>
      <c r="B377" s="48" t="s">
        <v>1683</v>
      </c>
      <c r="C377" s="48">
        <v>0.0</v>
      </c>
      <c r="D377" s="50" t="s">
        <v>2678</v>
      </c>
      <c r="E377" s="63" t="s">
        <v>3385</v>
      </c>
      <c r="F377" s="50" t="s">
        <v>1299</v>
      </c>
      <c r="G377" s="50" t="s">
        <v>1299</v>
      </c>
      <c r="H377" s="49" t="s">
        <v>4155</v>
      </c>
      <c r="I377" s="49" t="s">
        <v>4155</v>
      </c>
    </row>
    <row r="378">
      <c r="A378" s="48">
        <f>ROW()-ROW(Table_Phrases[N])</f>
        <v>376</v>
      </c>
      <c r="B378" s="48" t="s">
        <v>1696</v>
      </c>
      <c r="C378" s="48">
        <v>0.0</v>
      </c>
      <c r="D378" s="50" t="s">
        <v>2680</v>
      </c>
      <c r="E378" s="63" t="s">
        <v>3404</v>
      </c>
      <c r="F378" s="50" t="s">
        <v>1299</v>
      </c>
      <c r="G378" s="50" t="s">
        <v>1299</v>
      </c>
      <c r="H378" s="49" t="s">
        <v>4156</v>
      </c>
      <c r="I378" s="49" t="s">
        <v>4156</v>
      </c>
    </row>
    <row r="379">
      <c r="A379" s="48">
        <f>ROW()-ROW(Table_Phrases[N])</f>
        <v>377</v>
      </c>
      <c r="B379" s="48" t="s">
        <v>1700</v>
      </c>
      <c r="C379" s="48">
        <v>0.0</v>
      </c>
      <c r="D379" s="50" t="s">
        <v>2682</v>
      </c>
      <c r="E379" s="63" t="s">
        <v>3385</v>
      </c>
      <c r="F379" s="50" t="s">
        <v>1299</v>
      </c>
      <c r="G379" s="50" t="s">
        <v>1299</v>
      </c>
      <c r="H379" s="49" t="s">
        <v>4157</v>
      </c>
      <c r="I379" s="49" t="s">
        <v>4157</v>
      </c>
    </row>
    <row r="380">
      <c r="A380" s="48">
        <f>ROW()-ROW(Table_Phrases[N])</f>
        <v>378</v>
      </c>
      <c r="B380" s="48" t="s">
        <v>4158</v>
      </c>
      <c r="C380" s="48">
        <v>1.0</v>
      </c>
      <c r="D380" s="50" t="s">
        <v>2708</v>
      </c>
      <c r="E380" s="63" t="s">
        <v>3408</v>
      </c>
      <c r="F380" s="50" t="s">
        <v>3404</v>
      </c>
      <c r="G380" s="50" t="s">
        <v>1299</v>
      </c>
      <c r="H380" s="49" t="s">
        <v>4159</v>
      </c>
      <c r="I380" s="49" t="s">
        <v>4159</v>
      </c>
    </row>
    <row r="381">
      <c r="A381" s="48">
        <f>ROW()-ROW(Table_Phrases[N])</f>
        <v>379</v>
      </c>
      <c r="B381" s="48" t="s">
        <v>4160</v>
      </c>
      <c r="C381" s="48">
        <v>0.0</v>
      </c>
      <c r="D381" s="50" t="s">
        <v>2710</v>
      </c>
      <c r="E381" s="63" t="s">
        <v>3404</v>
      </c>
      <c r="F381" s="50" t="s">
        <v>1925</v>
      </c>
      <c r="G381" s="50" t="s">
        <v>1299</v>
      </c>
      <c r="H381" s="49" t="s">
        <v>4161</v>
      </c>
      <c r="I381" s="49" t="s">
        <v>4161</v>
      </c>
    </row>
    <row r="382">
      <c r="A382" s="48">
        <f>ROW()-ROW(Table_Phrases[N])</f>
        <v>380</v>
      </c>
      <c r="B382" s="48" t="s">
        <v>4162</v>
      </c>
      <c r="C382" s="48">
        <v>0.0</v>
      </c>
      <c r="D382" s="50" t="s">
        <v>2716</v>
      </c>
      <c r="E382" s="63" t="s">
        <v>3404</v>
      </c>
      <c r="F382" s="50" t="s">
        <v>1925</v>
      </c>
      <c r="G382" s="50" t="s">
        <v>1299</v>
      </c>
      <c r="H382" s="49" t="s">
        <v>4163</v>
      </c>
      <c r="I382" s="49" t="s">
        <v>4163</v>
      </c>
    </row>
    <row r="383">
      <c r="A383" s="48">
        <f>ROW()-ROW(Table_Phrases[N])</f>
        <v>381</v>
      </c>
      <c r="B383" s="48" t="s">
        <v>4164</v>
      </c>
      <c r="C383" s="48">
        <v>0.0</v>
      </c>
      <c r="D383" s="50" t="s">
        <v>2718</v>
      </c>
      <c r="E383" s="63" t="s">
        <v>4165</v>
      </c>
      <c r="F383" s="50" t="s">
        <v>3404</v>
      </c>
      <c r="G383" s="50" t="s">
        <v>1299</v>
      </c>
      <c r="H383" s="49" t="s">
        <v>4166</v>
      </c>
      <c r="I383" s="49" t="s">
        <v>4166</v>
      </c>
    </row>
    <row r="384">
      <c r="A384" s="48">
        <f>ROW()-ROW(Table_Phrases[N])</f>
        <v>382</v>
      </c>
      <c r="B384" s="48" t="s">
        <v>1708</v>
      </c>
      <c r="C384" s="48">
        <v>0.0</v>
      </c>
      <c r="D384" s="50" t="s">
        <v>2720</v>
      </c>
      <c r="E384" s="63" t="s">
        <v>1299</v>
      </c>
      <c r="F384" s="50" t="s">
        <v>1299</v>
      </c>
      <c r="G384" s="50" t="s">
        <v>1299</v>
      </c>
      <c r="H384" s="49" t="s">
        <v>4167</v>
      </c>
      <c r="I384" s="49" t="s">
        <v>4167</v>
      </c>
    </row>
    <row r="385">
      <c r="A385" s="48">
        <f>ROW()-ROW(Table_Phrases[N])</f>
        <v>383</v>
      </c>
      <c r="B385" s="48" t="s">
        <v>1709</v>
      </c>
      <c r="C385" s="48">
        <v>0.0</v>
      </c>
      <c r="D385" s="50" t="s">
        <v>2722</v>
      </c>
      <c r="E385" s="63" t="s">
        <v>1299</v>
      </c>
      <c r="F385" s="63" t="s">
        <v>1299</v>
      </c>
      <c r="G385" s="63" t="s">
        <v>1299</v>
      </c>
      <c r="H385" s="49" t="s">
        <v>4168</v>
      </c>
      <c r="I385" s="49" t="s">
        <v>4168</v>
      </c>
    </row>
    <row r="386">
      <c r="A386" s="48">
        <f>ROW()-ROW(Table_Phrases[N])</f>
        <v>384</v>
      </c>
      <c r="B386" s="48" t="s">
        <v>1711</v>
      </c>
      <c r="C386" s="48">
        <v>0.0</v>
      </c>
      <c r="D386" s="50" t="s">
        <v>2724</v>
      </c>
      <c r="E386" s="63" t="s">
        <v>1299</v>
      </c>
      <c r="F386" s="63" t="s">
        <v>1299</v>
      </c>
      <c r="G386" s="63" t="s">
        <v>1299</v>
      </c>
      <c r="H386" s="49" t="s">
        <v>4169</v>
      </c>
      <c r="I386" s="49" t="s">
        <v>4169</v>
      </c>
    </row>
    <row r="387">
      <c r="A387" s="48">
        <f>ROW()-ROW(Table_Phrases[N])</f>
        <v>385</v>
      </c>
      <c r="B387" s="48" t="s">
        <v>1722</v>
      </c>
      <c r="C387" s="48">
        <v>0.0</v>
      </c>
      <c r="D387" s="50" t="s">
        <v>2726</v>
      </c>
      <c r="E387" s="63" t="s">
        <v>3385</v>
      </c>
      <c r="F387" s="63" t="s">
        <v>1299</v>
      </c>
      <c r="G387" s="63" t="s">
        <v>1299</v>
      </c>
      <c r="H387" s="49" t="s">
        <v>4170</v>
      </c>
      <c r="I387" s="49" t="s">
        <v>4170</v>
      </c>
    </row>
    <row r="388">
      <c r="A388" s="48">
        <f>ROW()-ROW(Table_Phrases[N])</f>
        <v>386</v>
      </c>
      <c r="B388" s="48" t="s">
        <v>1723</v>
      </c>
      <c r="C388" s="48">
        <v>0.0</v>
      </c>
      <c r="D388" s="50" t="s">
        <v>2728</v>
      </c>
      <c r="E388" s="63" t="s">
        <v>3385</v>
      </c>
      <c r="F388" s="63" t="s">
        <v>1299</v>
      </c>
      <c r="G388" s="63" t="s">
        <v>1299</v>
      </c>
      <c r="H388" s="49" t="s">
        <v>4171</v>
      </c>
      <c r="I388" s="49" t="s">
        <v>4171</v>
      </c>
    </row>
    <row r="389">
      <c r="A389" s="48">
        <f>ROW()-ROW(Table_Phrases[N])</f>
        <v>387</v>
      </c>
      <c r="B389" s="48" t="s">
        <v>1733</v>
      </c>
      <c r="C389" s="48">
        <v>0.0</v>
      </c>
      <c r="D389" s="50" t="s">
        <v>2730</v>
      </c>
      <c r="E389" s="63" t="s">
        <v>3385</v>
      </c>
      <c r="F389" s="50" t="s">
        <v>1299</v>
      </c>
      <c r="G389" s="50" t="s">
        <v>1299</v>
      </c>
      <c r="H389" s="49" t="s">
        <v>4172</v>
      </c>
      <c r="I389" s="49" t="s">
        <v>4172</v>
      </c>
    </row>
    <row r="390">
      <c r="A390" s="48">
        <f>ROW()-ROW(Table_Phrases[N])</f>
        <v>388</v>
      </c>
      <c r="B390" s="48" t="s">
        <v>1736</v>
      </c>
      <c r="C390" s="48">
        <v>0.0</v>
      </c>
      <c r="D390" s="50" t="s">
        <v>2733</v>
      </c>
      <c r="E390" s="63" t="s">
        <v>3385</v>
      </c>
      <c r="F390" s="50" t="s">
        <v>1299</v>
      </c>
      <c r="G390" s="50" t="s">
        <v>1299</v>
      </c>
      <c r="H390" s="49" t="s">
        <v>4173</v>
      </c>
      <c r="I390" s="49" t="s">
        <v>4173</v>
      </c>
    </row>
    <row r="391">
      <c r="A391" s="48">
        <f>ROW()-ROW(Table_Phrases[N])</f>
        <v>389</v>
      </c>
      <c r="B391" s="48" t="s">
        <v>1737</v>
      </c>
      <c r="C391" s="48">
        <v>0.0</v>
      </c>
      <c r="D391" s="50" t="s">
        <v>2735</v>
      </c>
      <c r="E391" s="63" t="s">
        <v>3385</v>
      </c>
      <c r="F391" s="50" t="s">
        <v>1299</v>
      </c>
      <c r="G391" s="50" t="s">
        <v>1299</v>
      </c>
      <c r="H391" s="49" t="s">
        <v>4174</v>
      </c>
      <c r="I391" s="49" t="s">
        <v>4174</v>
      </c>
    </row>
    <row r="392">
      <c r="A392" s="48">
        <f>ROW()-ROW(Table_Phrases[N])</f>
        <v>390</v>
      </c>
      <c r="B392" s="48" t="s">
        <v>1739</v>
      </c>
      <c r="C392" s="48">
        <v>0.0</v>
      </c>
      <c r="D392" s="50" t="s">
        <v>2737</v>
      </c>
      <c r="E392" s="63" t="s">
        <v>3385</v>
      </c>
      <c r="F392" s="50" t="s">
        <v>1299</v>
      </c>
      <c r="G392" s="50" t="s">
        <v>1299</v>
      </c>
      <c r="H392" s="49" t="s">
        <v>4175</v>
      </c>
      <c r="I392" s="49" t="s">
        <v>4175</v>
      </c>
    </row>
    <row r="393">
      <c r="A393" s="48">
        <f>ROW()-ROW(Table_Phrases[N])</f>
        <v>391</v>
      </c>
      <c r="B393" s="48" t="s">
        <v>1741</v>
      </c>
      <c r="C393" s="48">
        <v>0.0</v>
      </c>
      <c r="D393" s="50" t="s">
        <v>2739</v>
      </c>
      <c r="E393" s="50" t="s">
        <v>1299</v>
      </c>
      <c r="F393" s="50" t="s">
        <v>1299</v>
      </c>
      <c r="G393" s="50" t="s">
        <v>1299</v>
      </c>
      <c r="H393" s="49" t="s">
        <v>4176</v>
      </c>
      <c r="I393" s="49" t="s">
        <v>4176</v>
      </c>
    </row>
    <row r="394">
      <c r="A394" s="48">
        <f>ROW()-ROW(Table_Phrases[N])</f>
        <v>392</v>
      </c>
      <c r="B394" s="48" t="s">
        <v>4177</v>
      </c>
      <c r="C394" s="48">
        <v>0.0</v>
      </c>
      <c r="D394" s="50" t="s">
        <v>2741</v>
      </c>
      <c r="E394" s="63" t="s">
        <v>3385</v>
      </c>
      <c r="F394" s="50" t="s">
        <v>1299</v>
      </c>
      <c r="G394" s="50" t="s">
        <v>1299</v>
      </c>
      <c r="H394" s="49" t="s">
        <v>4178</v>
      </c>
      <c r="I394" s="49" t="s">
        <v>4178</v>
      </c>
    </row>
    <row r="395">
      <c r="A395" s="48">
        <f>ROW()-ROW(Table_Phrases[N])</f>
        <v>393</v>
      </c>
      <c r="B395" s="48" t="s">
        <v>4179</v>
      </c>
      <c r="C395" s="48">
        <v>0.0</v>
      </c>
      <c r="D395" s="50" t="s">
        <v>2756</v>
      </c>
      <c r="E395" s="63" t="s">
        <v>3385</v>
      </c>
      <c r="F395" s="50" t="s">
        <v>1299</v>
      </c>
      <c r="G395" s="50" t="s">
        <v>1299</v>
      </c>
      <c r="H395" s="49" t="s">
        <v>4180</v>
      </c>
      <c r="I395" s="49" t="s">
        <v>4180</v>
      </c>
    </row>
    <row r="396">
      <c r="A396" s="48">
        <f>ROW()-ROW(Table_Phrases[N])</f>
        <v>394</v>
      </c>
      <c r="B396" s="48" t="s">
        <v>1755</v>
      </c>
      <c r="C396" s="48">
        <v>0.0</v>
      </c>
      <c r="D396" s="50" t="s">
        <v>2744</v>
      </c>
      <c r="E396" s="50" t="s">
        <v>1299</v>
      </c>
      <c r="F396" s="50" t="s">
        <v>1299</v>
      </c>
      <c r="G396" s="50" t="s">
        <v>1299</v>
      </c>
      <c r="H396" s="49" t="s">
        <v>4181</v>
      </c>
      <c r="I396" s="49" t="s">
        <v>4181</v>
      </c>
    </row>
    <row r="397">
      <c r="A397" s="48">
        <f>ROW()-ROW(Table_Phrases[N])</f>
        <v>395</v>
      </c>
      <c r="B397" s="48" t="s">
        <v>3167</v>
      </c>
      <c r="C397" s="48">
        <v>0.0</v>
      </c>
      <c r="D397" s="50" t="s">
        <v>2746</v>
      </c>
      <c r="E397" s="63" t="s">
        <v>3385</v>
      </c>
      <c r="F397" s="50" t="s">
        <v>1299</v>
      </c>
      <c r="G397" s="50" t="s">
        <v>1299</v>
      </c>
      <c r="H397" s="49" t="s">
        <v>4182</v>
      </c>
      <c r="I397" s="49" t="s">
        <v>4182</v>
      </c>
    </row>
    <row r="398">
      <c r="A398" s="48">
        <f>ROW()-ROW(Table_Phrases[N])</f>
        <v>396</v>
      </c>
      <c r="B398" s="48" t="s">
        <v>1767</v>
      </c>
      <c r="C398" s="48">
        <v>0.0</v>
      </c>
      <c r="D398" s="50" t="s">
        <v>2748</v>
      </c>
      <c r="E398" s="63" t="s">
        <v>3385</v>
      </c>
      <c r="F398" s="50" t="s">
        <v>1299</v>
      </c>
      <c r="G398" s="50" t="s">
        <v>1299</v>
      </c>
      <c r="H398" s="49" t="s">
        <v>4183</v>
      </c>
      <c r="I398" s="49" t="s">
        <v>4183</v>
      </c>
    </row>
    <row r="399">
      <c r="A399" s="48">
        <f>ROW()-ROW(Table_Phrases[N])</f>
        <v>397</v>
      </c>
      <c r="B399" s="48" t="s">
        <v>1768</v>
      </c>
      <c r="C399" s="48">
        <v>0.0</v>
      </c>
      <c r="D399" s="50" t="s">
        <v>2750</v>
      </c>
      <c r="E399" s="63" t="s">
        <v>3385</v>
      </c>
      <c r="F399" s="50" t="s">
        <v>1299</v>
      </c>
      <c r="G399" s="50" t="s">
        <v>1299</v>
      </c>
      <c r="H399" s="49" t="s">
        <v>4184</v>
      </c>
      <c r="I399" s="49" t="s">
        <v>4184</v>
      </c>
    </row>
    <row r="400">
      <c r="A400" s="48">
        <f>ROW()-ROW(Table_Phrases[N])</f>
        <v>398</v>
      </c>
      <c r="B400" s="48" t="s">
        <v>1769</v>
      </c>
      <c r="C400" s="48">
        <v>0.0</v>
      </c>
      <c r="D400" s="50" t="s">
        <v>2752</v>
      </c>
      <c r="E400" s="63" t="s">
        <v>3385</v>
      </c>
      <c r="F400" s="50" t="s">
        <v>1299</v>
      </c>
      <c r="G400" s="50" t="s">
        <v>1299</v>
      </c>
      <c r="H400" s="49" t="s">
        <v>4185</v>
      </c>
      <c r="I400" s="49" t="s">
        <v>4185</v>
      </c>
    </row>
    <row r="401">
      <c r="A401" s="48">
        <f>ROW()-ROW(Table_Phrases[N])</f>
        <v>399</v>
      </c>
      <c r="B401" s="48" t="s">
        <v>1777</v>
      </c>
      <c r="C401" s="48">
        <v>0.0</v>
      </c>
      <c r="D401" s="50" t="s">
        <v>2754</v>
      </c>
      <c r="E401" s="63" t="s">
        <v>3385</v>
      </c>
      <c r="F401" s="50" t="s">
        <v>1299</v>
      </c>
      <c r="G401" s="50" t="s">
        <v>1299</v>
      </c>
      <c r="H401" s="49" t="s">
        <v>4186</v>
      </c>
      <c r="I401" s="49" t="s">
        <v>4186</v>
      </c>
    </row>
    <row r="402">
      <c r="A402" s="48">
        <f>ROW()-ROW(Table_Phrases[N])</f>
        <v>400</v>
      </c>
      <c r="B402" s="48" t="s">
        <v>4187</v>
      </c>
      <c r="C402" s="48">
        <v>0.0</v>
      </c>
      <c r="D402" s="50" t="s">
        <v>2758</v>
      </c>
      <c r="E402" s="63" t="s">
        <v>3404</v>
      </c>
      <c r="F402" s="50" t="s">
        <v>1925</v>
      </c>
      <c r="G402" s="50" t="s">
        <v>1299</v>
      </c>
      <c r="H402" s="49" t="s">
        <v>4188</v>
      </c>
      <c r="I402" s="49" t="s">
        <v>4188</v>
      </c>
    </row>
    <row r="403">
      <c r="A403" s="48">
        <f>ROW()-ROW(Table_Phrases[N])</f>
        <v>401</v>
      </c>
      <c r="B403" s="48" t="s">
        <v>4189</v>
      </c>
      <c r="C403" s="48">
        <v>0.0</v>
      </c>
      <c r="D403" s="50" t="s">
        <v>2760</v>
      </c>
      <c r="E403" s="63" t="s">
        <v>3408</v>
      </c>
      <c r="F403" s="50" t="s">
        <v>3404</v>
      </c>
      <c r="G403" s="50" t="s">
        <v>1299</v>
      </c>
      <c r="H403" s="49" t="s">
        <v>4190</v>
      </c>
      <c r="I403" s="49" t="s">
        <v>4190</v>
      </c>
    </row>
    <row r="404">
      <c r="A404" s="48">
        <f>ROW()-ROW(Table_Phrases[N])</f>
        <v>402</v>
      </c>
      <c r="B404" s="48" t="s">
        <v>4191</v>
      </c>
      <c r="C404" s="48">
        <v>0.0</v>
      </c>
      <c r="D404" s="50" t="s">
        <v>2762</v>
      </c>
      <c r="E404" s="63" t="s">
        <v>3408</v>
      </c>
      <c r="F404" s="50" t="s">
        <v>3404</v>
      </c>
      <c r="G404" s="50" t="s">
        <v>1299</v>
      </c>
      <c r="H404" s="49" t="s">
        <v>4192</v>
      </c>
      <c r="I404" s="49" t="s">
        <v>4192</v>
      </c>
    </row>
    <row r="405">
      <c r="A405" s="48">
        <f>ROW()-ROW(Table_Phrases[N])</f>
        <v>403</v>
      </c>
      <c r="B405" s="48" t="s">
        <v>4193</v>
      </c>
      <c r="C405" s="48">
        <v>0.0</v>
      </c>
      <c r="D405" s="50" t="s">
        <v>2764</v>
      </c>
      <c r="E405" s="63" t="s">
        <v>3408</v>
      </c>
      <c r="F405" s="50" t="s">
        <v>3404</v>
      </c>
      <c r="G405" s="50" t="s">
        <v>1299</v>
      </c>
      <c r="H405" s="49" t="s">
        <v>4194</v>
      </c>
      <c r="I405" s="49" t="s">
        <v>4194</v>
      </c>
    </row>
    <row r="406">
      <c r="A406" s="48">
        <f>ROW()-ROW(Table_Phrases[N])</f>
        <v>404</v>
      </c>
      <c r="B406" s="48" t="s">
        <v>4195</v>
      </c>
      <c r="C406" s="48">
        <v>0.0</v>
      </c>
      <c r="D406" s="50" t="s">
        <v>1301</v>
      </c>
      <c r="E406" s="63" t="s">
        <v>1299</v>
      </c>
      <c r="F406" s="50" t="s">
        <v>1299</v>
      </c>
      <c r="G406" s="50" t="s">
        <v>1299</v>
      </c>
      <c r="H406" s="49" t="s">
        <v>4196</v>
      </c>
      <c r="I406" s="49" t="s">
        <v>4196</v>
      </c>
    </row>
    <row r="407">
      <c r="A407" s="48">
        <f>ROW()-ROW(Table_Phrases[N])</f>
        <v>405</v>
      </c>
      <c r="B407" s="48" t="s">
        <v>4197</v>
      </c>
      <c r="C407" s="48">
        <v>0.0</v>
      </c>
      <c r="D407" s="50" t="s">
        <v>1301</v>
      </c>
      <c r="E407" s="63" t="s">
        <v>1299</v>
      </c>
      <c r="F407" s="50" t="s">
        <v>1299</v>
      </c>
      <c r="G407" s="50" t="s">
        <v>1299</v>
      </c>
      <c r="H407" s="49" t="s">
        <v>4198</v>
      </c>
      <c r="I407" s="49" t="s">
        <v>4198</v>
      </c>
    </row>
    <row r="408">
      <c r="A408" s="48">
        <f>ROW()-ROW(Table_Phrases[N])</f>
        <v>406</v>
      </c>
      <c r="B408" s="48" t="s">
        <v>4199</v>
      </c>
      <c r="C408" s="48">
        <v>0.0</v>
      </c>
      <c r="D408" s="50" t="s">
        <v>1301</v>
      </c>
      <c r="E408" s="63" t="s">
        <v>1299</v>
      </c>
      <c r="F408" s="50" t="s">
        <v>1299</v>
      </c>
      <c r="G408" s="50" t="s">
        <v>1299</v>
      </c>
      <c r="H408" s="49" t="s">
        <v>4200</v>
      </c>
      <c r="I408" s="49" t="s">
        <v>4200</v>
      </c>
    </row>
    <row r="409">
      <c r="A409" s="48">
        <f>ROW()-ROW(Table_Phrases[N])</f>
        <v>407</v>
      </c>
      <c r="B409" s="48" t="s">
        <v>4201</v>
      </c>
      <c r="C409" s="48">
        <v>0.0</v>
      </c>
      <c r="D409" s="50" t="s">
        <v>1301</v>
      </c>
      <c r="E409" s="63" t="s">
        <v>1299</v>
      </c>
      <c r="F409" s="50" t="s">
        <v>1299</v>
      </c>
      <c r="G409" s="50" t="s">
        <v>1299</v>
      </c>
      <c r="H409" s="49" t="s">
        <v>4202</v>
      </c>
      <c r="I409" s="49" t="s">
        <v>4202</v>
      </c>
    </row>
    <row r="410">
      <c r="A410" s="48">
        <f>ROW()-ROW(Table_Phrases[N])</f>
        <v>408</v>
      </c>
      <c r="B410" s="48" t="s">
        <v>4203</v>
      </c>
      <c r="C410" s="48">
        <v>0.0</v>
      </c>
      <c r="D410" s="50" t="s">
        <v>1301</v>
      </c>
      <c r="E410" s="63" t="s">
        <v>1299</v>
      </c>
      <c r="F410" s="50" t="s">
        <v>1299</v>
      </c>
      <c r="G410" s="50" t="s">
        <v>1299</v>
      </c>
      <c r="H410" s="49" t="s">
        <v>4204</v>
      </c>
      <c r="I410" s="49" t="s">
        <v>4204</v>
      </c>
    </row>
    <row r="411">
      <c r="A411" s="48">
        <f>ROW()-ROW(Table_Phrases[N])</f>
        <v>409</v>
      </c>
      <c r="B411" s="48" t="s">
        <v>4205</v>
      </c>
      <c r="C411" s="48">
        <v>0.0</v>
      </c>
      <c r="D411" s="50" t="s">
        <v>1301</v>
      </c>
      <c r="E411" s="63" t="s">
        <v>1299</v>
      </c>
      <c r="F411" s="50" t="s">
        <v>1299</v>
      </c>
      <c r="G411" s="50" t="s">
        <v>1299</v>
      </c>
      <c r="H411" s="49" t="s">
        <v>4206</v>
      </c>
      <c r="I411" s="49" t="s">
        <v>4206</v>
      </c>
    </row>
    <row r="412">
      <c r="A412" s="48">
        <f>ROW()-ROW(Table_Phrases[N])</f>
        <v>410</v>
      </c>
      <c r="B412" s="48" t="s">
        <v>4207</v>
      </c>
      <c r="C412" s="48">
        <v>0.0</v>
      </c>
      <c r="D412" s="50" t="s">
        <v>1301</v>
      </c>
      <c r="E412" s="63" t="s">
        <v>1299</v>
      </c>
      <c r="F412" s="50" t="s">
        <v>1299</v>
      </c>
      <c r="G412" s="50" t="s">
        <v>1299</v>
      </c>
      <c r="H412" s="49" t="s">
        <v>4208</v>
      </c>
      <c r="I412" s="49" t="s">
        <v>4208</v>
      </c>
    </row>
    <row r="413">
      <c r="A413" s="48">
        <f>ROW()-ROW(Table_Phrases[N])</f>
        <v>411</v>
      </c>
      <c r="B413" s="48" t="s">
        <v>1792</v>
      </c>
      <c r="C413" s="48">
        <v>0.0</v>
      </c>
      <c r="D413" s="50" t="s">
        <v>2766</v>
      </c>
      <c r="E413" s="63" t="s">
        <v>1299</v>
      </c>
      <c r="F413" s="63" t="s">
        <v>1299</v>
      </c>
      <c r="G413" s="63" t="s">
        <v>1299</v>
      </c>
      <c r="H413" s="49" t="s">
        <v>4209</v>
      </c>
      <c r="I413" s="49" t="s">
        <v>4209</v>
      </c>
    </row>
    <row r="414">
      <c r="A414" s="48">
        <f>ROW()-ROW(Table_Phrases[N])</f>
        <v>412</v>
      </c>
      <c r="B414" s="48" t="s">
        <v>4210</v>
      </c>
      <c r="C414" s="48">
        <v>0.0</v>
      </c>
      <c r="D414" s="50" t="s">
        <v>1301</v>
      </c>
      <c r="E414" s="63" t="s">
        <v>1299</v>
      </c>
      <c r="F414" s="63" t="s">
        <v>1299</v>
      </c>
      <c r="G414" s="63" t="s">
        <v>1299</v>
      </c>
      <c r="H414" s="49" t="s">
        <v>4211</v>
      </c>
      <c r="I414" s="49" t="s">
        <v>4211</v>
      </c>
    </row>
    <row r="415">
      <c r="A415" s="48">
        <v>411.0</v>
      </c>
      <c r="B415" s="48" t="s">
        <v>1798</v>
      </c>
      <c r="C415" s="48">
        <v>0.0</v>
      </c>
      <c r="D415" s="50" t="s">
        <v>2768</v>
      </c>
      <c r="E415" s="63" t="s">
        <v>3385</v>
      </c>
      <c r="F415" s="63" t="s">
        <v>1299</v>
      </c>
      <c r="G415" s="63" t="s">
        <v>1299</v>
      </c>
      <c r="H415" s="49" t="s">
        <v>4212</v>
      </c>
      <c r="I415" s="49" t="s">
        <v>4212</v>
      </c>
    </row>
    <row r="416">
      <c r="A416" s="48">
        <v>412.0</v>
      </c>
      <c r="B416" s="48" t="s">
        <v>1800</v>
      </c>
      <c r="C416" s="48">
        <v>0.0</v>
      </c>
      <c r="D416" s="50" t="s">
        <v>2770</v>
      </c>
      <c r="E416" s="63" t="s">
        <v>3385</v>
      </c>
      <c r="F416" s="63" t="s">
        <v>1299</v>
      </c>
      <c r="G416" s="63" t="s">
        <v>1299</v>
      </c>
      <c r="H416" s="49" t="s">
        <v>4213</v>
      </c>
      <c r="I416" s="49" t="s">
        <v>4213</v>
      </c>
    </row>
    <row r="417">
      <c r="A417" s="48">
        <v>412.0</v>
      </c>
      <c r="B417" s="48" t="s">
        <v>4214</v>
      </c>
      <c r="C417" s="48">
        <v>0.0</v>
      </c>
      <c r="D417" s="50" t="s">
        <v>2780</v>
      </c>
      <c r="E417" s="63" t="s">
        <v>1299</v>
      </c>
      <c r="F417" s="50" t="s">
        <v>1299</v>
      </c>
      <c r="G417" s="50" t="s">
        <v>1299</v>
      </c>
      <c r="H417" s="49" t="s">
        <v>4215</v>
      </c>
      <c r="I417" s="49" t="s">
        <v>4215</v>
      </c>
    </row>
    <row r="418">
      <c r="A418" s="48">
        <v>413.0</v>
      </c>
      <c r="B418" s="48" t="s">
        <v>4216</v>
      </c>
      <c r="C418" s="48">
        <v>0.0</v>
      </c>
      <c r="D418" s="50" t="s">
        <v>2778</v>
      </c>
      <c r="E418" s="63" t="s">
        <v>1299</v>
      </c>
      <c r="F418" s="50" t="s">
        <v>1299</v>
      </c>
      <c r="G418" s="50" t="s">
        <v>1299</v>
      </c>
      <c r="H418" s="49" t="s">
        <v>4217</v>
      </c>
      <c r="I418" s="49" t="s">
        <v>4217</v>
      </c>
    </row>
    <row r="419">
      <c r="A419" s="48">
        <v>414.0</v>
      </c>
      <c r="B419" s="48" t="s">
        <v>4218</v>
      </c>
      <c r="C419" s="48">
        <v>0.0</v>
      </c>
      <c r="D419" s="50" t="s">
        <v>2776</v>
      </c>
      <c r="E419" s="63" t="s">
        <v>1299</v>
      </c>
      <c r="F419" s="50" t="s">
        <v>1299</v>
      </c>
      <c r="G419" s="50" t="s">
        <v>1299</v>
      </c>
      <c r="H419" s="49" t="s">
        <v>4219</v>
      </c>
      <c r="I419" s="49" t="s">
        <v>4219</v>
      </c>
    </row>
    <row r="420">
      <c r="A420" s="48">
        <v>415.0</v>
      </c>
      <c r="B420" s="48" t="s">
        <v>4220</v>
      </c>
      <c r="C420" s="48">
        <v>0.0</v>
      </c>
      <c r="D420" s="50" t="s">
        <v>2774</v>
      </c>
      <c r="E420" s="63" t="s">
        <v>1299</v>
      </c>
      <c r="F420" s="50" t="s">
        <v>1299</v>
      </c>
      <c r="G420" s="50" t="s">
        <v>1299</v>
      </c>
      <c r="H420" s="49" t="s">
        <v>4221</v>
      </c>
      <c r="I420" s="49" t="s">
        <v>4221</v>
      </c>
    </row>
    <row r="421">
      <c r="A421" s="48">
        <v>416.0</v>
      </c>
      <c r="B421" s="48" t="s">
        <v>4222</v>
      </c>
      <c r="C421" s="48">
        <v>0.0</v>
      </c>
      <c r="D421" s="50" t="s">
        <v>2772</v>
      </c>
      <c r="E421" s="63" t="s">
        <v>1299</v>
      </c>
      <c r="F421" s="50" t="s">
        <v>1299</v>
      </c>
      <c r="G421" s="50" t="s">
        <v>1299</v>
      </c>
      <c r="H421" s="49" t="s">
        <v>4223</v>
      </c>
      <c r="I421" s="49" t="s">
        <v>4223</v>
      </c>
    </row>
    <row r="422">
      <c r="A422" s="48">
        <v>417.0</v>
      </c>
      <c r="B422" s="48" t="s">
        <v>1806</v>
      </c>
      <c r="C422" s="48">
        <v>0.0</v>
      </c>
      <c r="D422" s="50" t="s">
        <v>2784</v>
      </c>
      <c r="E422" s="63" t="s">
        <v>3385</v>
      </c>
      <c r="F422" s="50" t="s">
        <v>1299</v>
      </c>
      <c r="G422" s="50" t="s">
        <v>1299</v>
      </c>
      <c r="H422" s="49" t="s">
        <v>4224</v>
      </c>
      <c r="I422" s="49" t="s">
        <v>4224</v>
      </c>
    </row>
    <row r="423">
      <c r="A423" s="48">
        <v>418.0</v>
      </c>
      <c r="B423" s="48" t="s">
        <v>1809</v>
      </c>
      <c r="C423" s="48">
        <v>0.0</v>
      </c>
      <c r="D423" s="50" t="s">
        <v>2782</v>
      </c>
      <c r="E423" s="63" t="s">
        <v>3385</v>
      </c>
      <c r="F423" s="50" t="s">
        <v>1299</v>
      </c>
      <c r="G423" s="50" t="s">
        <v>1299</v>
      </c>
      <c r="H423" s="49" t="s">
        <v>4225</v>
      </c>
      <c r="I423" s="49" t="s">
        <v>4225</v>
      </c>
    </row>
    <row r="424">
      <c r="A424" s="48">
        <v>419.0</v>
      </c>
      <c r="B424" s="48" t="s">
        <v>1817</v>
      </c>
      <c r="C424" s="48">
        <v>0.0</v>
      </c>
      <c r="D424" s="50" t="s">
        <v>2786</v>
      </c>
      <c r="E424" s="63" t="s">
        <v>3385</v>
      </c>
      <c r="F424" s="50" t="s">
        <v>1299</v>
      </c>
      <c r="G424" s="50" t="s">
        <v>1299</v>
      </c>
      <c r="H424" s="49" t="s">
        <v>4226</v>
      </c>
      <c r="I424" s="49" t="s">
        <v>4226</v>
      </c>
    </row>
    <row r="425">
      <c r="A425" s="48">
        <v>419.0</v>
      </c>
      <c r="B425" s="48" t="s">
        <v>1820</v>
      </c>
      <c r="C425" s="48">
        <v>0.0</v>
      </c>
      <c r="D425" s="50" t="s">
        <v>2788</v>
      </c>
      <c r="E425" s="63" t="s">
        <v>3404</v>
      </c>
      <c r="F425" s="50" t="s">
        <v>1380</v>
      </c>
      <c r="G425" s="50" t="s">
        <v>1380</v>
      </c>
      <c r="H425" s="49" t="s">
        <v>4227</v>
      </c>
      <c r="I425" s="49" t="s">
        <v>4227</v>
      </c>
    </row>
    <row r="426">
      <c r="A426" s="48">
        <v>421.0</v>
      </c>
      <c r="B426" s="48" t="s">
        <v>1821</v>
      </c>
      <c r="C426" s="48">
        <v>0.0</v>
      </c>
      <c r="D426" s="50" t="s">
        <v>2790</v>
      </c>
      <c r="E426" s="63" t="s">
        <v>3404</v>
      </c>
      <c r="F426" s="50" t="s">
        <v>1380</v>
      </c>
      <c r="G426" s="50" t="s">
        <v>1380</v>
      </c>
      <c r="H426" s="49" t="s">
        <v>4228</v>
      </c>
      <c r="I426" s="49" t="s">
        <v>4228</v>
      </c>
    </row>
    <row r="427">
      <c r="A427" s="48">
        <v>422.0</v>
      </c>
      <c r="B427" s="48" t="s">
        <v>1822</v>
      </c>
      <c r="C427" s="48">
        <v>0.0</v>
      </c>
      <c r="D427" s="50" t="s">
        <v>2792</v>
      </c>
      <c r="E427" s="63" t="s">
        <v>3404</v>
      </c>
      <c r="F427" s="50" t="s">
        <v>1380</v>
      </c>
      <c r="G427" s="50" t="s">
        <v>1380</v>
      </c>
      <c r="H427" s="49" t="s">
        <v>4229</v>
      </c>
      <c r="I427" s="49" t="s">
        <v>4229</v>
      </c>
    </row>
    <row r="428">
      <c r="A428" s="48">
        <v>423.0</v>
      </c>
      <c r="B428" s="48" t="s">
        <v>1823</v>
      </c>
      <c r="C428" s="48">
        <v>0.0</v>
      </c>
      <c r="D428" s="50" t="s">
        <v>2794</v>
      </c>
      <c r="E428" s="63" t="s">
        <v>3404</v>
      </c>
      <c r="F428" s="50" t="s">
        <v>1380</v>
      </c>
      <c r="G428" s="50" t="s">
        <v>1380</v>
      </c>
      <c r="H428" s="49" t="s">
        <v>4230</v>
      </c>
      <c r="I428" s="49" t="s">
        <v>4230</v>
      </c>
    </row>
    <row r="429">
      <c r="A429" s="48">
        <v>423.0</v>
      </c>
      <c r="B429" s="48" t="s">
        <v>1824</v>
      </c>
      <c r="C429" s="48">
        <v>0.0</v>
      </c>
      <c r="D429" s="50" t="s">
        <v>2796</v>
      </c>
      <c r="E429" s="63" t="s">
        <v>1299</v>
      </c>
      <c r="F429" s="63" t="s">
        <v>1299</v>
      </c>
      <c r="G429" s="63" t="s">
        <v>1299</v>
      </c>
      <c r="H429" s="49" t="s">
        <v>4231</v>
      </c>
      <c r="I429" s="49" t="s">
        <v>4231</v>
      </c>
    </row>
    <row r="430">
      <c r="A430" s="48">
        <v>423.0</v>
      </c>
      <c r="B430" s="48" t="s">
        <v>1829</v>
      </c>
      <c r="C430" s="48">
        <v>0.0</v>
      </c>
      <c r="D430" s="50" t="s">
        <v>2798</v>
      </c>
      <c r="E430" s="63" t="s">
        <v>1299</v>
      </c>
      <c r="F430" s="63" t="s">
        <v>1299</v>
      </c>
      <c r="G430" s="63" t="s">
        <v>1299</v>
      </c>
      <c r="H430" s="49" t="s">
        <v>4232</v>
      </c>
      <c r="I430" s="49" t="s">
        <v>4232</v>
      </c>
    </row>
    <row r="431">
      <c r="A431" s="48">
        <f>ROW()-ROW(Table_Phrases[N])</f>
        <v>429</v>
      </c>
      <c r="B431" s="48" t="s">
        <v>1868</v>
      </c>
      <c r="C431" s="48">
        <v>0.0</v>
      </c>
      <c r="D431" s="50" t="s">
        <v>2804</v>
      </c>
      <c r="E431" s="63" t="s">
        <v>1299</v>
      </c>
      <c r="F431" s="63" t="s">
        <v>1299</v>
      </c>
      <c r="G431" s="63" t="s">
        <v>1299</v>
      </c>
      <c r="H431" s="49" t="s">
        <v>4233</v>
      </c>
      <c r="I431" s="49" t="s">
        <v>4233</v>
      </c>
    </row>
    <row r="432">
      <c r="A432" s="48">
        <f>ROW()-ROW(Table_Phrases[N])</f>
        <v>430</v>
      </c>
      <c r="B432" s="48" t="s">
        <v>4234</v>
      </c>
      <c r="C432" s="48">
        <v>0.0</v>
      </c>
      <c r="D432" s="50" t="s">
        <v>1301</v>
      </c>
      <c r="E432" s="63" t="s">
        <v>1299</v>
      </c>
      <c r="F432" s="63" t="s">
        <v>1299</v>
      </c>
      <c r="G432" s="63" t="s">
        <v>1299</v>
      </c>
      <c r="H432" s="49" t="s">
        <v>4235</v>
      </c>
      <c r="I432" s="49" t="s">
        <v>4235</v>
      </c>
    </row>
    <row r="433">
      <c r="A433" s="48">
        <f>ROW()-ROW(Table_Phrases[N])</f>
        <v>431</v>
      </c>
      <c r="B433" s="48" t="s">
        <v>4236</v>
      </c>
      <c r="C433" s="48">
        <v>0.0</v>
      </c>
      <c r="D433" s="50" t="s">
        <v>1301</v>
      </c>
      <c r="E433" s="63" t="s">
        <v>1299</v>
      </c>
      <c r="F433" s="50" t="s">
        <v>1299</v>
      </c>
      <c r="G433" s="50" t="s">
        <v>1299</v>
      </c>
      <c r="H433" s="49" t="s">
        <v>4237</v>
      </c>
      <c r="I433" s="49" t="s">
        <v>4237</v>
      </c>
    </row>
    <row r="434">
      <c r="A434" s="48">
        <f>ROW()-ROW(Table_Phrases[N])</f>
        <v>432</v>
      </c>
      <c r="B434" s="48" t="s">
        <v>4238</v>
      </c>
      <c r="C434" s="48">
        <v>0.0</v>
      </c>
      <c r="D434" s="50" t="s">
        <v>1301</v>
      </c>
      <c r="E434" s="63" t="s">
        <v>1299</v>
      </c>
      <c r="F434" s="50" t="s">
        <v>1299</v>
      </c>
      <c r="G434" s="50" t="s">
        <v>1299</v>
      </c>
      <c r="H434" s="49" t="s">
        <v>4239</v>
      </c>
      <c r="I434" s="49" t="s">
        <v>4239</v>
      </c>
    </row>
    <row r="435">
      <c r="A435" s="48">
        <v>430.0</v>
      </c>
      <c r="B435" s="48" t="s">
        <v>1874</v>
      </c>
      <c r="C435" s="48">
        <v>0.0</v>
      </c>
      <c r="D435" s="50" t="s">
        <v>2806</v>
      </c>
      <c r="E435" s="63" t="s">
        <v>3385</v>
      </c>
      <c r="F435" s="50" t="s">
        <v>1299</v>
      </c>
      <c r="G435" s="50" t="s">
        <v>1299</v>
      </c>
      <c r="H435" s="49" t="s">
        <v>4240</v>
      </c>
      <c r="I435" s="49" t="s">
        <v>4240</v>
      </c>
    </row>
    <row r="436">
      <c r="A436" s="48">
        <v>431.0</v>
      </c>
      <c r="B436" s="48" t="s">
        <v>1876</v>
      </c>
      <c r="C436" s="48">
        <v>0.0</v>
      </c>
      <c r="D436" s="50" t="s">
        <v>2808</v>
      </c>
      <c r="E436" s="63" t="s">
        <v>1299</v>
      </c>
      <c r="F436" s="63" t="s">
        <v>1299</v>
      </c>
      <c r="G436" s="63" t="s">
        <v>1299</v>
      </c>
      <c r="H436" s="49" t="s">
        <v>4241</v>
      </c>
      <c r="I436" s="49" t="s">
        <v>4241</v>
      </c>
    </row>
    <row r="437">
      <c r="A437" s="48">
        <v>432.0</v>
      </c>
      <c r="B437" s="48" t="s">
        <v>1879</v>
      </c>
      <c r="C437" s="48">
        <v>0.0</v>
      </c>
      <c r="D437" s="50" t="s">
        <v>2810</v>
      </c>
      <c r="E437" s="63" t="s">
        <v>3385</v>
      </c>
      <c r="F437" s="63" t="s">
        <v>1299</v>
      </c>
      <c r="G437" s="63" t="s">
        <v>1299</v>
      </c>
      <c r="H437" s="49" t="s">
        <v>4242</v>
      </c>
      <c r="I437" s="49" t="s">
        <v>4242</v>
      </c>
    </row>
    <row r="438">
      <c r="A438" s="48">
        <v>433.0</v>
      </c>
      <c r="B438" s="48" t="s">
        <v>1889</v>
      </c>
      <c r="C438" s="48">
        <v>0.0</v>
      </c>
      <c r="D438" s="50" t="s">
        <v>2814</v>
      </c>
      <c r="E438" s="63" t="s">
        <v>3385</v>
      </c>
      <c r="F438" s="50" t="s">
        <v>1299</v>
      </c>
      <c r="G438" s="50" t="s">
        <v>1299</v>
      </c>
      <c r="H438" s="49" t="s">
        <v>4243</v>
      </c>
      <c r="I438" s="49" t="s">
        <v>4243</v>
      </c>
    </row>
    <row r="439">
      <c r="A439" s="48">
        <v>434.0</v>
      </c>
      <c r="B439" s="48" t="s">
        <v>1890</v>
      </c>
      <c r="C439" s="48">
        <v>0.0</v>
      </c>
      <c r="D439" s="50" t="s">
        <v>2812</v>
      </c>
      <c r="E439" s="63" t="s">
        <v>3385</v>
      </c>
      <c r="F439" s="50" t="s">
        <v>1299</v>
      </c>
      <c r="G439" s="50" t="s">
        <v>1299</v>
      </c>
      <c r="H439" s="49" t="s">
        <v>4244</v>
      </c>
      <c r="I439" s="49" t="s">
        <v>4244</v>
      </c>
    </row>
    <row r="440">
      <c r="A440" s="48">
        <v>435.0</v>
      </c>
      <c r="B440" s="48" t="s">
        <v>1909</v>
      </c>
      <c r="C440" s="48">
        <v>0.0</v>
      </c>
      <c r="D440" s="50" t="s">
        <v>2816</v>
      </c>
      <c r="E440" s="63" t="s">
        <v>3385</v>
      </c>
      <c r="F440" s="50" t="s">
        <v>1299</v>
      </c>
      <c r="G440" s="50" t="s">
        <v>1299</v>
      </c>
      <c r="H440" s="49" t="s">
        <v>4245</v>
      </c>
      <c r="I440" s="49" t="s">
        <v>4245</v>
      </c>
    </row>
    <row r="441">
      <c r="A441" s="48">
        <v>436.0</v>
      </c>
      <c r="B441" s="48" t="s">
        <v>1910</v>
      </c>
      <c r="C441" s="48">
        <v>0.0</v>
      </c>
      <c r="D441" s="50" t="s">
        <v>2818</v>
      </c>
      <c r="E441" s="63" t="s">
        <v>3385</v>
      </c>
      <c r="F441" s="50" t="s">
        <v>1299</v>
      </c>
      <c r="G441" s="50" t="s">
        <v>1299</v>
      </c>
      <c r="H441" s="49" t="s">
        <v>4246</v>
      </c>
      <c r="I441" s="49" t="s">
        <v>4246</v>
      </c>
    </row>
    <row r="442">
      <c r="A442" s="48">
        <v>437.0</v>
      </c>
      <c r="B442" s="48" t="s">
        <v>1912</v>
      </c>
      <c r="C442" s="48">
        <v>0.0</v>
      </c>
      <c r="D442" s="50" t="s">
        <v>2820</v>
      </c>
      <c r="E442" s="63" t="s">
        <v>3385</v>
      </c>
      <c r="F442" s="50" t="s">
        <v>1299</v>
      </c>
      <c r="G442" s="50" t="s">
        <v>1299</v>
      </c>
      <c r="H442" s="49" t="s">
        <v>4247</v>
      </c>
      <c r="I442" s="49" t="s">
        <v>4247</v>
      </c>
    </row>
    <row r="443">
      <c r="A443" s="48">
        <v>438.0</v>
      </c>
      <c r="B443" s="48" t="s">
        <v>1927</v>
      </c>
      <c r="C443" s="48">
        <v>0.0</v>
      </c>
      <c r="D443" s="50" t="s">
        <v>2825</v>
      </c>
      <c r="E443" s="63" t="s">
        <v>3385</v>
      </c>
      <c r="F443" s="50" t="s">
        <v>1299</v>
      </c>
      <c r="G443" s="50" t="s">
        <v>1299</v>
      </c>
      <c r="H443" s="49" t="s">
        <v>4248</v>
      </c>
      <c r="I443" s="49" t="s">
        <v>4248</v>
      </c>
    </row>
    <row r="444">
      <c r="A444" s="48">
        <v>439.0</v>
      </c>
      <c r="B444" s="48" t="s">
        <v>1930</v>
      </c>
      <c r="C444" s="48">
        <v>0.0</v>
      </c>
      <c r="D444" s="50" t="s">
        <v>2829</v>
      </c>
      <c r="E444" s="63" t="s">
        <v>3385</v>
      </c>
      <c r="F444" s="50" t="s">
        <v>1299</v>
      </c>
      <c r="G444" s="50" t="s">
        <v>1299</v>
      </c>
      <c r="H444" s="49" t="s">
        <v>4249</v>
      </c>
      <c r="I444" s="49" t="s">
        <v>4249</v>
      </c>
    </row>
    <row r="445">
      <c r="A445" s="48">
        <v>440.0</v>
      </c>
      <c r="B445" s="48" t="s">
        <v>1931</v>
      </c>
      <c r="C445" s="48">
        <v>0.0</v>
      </c>
      <c r="D445" s="50" t="s">
        <v>2831</v>
      </c>
      <c r="E445" s="63" t="s">
        <v>3385</v>
      </c>
      <c r="F445" s="50" t="s">
        <v>1299</v>
      </c>
      <c r="G445" s="50" t="s">
        <v>1299</v>
      </c>
      <c r="H445" s="49" t="s">
        <v>4250</v>
      </c>
      <c r="I445" s="49" t="s">
        <v>4250</v>
      </c>
    </row>
    <row r="446">
      <c r="A446" s="48">
        <v>438.0</v>
      </c>
      <c r="B446" s="48" t="s">
        <v>1942</v>
      </c>
      <c r="C446" s="48">
        <v>0.0</v>
      </c>
      <c r="D446" s="50" t="s">
        <v>2837</v>
      </c>
      <c r="E446" s="63" t="s">
        <v>3385</v>
      </c>
      <c r="F446" s="50" t="s">
        <v>1299</v>
      </c>
      <c r="G446" s="50" t="s">
        <v>1299</v>
      </c>
      <c r="H446" s="49" t="s">
        <v>4251</v>
      </c>
      <c r="I446" s="49" t="s">
        <v>4251</v>
      </c>
    </row>
    <row r="447">
      <c r="A447" s="48">
        <f>ROW()-ROW(Table_Phrases[N])</f>
        <v>445</v>
      </c>
      <c r="B447" s="48" t="s">
        <v>4252</v>
      </c>
      <c r="C447" s="48">
        <v>0.0</v>
      </c>
      <c r="D447" s="50" t="s">
        <v>1301</v>
      </c>
      <c r="E447" s="63" t="s">
        <v>1299</v>
      </c>
      <c r="F447" s="63" t="s">
        <v>1299</v>
      </c>
      <c r="G447" s="63" t="s">
        <v>1299</v>
      </c>
      <c r="H447" s="49" t="s">
        <v>4253</v>
      </c>
      <c r="I447" s="49" t="s">
        <v>4253</v>
      </c>
    </row>
    <row r="448">
      <c r="A448" s="48">
        <v>446.0</v>
      </c>
      <c r="B448" s="48" t="s">
        <v>3172</v>
      </c>
      <c r="C448" s="48">
        <v>1.0</v>
      </c>
      <c r="D448" s="50" t="s">
        <v>2893</v>
      </c>
      <c r="E448" s="63" t="s">
        <v>3408</v>
      </c>
      <c r="F448" s="50" t="s">
        <v>3404</v>
      </c>
      <c r="G448" s="63" t="s">
        <v>1299</v>
      </c>
      <c r="H448" s="49" t="s">
        <v>4254</v>
      </c>
      <c r="I448" s="49" t="s">
        <v>4254</v>
      </c>
    </row>
    <row r="449">
      <c r="A449" s="48">
        <v>447.0</v>
      </c>
      <c r="B449" s="48" t="s">
        <v>4255</v>
      </c>
      <c r="C449" s="48">
        <v>0.0</v>
      </c>
      <c r="D449" s="50" t="s">
        <v>2899</v>
      </c>
      <c r="E449" s="63" t="s">
        <v>3404</v>
      </c>
      <c r="F449" s="50" t="s">
        <v>3408</v>
      </c>
      <c r="G449" s="50" t="s">
        <v>1299</v>
      </c>
      <c r="H449" s="49" t="s">
        <v>4256</v>
      </c>
      <c r="I449" s="49" t="s">
        <v>4256</v>
      </c>
    </row>
    <row r="450">
      <c r="A450" s="48">
        <v>448.0</v>
      </c>
      <c r="B450" s="48" t="s">
        <v>4257</v>
      </c>
      <c r="C450" s="48">
        <v>1.0</v>
      </c>
      <c r="D450" s="50" t="s">
        <v>2897</v>
      </c>
      <c r="E450" s="63" t="s">
        <v>3408</v>
      </c>
      <c r="F450" s="50" t="s">
        <v>3404</v>
      </c>
      <c r="G450" s="63" t="s">
        <v>1299</v>
      </c>
      <c r="H450" s="49" t="s">
        <v>4258</v>
      </c>
      <c r="I450" s="49" t="s">
        <v>4258</v>
      </c>
    </row>
    <row r="451">
      <c r="A451" s="48">
        <v>449.0</v>
      </c>
      <c r="B451" s="48" t="s">
        <v>4259</v>
      </c>
      <c r="C451" s="48">
        <v>0.0</v>
      </c>
      <c r="D451" s="50" t="s">
        <v>2903</v>
      </c>
      <c r="E451" s="63" t="s">
        <v>3404</v>
      </c>
      <c r="F451" s="50" t="s">
        <v>3408</v>
      </c>
      <c r="G451" s="50" t="s">
        <v>1299</v>
      </c>
      <c r="H451" s="49" t="s">
        <v>4260</v>
      </c>
      <c r="I451" s="49" t="s">
        <v>4260</v>
      </c>
    </row>
    <row r="452">
      <c r="A452" s="48">
        <v>450.0</v>
      </c>
      <c r="B452" s="48" t="s">
        <v>4261</v>
      </c>
      <c r="C452" s="48">
        <v>1.0</v>
      </c>
      <c r="D452" s="50" t="s">
        <v>2901</v>
      </c>
      <c r="E452" s="63" t="s">
        <v>3408</v>
      </c>
      <c r="F452" s="50" t="s">
        <v>3404</v>
      </c>
      <c r="G452" s="50" t="s">
        <v>1299</v>
      </c>
      <c r="H452" s="49" t="s">
        <v>4262</v>
      </c>
      <c r="I452" s="49" t="s">
        <v>4262</v>
      </c>
    </row>
    <row r="453">
      <c r="A453" s="48">
        <f>ROW()-ROW(Table_Phrases[N])</f>
        <v>451</v>
      </c>
      <c r="B453" s="48" t="s">
        <v>3178</v>
      </c>
      <c r="C453" s="48">
        <v>0.0</v>
      </c>
      <c r="D453" s="50" t="s">
        <v>2895</v>
      </c>
      <c r="E453" s="63" t="s">
        <v>3404</v>
      </c>
      <c r="F453" s="50" t="s">
        <v>3408</v>
      </c>
      <c r="G453" s="50" t="s">
        <v>1299</v>
      </c>
      <c r="H453" s="49" t="s">
        <v>4263</v>
      </c>
      <c r="I453" s="49" t="s">
        <v>4263</v>
      </c>
    </row>
    <row r="454">
      <c r="A454" s="48">
        <f>ROW()-ROW(Table_Phrases[N])</f>
        <v>452</v>
      </c>
      <c r="B454" s="48" t="s">
        <v>4264</v>
      </c>
      <c r="C454" s="48">
        <v>0.0</v>
      </c>
      <c r="D454" s="50" t="s">
        <v>1301</v>
      </c>
      <c r="E454" s="63" t="s">
        <v>1299</v>
      </c>
      <c r="F454" s="63" t="s">
        <v>1299</v>
      </c>
      <c r="G454" s="63" t="s">
        <v>1299</v>
      </c>
      <c r="H454" s="49" t="s">
        <v>4265</v>
      </c>
      <c r="I454" s="49" t="s">
        <v>4265</v>
      </c>
    </row>
    <row r="455">
      <c r="A455" s="48">
        <v>453.0</v>
      </c>
      <c r="B455" s="48" t="s">
        <v>1979</v>
      </c>
      <c r="C455" s="48">
        <v>0.0</v>
      </c>
      <c r="D455" s="50" t="s">
        <v>2905</v>
      </c>
      <c r="E455" s="63" t="s">
        <v>3385</v>
      </c>
      <c r="F455" s="50" t="s">
        <v>1299</v>
      </c>
      <c r="G455" s="50" t="s">
        <v>1299</v>
      </c>
      <c r="H455" s="49" t="s">
        <v>4266</v>
      </c>
      <c r="I455" s="49" t="s">
        <v>4266</v>
      </c>
    </row>
    <row r="456">
      <c r="A456" s="48">
        <f>ROW()-ROW(Table_Phrases[N])</f>
        <v>454</v>
      </c>
      <c r="B456" s="48" t="s">
        <v>4267</v>
      </c>
      <c r="C456" s="48">
        <v>0.0</v>
      </c>
      <c r="D456" s="50" t="s">
        <v>1301</v>
      </c>
      <c r="E456" s="63" t="s">
        <v>3404</v>
      </c>
      <c r="F456" s="50" t="s">
        <v>1299</v>
      </c>
      <c r="G456" s="50" t="s">
        <v>1299</v>
      </c>
      <c r="H456" s="49" t="s">
        <v>4268</v>
      </c>
      <c r="I456" s="49" t="s">
        <v>4268</v>
      </c>
    </row>
  </sheetData>
  <dataValidations>
    <dataValidation type="list" allowBlank="1" sqref="D2:G456">
      <formula1>#REF!</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28.29"/>
    <col customWidth="1" min="3" max="3" width="53.43"/>
    <col customWidth="1" min="4" max="4" width="25.29"/>
    <col customWidth="1" min="5" max="5" width="54.71"/>
    <col customWidth="1" min="6" max="6" width="42.0"/>
    <col customWidth="1" min="7" max="7" width="26.43"/>
    <col customWidth="1" min="8" max="8" width="29.29"/>
    <col customWidth="1" min="9" max="9" width="46.43"/>
    <col customWidth="1" min="10" max="10" width="36.29"/>
    <col customWidth="1" min="11" max="11" width="29.29"/>
    <col customWidth="1" min="12" max="12" width="31.86"/>
  </cols>
  <sheetData>
    <row r="1">
      <c r="A1" s="1" t="s">
        <v>49</v>
      </c>
      <c r="B1" s="1" t="s">
        <v>4269</v>
      </c>
      <c r="C1" s="29" t="s">
        <v>4270</v>
      </c>
      <c r="D1" s="29" t="s">
        <v>4271</v>
      </c>
      <c r="E1" s="29" t="s">
        <v>4272</v>
      </c>
      <c r="F1" s="29" t="s">
        <v>4273</v>
      </c>
      <c r="G1" s="29" t="s">
        <v>4274</v>
      </c>
      <c r="H1" s="29" t="s">
        <v>4275</v>
      </c>
      <c r="I1" s="29" t="s">
        <v>4276</v>
      </c>
      <c r="J1" s="98" t="s">
        <v>4277</v>
      </c>
      <c r="K1" s="98" t="s">
        <v>4278</v>
      </c>
    </row>
    <row r="2" ht="186.0" customHeight="1">
      <c r="A2" s="99">
        <f t="shared" ref="A2:A33" si="1">ROW()-ROW($A$2)-1</f>
        <v>-1</v>
      </c>
      <c r="B2" s="30" t="s">
        <v>1302</v>
      </c>
      <c r="C2" s="100" t="s">
        <v>364</v>
      </c>
      <c r="D2" s="101" t="s">
        <v>1301</v>
      </c>
      <c r="E2" s="37" t="s">
        <v>364</v>
      </c>
      <c r="F2" s="37" t="s">
        <v>361</v>
      </c>
      <c r="G2" s="37" t="s">
        <v>365</v>
      </c>
      <c r="H2" s="37" t="s">
        <v>1301</v>
      </c>
      <c r="I2" s="37" t="s">
        <v>1101</v>
      </c>
      <c r="J2" s="37" t="s">
        <v>1101</v>
      </c>
      <c r="K2" s="37" t="s">
        <v>1101</v>
      </c>
    </row>
    <row r="3">
      <c r="A3" s="99">
        <f t="shared" si="1"/>
        <v>0</v>
      </c>
      <c r="B3" s="30" t="s">
        <v>1626</v>
      </c>
      <c r="C3" s="100" t="s">
        <v>1999</v>
      </c>
      <c r="D3" s="101" t="s">
        <v>2161</v>
      </c>
      <c r="E3" s="37" t="s">
        <v>4279</v>
      </c>
      <c r="F3" s="37" t="s">
        <v>4280</v>
      </c>
      <c r="G3" s="37" t="s">
        <v>365</v>
      </c>
      <c r="H3" s="37" t="s">
        <v>2161</v>
      </c>
      <c r="I3" s="37" t="s">
        <v>1101</v>
      </c>
      <c r="J3" s="37" t="s">
        <v>4281</v>
      </c>
      <c r="K3" s="37" t="s">
        <v>1101</v>
      </c>
    </row>
    <row r="4">
      <c r="A4" s="99">
        <f t="shared" si="1"/>
        <v>1</v>
      </c>
      <c r="B4" s="30" t="s">
        <v>1918</v>
      </c>
      <c r="C4" s="100" t="s">
        <v>4282</v>
      </c>
      <c r="D4" s="101" t="s">
        <v>2161</v>
      </c>
      <c r="E4" s="37" t="s">
        <v>4282</v>
      </c>
      <c r="F4" s="37" t="s">
        <v>4283</v>
      </c>
      <c r="G4" s="37" t="s">
        <v>365</v>
      </c>
      <c r="H4" s="37" t="s">
        <v>4284</v>
      </c>
      <c r="I4" s="37" t="s">
        <v>1101</v>
      </c>
      <c r="J4" s="37" t="s">
        <v>1244</v>
      </c>
      <c r="K4" s="37" t="s">
        <v>1101</v>
      </c>
    </row>
    <row r="5">
      <c r="A5" s="99">
        <f t="shared" si="1"/>
        <v>2</v>
      </c>
      <c r="B5" s="30" t="s">
        <v>4285</v>
      </c>
      <c r="C5" s="100" t="s">
        <v>4286</v>
      </c>
      <c r="D5" s="101" t="s">
        <v>2161</v>
      </c>
      <c r="E5" s="37" t="s">
        <v>4286</v>
      </c>
      <c r="F5" s="37" t="s">
        <v>4287</v>
      </c>
      <c r="G5" s="37" t="s">
        <v>365</v>
      </c>
      <c r="H5" s="37" t="s">
        <v>2161</v>
      </c>
      <c r="I5" s="37" t="s">
        <v>1163</v>
      </c>
      <c r="J5" s="37" t="s">
        <v>1101</v>
      </c>
      <c r="K5" s="37" t="s">
        <v>1101</v>
      </c>
    </row>
    <row r="6">
      <c r="A6" s="99">
        <f t="shared" si="1"/>
        <v>3</v>
      </c>
      <c r="B6" s="30" t="s">
        <v>4288</v>
      </c>
      <c r="C6" s="100" t="s">
        <v>4289</v>
      </c>
      <c r="D6" s="101" t="s">
        <v>2161</v>
      </c>
      <c r="E6" s="37" t="s">
        <v>4289</v>
      </c>
      <c r="F6" s="37" t="s">
        <v>4290</v>
      </c>
      <c r="G6" s="37" t="s">
        <v>365</v>
      </c>
      <c r="H6" s="37" t="s">
        <v>2161</v>
      </c>
      <c r="I6" s="37" t="s">
        <v>1163</v>
      </c>
      <c r="J6" s="37" t="s">
        <v>1101</v>
      </c>
      <c r="K6" s="37" t="s">
        <v>1144</v>
      </c>
    </row>
    <row r="7">
      <c r="A7" s="99">
        <f t="shared" si="1"/>
        <v>4</v>
      </c>
      <c r="B7" s="30" t="s">
        <v>4291</v>
      </c>
      <c r="C7" s="33" t="s">
        <v>4292</v>
      </c>
      <c r="D7" s="101" t="s">
        <v>4293</v>
      </c>
      <c r="E7" s="37" t="s">
        <v>4294</v>
      </c>
      <c r="F7" s="37" t="s">
        <v>4295</v>
      </c>
      <c r="G7" s="37" t="s">
        <v>365</v>
      </c>
      <c r="H7" s="101" t="s">
        <v>4293</v>
      </c>
      <c r="I7" s="37" t="s">
        <v>1101</v>
      </c>
      <c r="J7" s="37" t="s">
        <v>4296</v>
      </c>
      <c r="K7" s="37" t="s">
        <v>1101</v>
      </c>
    </row>
    <row r="8">
      <c r="A8" s="99">
        <f t="shared" si="1"/>
        <v>5</v>
      </c>
      <c r="B8" s="30" t="s">
        <v>4297</v>
      </c>
      <c r="C8" s="33" t="s">
        <v>4298</v>
      </c>
      <c r="D8" s="101" t="s">
        <v>4293</v>
      </c>
      <c r="E8" s="37" t="s">
        <v>4299</v>
      </c>
      <c r="F8" s="37" t="s">
        <v>4300</v>
      </c>
      <c r="G8" s="37" t="s">
        <v>365</v>
      </c>
      <c r="H8" s="101" t="s">
        <v>4293</v>
      </c>
      <c r="I8" s="37" t="s">
        <v>1101</v>
      </c>
      <c r="J8" s="37" t="s">
        <v>4296</v>
      </c>
      <c r="K8" s="37" t="s">
        <v>1101</v>
      </c>
    </row>
    <row r="9">
      <c r="A9" s="99">
        <f t="shared" si="1"/>
        <v>6</v>
      </c>
      <c r="B9" s="30" t="s">
        <v>4301</v>
      </c>
      <c r="C9" s="33" t="s">
        <v>2034</v>
      </c>
      <c r="D9" s="101" t="s">
        <v>2155</v>
      </c>
      <c r="E9" s="37" t="s">
        <v>2034</v>
      </c>
      <c r="F9" s="37" t="s">
        <v>4302</v>
      </c>
      <c r="G9" s="37" t="s">
        <v>365</v>
      </c>
      <c r="H9" s="37" t="s">
        <v>2155</v>
      </c>
      <c r="I9" s="37" t="s">
        <v>1101</v>
      </c>
      <c r="J9" s="37" t="s">
        <v>1266</v>
      </c>
      <c r="K9" s="37" t="s">
        <v>1101</v>
      </c>
    </row>
    <row r="10">
      <c r="A10" s="99">
        <f t="shared" si="1"/>
        <v>7</v>
      </c>
      <c r="B10" s="30" t="s">
        <v>4303</v>
      </c>
      <c r="C10" s="33" t="s">
        <v>4304</v>
      </c>
      <c r="D10" s="101" t="s">
        <v>2157</v>
      </c>
      <c r="E10" s="37" t="s">
        <v>4304</v>
      </c>
      <c r="F10" s="37" t="s">
        <v>4305</v>
      </c>
      <c r="G10" s="37" t="s">
        <v>365</v>
      </c>
      <c r="H10" s="37" t="s">
        <v>4306</v>
      </c>
      <c r="I10" s="37" t="s">
        <v>1161</v>
      </c>
      <c r="J10" s="37" t="s">
        <v>1101</v>
      </c>
      <c r="K10" s="37" t="s">
        <v>1101</v>
      </c>
    </row>
    <row r="11">
      <c r="A11" s="99">
        <f t="shared" si="1"/>
        <v>8</v>
      </c>
      <c r="B11" s="30" t="s">
        <v>4307</v>
      </c>
      <c r="C11" s="33" t="s">
        <v>4308</v>
      </c>
      <c r="D11" s="101" t="s">
        <v>4309</v>
      </c>
      <c r="E11" s="37" t="s">
        <v>4308</v>
      </c>
      <c r="F11" s="37" t="s">
        <v>4310</v>
      </c>
      <c r="G11" s="37" t="s">
        <v>365</v>
      </c>
      <c r="H11" s="37" t="s">
        <v>4311</v>
      </c>
      <c r="I11" s="37" t="s">
        <v>1101</v>
      </c>
      <c r="J11" s="37" t="s">
        <v>1215</v>
      </c>
      <c r="K11" s="37" t="s">
        <v>1101</v>
      </c>
    </row>
    <row r="12">
      <c r="A12" s="99">
        <f t="shared" si="1"/>
        <v>9</v>
      </c>
      <c r="B12" s="30" t="s">
        <v>4312</v>
      </c>
      <c r="C12" s="33" t="s">
        <v>4313</v>
      </c>
      <c r="D12" s="101" t="s">
        <v>2156</v>
      </c>
      <c r="E12" s="37" t="s">
        <v>4313</v>
      </c>
      <c r="F12" s="37" t="s">
        <v>4314</v>
      </c>
      <c r="G12" s="37" t="s">
        <v>365</v>
      </c>
      <c r="H12" s="37" t="s">
        <v>2156</v>
      </c>
      <c r="I12" s="37" t="s">
        <v>1101</v>
      </c>
      <c r="J12" s="37" t="s">
        <v>1101</v>
      </c>
      <c r="K12" s="37" t="s">
        <v>1101</v>
      </c>
    </row>
    <row r="13">
      <c r="A13" s="99">
        <f t="shared" si="1"/>
        <v>10</v>
      </c>
      <c r="B13" s="30" t="s">
        <v>4315</v>
      </c>
      <c r="C13" s="33" t="s">
        <v>4316</v>
      </c>
      <c r="D13" s="101" t="s">
        <v>4317</v>
      </c>
      <c r="E13" s="37" t="s">
        <v>4316</v>
      </c>
      <c r="F13" s="37" t="s">
        <v>4318</v>
      </c>
      <c r="G13" s="37" t="s">
        <v>365</v>
      </c>
      <c r="H13" s="37" t="s">
        <v>4319</v>
      </c>
      <c r="I13" s="37" t="s">
        <v>1101</v>
      </c>
      <c r="J13" s="37" t="s">
        <v>1101</v>
      </c>
      <c r="K13" s="37" t="s">
        <v>1101</v>
      </c>
    </row>
    <row r="14">
      <c r="A14" s="99">
        <f t="shared" si="1"/>
        <v>11</v>
      </c>
      <c r="B14" s="30" t="s">
        <v>20</v>
      </c>
      <c r="C14" s="33" t="s">
        <v>21</v>
      </c>
      <c r="D14" s="101" t="s">
        <v>22</v>
      </c>
      <c r="E14" s="37" t="s">
        <v>4320</v>
      </c>
      <c r="F14" s="37" t="s">
        <v>4321</v>
      </c>
      <c r="G14" s="37" t="s">
        <v>365</v>
      </c>
      <c r="H14" s="37" t="s">
        <v>4322</v>
      </c>
      <c r="I14" s="37" t="s">
        <v>1101</v>
      </c>
      <c r="J14" s="37" t="s">
        <v>1101</v>
      </c>
      <c r="K14" s="37" t="s">
        <v>1101</v>
      </c>
    </row>
    <row r="15">
      <c r="A15" s="99">
        <f t="shared" si="1"/>
        <v>12</v>
      </c>
      <c r="B15" s="30" t="s">
        <v>4323</v>
      </c>
      <c r="C15" s="33" t="s">
        <v>2066</v>
      </c>
      <c r="D15" s="37" t="s">
        <v>22</v>
      </c>
      <c r="E15" s="37" t="s">
        <v>4324</v>
      </c>
      <c r="F15" s="37" t="s">
        <v>4325</v>
      </c>
      <c r="G15" s="37" t="s">
        <v>365</v>
      </c>
      <c r="H15" s="37" t="s">
        <v>4326</v>
      </c>
      <c r="I15" s="37" t="s">
        <v>1101</v>
      </c>
      <c r="J15" s="37" t="s">
        <v>1101</v>
      </c>
      <c r="K15" s="37" t="s">
        <v>1101</v>
      </c>
    </row>
    <row r="16">
      <c r="A16" s="99">
        <f t="shared" si="1"/>
        <v>13</v>
      </c>
      <c r="B16" s="30" t="s">
        <v>1559</v>
      </c>
      <c r="C16" s="33" t="s">
        <v>2079</v>
      </c>
      <c r="D16" s="37" t="s">
        <v>2160</v>
      </c>
      <c r="E16" s="37" t="s">
        <v>2079</v>
      </c>
      <c r="F16" s="37" t="s">
        <v>4327</v>
      </c>
      <c r="G16" s="37" t="s">
        <v>365</v>
      </c>
      <c r="H16" s="37" t="s">
        <v>2160</v>
      </c>
      <c r="I16" s="37" t="s">
        <v>1101</v>
      </c>
      <c r="J16" s="37" t="s">
        <v>1180</v>
      </c>
      <c r="K16" s="37" t="s">
        <v>1101</v>
      </c>
    </row>
    <row r="17">
      <c r="A17" s="99">
        <f t="shared" si="1"/>
        <v>14</v>
      </c>
      <c r="B17" s="30" t="s">
        <v>1593</v>
      </c>
      <c r="C17" s="33" t="s">
        <v>2079</v>
      </c>
      <c r="D17" s="37" t="s">
        <v>2160</v>
      </c>
      <c r="E17" s="37" t="s">
        <v>4328</v>
      </c>
      <c r="F17" s="37" t="s">
        <v>4329</v>
      </c>
      <c r="G17" s="37" t="s">
        <v>4330</v>
      </c>
      <c r="H17" s="37" t="s">
        <v>2160</v>
      </c>
      <c r="I17" s="37" t="s">
        <v>1101</v>
      </c>
      <c r="J17" s="37" t="s">
        <v>1187</v>
      </c>
      <c r="K17" s="37" t="s">
        <v>1101</v>
      </c>
    </row>
    <row r="18">
      <c r="A18" s="99">
        <f t="shared" si="1"/>
        <v>15</v>
      </c>
      <c r="B18" s="30" t="s">
        <v>1638</v>
      </c>
      <c r="C18" s="33" t="s">
        <v>385</v>
      </c>
      <c r="D18" s="37" t="s">
        <v>1301</v>
      </c>
      <c r="E18" s="37" t="s">
        <v>385</v>
      </c>
      <c r="F18" s="37" t="s">
        <v>390</v>
      </c>
      <c r="G18" s="37" t="s">
        <v>365</v>
      </c>
      <c r="H18" s="37" t="s">
        <v>1301</v>
      </c>
      <c r="I18" s="37" t="s">
        <v>1101</v>
      </c>
      <c r="J18" s="37" t="s">
        <v>1194</v>
      </c>
      <c r="K18" s="37" t="s">
        <v>1101</v>
      </c>
    </row>
    <row r="19">
      <c r="A19" s="99">
        <f t="shared" si="1"/>
        <v>16</v>
      </c>
      <c r="B19" s="30" t="s">
        <v>4331</v>
      </c>
      <c r="C19" s="33" t="s">
        <v>2084</v>
      </c>
      <c r="D19" s="37" t="s">
        <v>2602</v>
      </c>
      <c r="E19" s="37" t="s">
        <v>2084</v>
      </c>
      <c r="F19" s="37" t="s">
        <v>4332</v>
      </c>
      <c r="G19" s="37" t="s">
        <v>365</v>
      </c>
      <c r="H19" s="37" t="s">
        <v>2602</v>
      </c>
      <c r="I19" s="37" t="s">
        <v>1101</v>
      </c>
      <c r="J19" s="37" t="s">
        <v>4333</v>
      </c>
      <c r="K19" s="37" t="s">
        <v>1196</v>
      </c>
    </row>
    <row r="20">
      <c r="A20" s="99">
        <f t="shared" si="1"/>
        <v>17</v>
      </c>
      <c r="B20" s="30" t="s">
        <v>4334</v>
      </c>
      <c r="C20" s="33" t="s">
        <v>2086</v>
      </c>
      <c r="D20" s="37" t="s">
        <v>2602</v>
      </c>
      <c r="E20" s="37" t="s">
        <v>2086</v>
      </c>
      <c r="F20" s="37" t="s">
        <v>4335</v>
      </c>
      <c r="G20" s="37" t="s">
        <v>365</v>
      </c>
      <c r="H20" s="37" t="s">
        <v>2602</v>
      </c>
      <c r="I20" s="37" t="s">
        <v>1101</v>
      </c>
      <c r="J20" s="37" t="s">
        <v>1198</v>
      </c>
      <c r="K20" s="37" t="s">
        <v>1101</v>
      </c>
    </row>
    <row r="21">
      <c r="A21" s="99">
        <f t="shared" si="1"/>
        <v>18</v>
      </c>
      <c r="B21" s="30" t="s">
        <v>4336</v>
      </c>
      <c r="C21" s="33" t="s">
        <v>2088</v>
      </c>
      <c r="D21" s="37" t="s">
        <v>2602</v>
      </c>
      <c r="E21" s="37" t="s">
        <v>2088</v>
      </c>
      <c r="F21" s="37" t="s">
        <v>4337</v>
      </c>
      <c r="G21" s="37" t="s">
        <v>365</v>
      </c>
      <c r="H21" s="37" t="s">
        <v>2602</v>
      </c>
      <c r="I21" s="37" t="s">
        <v>1101</v>
      </c>
      <c r="J21" s="37" t="s">
        <v>1101</v>
      </c>
      <c r="K21" s="37" t="s">
        <v>1101</v>
      </c>
    </row>
    <row r="22">
      <c r="A22" s="99">
        <f t="shared" si="1"/>
        <v>19</v>
      </c>
      <c r="B22" s="30" t="s">
        <v>4338</v>
      </c>
      <c r="C22" s="33" t="s">
        <v>2090</v>
      </c>
      <c r="D22" s="37" t="s">
        <v>2602</v>
      </c>
      <c r="E22" s="37" t="s">
        <v>2090</v>
      </c>
      <c r="F22" s="37" t="s">
        <v>4339</v>
      </c>
      <c r="G22" s="37" t="s">
        <v>365</v>
      </c>
      <c r="H22" s="37" t="s">
        <v>2602</v>
      </c>
      <c r="I22" s="37" t="s">
        <v>1101</v>
      </c>
      <c r="J22" s="37" t="s">
        <v>1101</v>
      </c>
      <c r="K22" s="37" t="s">
        <v>1101</v>
      </c>
    </row>
    <row r="23">
      <c r="A23" s="99">
        <f t="shared" si="1"/>
        <v>20</v>
      </c>
      <c r="B23" s="30" t="s">
        <v>1669</v>
      </c>
      <c r="C23" s="33" t="s">
        <v>2094</v>
      </c>
      <c r="D23" s="37" t="s">
        <v>2602</v>
      </c>
      <c r="E23" s="37" t="s">
        <v>4340</v>
      </c>
      <c r="F23" s="37" t="s">
        <v>4341</v>
      </c>
      <c r="G23" s="37" t="s">
        <v>4342</v>
      </c>
      <c r="H23" s="37" t="s">
        <v>2602</v>
      </c>
      <c r="I23" s="37" t="s">
        <v>1101</v>
      </c>
      <c r="J23" s="37" t="s">
        <v>1201</v>
      </c>
      <c r="K23" s="37" t="s">
        <v>1101</v>
      </c>
    </row>
    <row r="24">
      <c r="A24" s="99">
        <f t="shared" si="1"/>
        <v>21</v>
      </c>
      <c r="B24" s="30" t="s">
        <v>1674</v>
      </c>
      <c r="C24" s="33" t="s">
        <v>2097</v>
      </c>
      <c r="D24" s="37" t="s">
        <v>2675</v>
      </c>
      <c r="E24" s="37" t="s">
        <v>2097</v>
      </c>
      <c r="F24" s="37" t="s">
        <v>4343</v>
      </c>
      <c r="G24" s="37" t="s">
        <v>365</v>
      </c>
      <c r="H24" s="37" t="s">
        <v>2675</v>
      </c>
      <c r="I24" s="37" t="s">
        <v>1101</v>
      </c>
      <c r="J24" s="37" t="s">
        <v>1203</v>
      </c>
      <c r="K24" s="37" t="s">
        <v>1101</v>
      </c>
    </row>
    <row r="25">
      <c r="A25" s="99">
        <f t="shared" si="1"/>
        <v>22</v>
      </c>
      <c r="B25" s="30" t="s">
        <v>4344</v>
      </c>
      <c r="C25" s="33" t="s">
        <v>2100</v>
      </c>
      <c r="D25" s="37" t="s">
        <v>2675</v>
      </c>
      <c r="E25" s="37" t="s">
        <v>2100</v>
      </c>
      <c r="F25" s="37" t="s">
        <v>4345</v>
      </c>
      <c r="G25" s="37" t="s">
        <v>365</v>
      </c>
      <c r="H25" s="37" t="s">
        <v>2675</v>
      </c>
      <c r="I25" s="37" t="s">
        <v>1101</v>
      </c>
      <c r="J25" s="37" t="s">
        <v>1203</v>
      </c>
      <c r="K25" s="37" t="s">
        <v>1101</v>
      </c>
    </row>
    <row r="26">
      <c r="A26" s="99">
        <f t="shared" si="1"/>
        <v>23</v>
      </c>
      <c r="B26" s="30" t="s">
        <v>4346</v>
      </c>
      <c r="C26" s="33" t="s">
        <v>4347</v>
      </c>
      <c r="D26" s="101" t="s">
        <v>4293</v>
      </c>
      <c r="E26" s="37" t="s">
        <v>4347</v>
      </c>
      <c r="F26" s="37" t="s">
        <v>4348</v>
      </c>
      <c r="G26" s="37" t="s">
        <v>365</v>
      </c>
      <c r="H26" s="101" t="s">
        <v>4293</v>
      </c>
      <c r="I26" s="37" t="s">
        <v>1101</v>
      </c>
      <c r="J26" s="37" t="s">
        <v>1101</v>
      </c>
      <c r="K26" s="37" t="s">
        <v>1101</v>
      </c>
    </row>
    <row r="27">
      <c r="A27" s="99">
        <f t="shared" si="1"/>
        <v>24</v>
      </c>
      <c r="B27" s="30" t="s">
        <v>4349</v>
      </c>
      <c r="C27" s="33" t="s">
        <v>4350</v>
      </c>
      <c r="D27" s="37" t="s">
        <v>2684</v>
      </c>
      <c r="E27" s="37" t="s">
        <v>4350</v>
      </c>
      <c r="F27" s="37" t="s">
        <v>4351</v>
      </c>
      <c r="G27" s="37" t="s">
        <v>365</v>
      </c>
      <c r="H27" s="37" t="s">
        <v>2684</v>
      </c>
      <c r="I27" s="37" t="s">
        <v>1101</v>
      </c>
      <c r="J27" s="37" t="s">
        <v>1101</v>
      </c>
      <c r="K27" s="37" t="s">
        <v>1101</v>
      </c>
    </row>
    <row r="28">
      <c r="A28" s="99">
        <f t="shared" si="1"/>
        <v>25</v>
      </c>
      <c r="B28" s="30" t="s">
        <v>15</v>
      </c>
      <c r="C28" s="33" t="s">
        <v>2110</v>
      </c>
      <c r="D28" s="37" t="s">
        <v>2161</v>
      </c>
      <c r="E28" s="37" t="s">
        <v>4352</v>
      </c>
      <c r="F28" s="37" t="s">
        <v>4353</v>
      </c>
      <c r="G28" s="37" t="s">
        <v>4354</v>
      </c>
      <c r="H28" s="37" t="s">
        <v>2161</v>
      </c>
      <c r="I28" s="37" t="s">
        <v>1101</v>
      </c>
      <c r="J28" s="37" t="s">
        <v>4355</v>
      </c>
      <c r="K28" s="37" t="s">
        <v>1101</v>
      </c>
    </row>
    <row r="29">
      <c r="A29" s="99">
        <f t="shared" si="1"/>
        <v>26</v>
      </c>
      <c r="B29" s="30" t="s">
        <v>4356</v>
      </c>
      <c r="C29" s="33" t="s">
        <v>2113</v>
      </c>
      <c r="D29" s="37" t="s">
        <v>2732</v>
      </c>
      <c r="E29" s="37" t="s">
        <v>4357</v>
      </c>
      <c r="F29" s="37" t="s">
        <v>4358</v>
      </c>
      <c r="G29" s="37" t="s">
        <v>365</v>
      </c>
      <c r="H29" s="37" t="s">
        <v>2732</v>
      </c>
      <c r="I29" s="37" t="s">
        <v>1101</v>
      </c>
      <c r="J29" s="37" t="s">
        <v>4359</v>
      </c>
      <c r="K29" s="37" t="s">
        <v>1101</v>
      </c>
    </row>
    <row r="30">
      <c r="A30" s="99">
        <f t="shared" si="1"/>
        <v>27</v>
      </c>
      <c r="B30" s="30" t="s">
        <v>1815</v>
      </c>
      <c r="C30" s="33" t="s">
        <v>2127</v>
      </c>
      <c r="D30" s="37" t="s">
        <v>2732</v>
      </c>
      <c r="E30" s="37" t="s">
        <v>4360</v>
      </c>
      <c r="F30" s="37" t="s">
        <v>4361</v>
      </c>
      <c r="G30" s="37" t="s">
        <v>365</v>
      </c>
      <c r="H30" s="37" t="s">
        <v>4362</v>
      </c>
      <c r="I30" s="37" t="s">
        <v>1101</v>
      </c>
      <c r="J30" s="37" t="s">
        <v>1253</v>
      </c>
      <c r="K30" s="37" t="s">
        <v>1101</v>
      </c>
    </row>
    <row r="31">
      <c r="A31" s="99">
        <f t="shared" si="1"/>
        <v>28</v>
      </c>
      <c r="B31" s="30" t="s">
        <v>4363</v>
      </c>
      <c r="C31" s="33" t="s">
        <v>4364</v>
      </c>
      <c r="D31" s="37" t="s">
        <v>2892</v>
      </c>
      <c r="E31" s="37" t="s">
        <v>4364</v>
      </c>
      <c r="F31" s="37" t="s">
        <v>4351</v>
      </c>
      <c r="G31" s="37" t="s">
        <v>365</v>
      </c>
      <c r="H31" s="37" t="s">
        <v>2892</v>
      </c>
      <c r="I31" s="37" t="s">
        <v>1101</v>
      </c>
      <c r="J31" s="37" t="s">
        <v>1101</v>
      </c>
      <c r="K31" s="37" t="s">
        <v>1101</v>
      </c>
    </row>
    <row r="32">
      <c r="A32" s="99">
        <f t="shared" si="1"/>
        <v>29</v>
      </c>
      <c r="B32" s="30" t="s">
        <v>4365</v>
      </c>
      <c r="C32" s="33" t="s">
        <v>2139</v>
      </c>
      <c r="D32" s="37" t="s">
        <v>2892</v>
      </c>
      <c r="E32" s="37" t="s">
        <v>2139</v>
      </c>
      <c r="F32" s="37" t="s">
        <v>4366</v>
      </c>
      <c r="G32" s="37" t="s">
        <v>365</v>
      </c>
      <c r="H32" s="37" t="s">
        <v>2892</v>
      </c>
      <c r="I32" s="37" t="s">
        <v>1101</v>
      </c>
      <c r="J32" s="37" t="s">
        <v>1101</v>
      </c>
      <c r="K32" s="37" t="s">
        <v>1101</v>
      </c>
    </row>
    <row r="33">
      <c r="A33" s="99">
        <f t="shared" si="1"/>
        <v>30</v>
      </c>
      <c r="B33" s="30" t="s">
        <v>4367</v>
      </c>
      <c r="C33" s="100" t="s">
        <v>364</v>
      </c>
      <c r="D33" s="101" t="s">
        <v>1301</v>
      </c>
      <c r="E33" s="37" t="s">
        <v>721</v>
      </c>
      <c r="F33" s="37" t="s">
        <v>719</v>
      </c>
      <c r="G33" s="37" t="s">
        <v>365</v>
      </c>
      <c r="H33" s="37" t="s">
        <v>1301</v>
      </c>
      <c r="I33" s="37" t="s">
        <v>1101</v>
      </c>
      <c r="J33" s="37" t="s">
        <v>1101</v>
      </c>
      <c r="K33" s="37" t="s">
        <v>1101</v>
      </c>
    </row>
  </sheetData>
  <dataValidations>
    <dataValidation type="list" allowBlank="1" sqref="C2:K33">
      <formula1>#REF!</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49.86"/>
    <col customWidth="1" min="3" max="3" width="63.14"/>
    <col customWidth="1" min="4" max="4" width="23.29"/>
    <col customWidth="1" min="6" max="6" width="38.86"/>
    <col customWidth="1" min="8" max="8" width="34.57"/>
  </cols>
  <sheetData>
    <row r="1" ht="22.5" customHeight="1">
      <c r="A1" s="1" t="s">
        <v>49</v>
      </c>
      <c r="B1" s="1" t="s">
        <v>4368</v>
      </c>
      <c r="D1" s="102" t="s">
        <v>49</v>
      </c>
      <c r="E1" s="102" t="s">
        <v>4369</v>
      </c>
    </row>
    <row r="2" ht="22.5" customHeight="1">
      <c r="A2" s="48">
        <f>ROW()-ROW(Table_Characters[N])</f>
        <v>0</v>
      </c>
      <c r="B2" s="48" t="s">
        <v>732</v>
      </c>
      <c r="D2" s="103">
        <v>0.0</v>
      </c>
      <c r="E2" s="104" t="s">
        <v>1702</v>
      </c>
    </row>
    <row r="3" ht="22.5" customHeight="1">
      <c r="A3" s="48">
        <f>ROW()-ROW(Table_Characters[N])</f>
        <v>1</v>
      </c>
      <c r="B3" s="48" t="s">
        <v>13</v>
      </c>
      <c r="D3" s="103">
        <v>1.0</v>
      </c>
      <c r="E3" s="104" t="s">
        <v>1667</v>
      </c>
    </row>
    <row r="4" ht="22.5" customHeight="1">
      <c r="A4" s="48">
        <f>ROW()-ROW(Table_Characters[N])</f>
        <v>2</v>
      </c>
      <c r="B4" s="48" t="s">
        <v>936</v>
      </c>
      <c r="D4" s="103">
        <v>2.0</v>
      </c>
      <c r="E4" s="104" t="s">
        <v>1303</v>
      </c>
    </row>
    <row r="5">
      <c r="A5" s="48">
        <f>ROW()-ROW(Table_Characters[N])</f>
        <v>3</v>
      </c>
      <c r="B5" s="48" t="s">
        <v>4370</v>
      </c>
    </row>
    <row r="6">
      <c r="A6" s="48">
        <f>ROW()-ROW(Table_Characters[N])</f>
        <v>4</v>
      </c>
      <c r="B6" s="48" t="s">
        <v>4371</v>
      </c>
    </row>
    <row r="7">
      <c r="A7" s="19"/>
      <c r="B7" s="19"/>
    </row>
    <row r="8">
      <c r="A8" s="1" t="s">
        <v>49</v>
      </c>
      <c r="B8" s="1" t="s">
        <v>4372</v>
      </c>
    </row>
    <row r="9">
      <c r="A9" s="48">
        <v>0.0</v>
      </c>
      <c r="B9" s="48" t="s">
        <v>4373</v>
      </c>
    </row>
    <row r="10">
      <c r="A10" s="48">
        <v>1.0</v>
      </c>
      <c r="B10" s="48" t="s">
        <v>4374</v>
      </c>
    </row>
    <row r="11">
      <c r="A11" s="48">
        <v>2.0</v>
      </c>
      <c r="B11" s="48" t="s">
        <v>4375</v>
      </c>
    </row>
    <row r="12">
      <c r="A12" s="48">
        <v>3.0</v>
      </c>
      <c r="B12" s="48" t="s">
        <v>4376</v>
      </c>
    </row>
    <row r="13">
      <c r="A13" s="48">
        <v>4.0</v>
      </c>
      <c r="B13" s="48" t="s">
        <v>4377</v>
      </c>
    </row>
    <row r="14">
      <c r="A14" s="48">
        <v>5.0</v>
      </c>
      <c r="B14" s="48" t="s">
        <v>4378</v>
      </c>
    </row>
    <row r="16">
      <c r="A16" s="1" t="s">
        <v>49</v>
      </c>
      <c r="B16" s="1" t="s">
        <v>4379</v>
      </c>
    </row>
    <row r="17">
      <c r="A17" s="48">
        <f>ROW()-ROW(Table_Interaction[N])</f>
        <v>0</v>
      </c>
      <c r="B17" s="48" t="s">
        <v>733</v>
      </c>
    </row>
    <row r="18">
      <c r="A18" s="48">
        <f>ROW()-ROW(Table_Interaction[N])</f>
        <v>1</v>
      </c>
      <c r="B18" s="48" t="s">
        <v>4380</v>
      </c>
    </row>
    <row r="19">
      <c r="A19" s="48">
        <f>ROW()-ROW(Table_Interaction[N])</f>
        <v>2</v>
      </c>
      <c r="B19" s="48" t="s">
        <v>759</v>
      </c>
    </row>
    <row r="20">
      <c r="A20" s="48">
        <f>ROW()-ROW(Table_Interaction[N])</f>
        <v>3</v>
      </c>
      <c r="B20" s="48" t="s">
        <v>737</v>
      </c>
    </row>
    <row r="21">
      <c r="A21" s="48">
        <f>ROW()-ROW(Table_Interaction[N])</f>
        <v>4</v>
      </c>
      <c r="B21" s="48" t="s">
        <v>751</v>
      </c>
    </row>
    <row r="22">
      <c r="A22" s="48">
        <f>ROW()-ROW(Table_Interaction[N])</f>
        <v>5</v>
      </c>
      <c r="B22" s="48" t="s">
        <v>749</v>
      </c>
    </row>
    <row r="23">
      <c r="A23" s="48">
        <f>ROW()-ROW(Table_Interaction[N])</f>
        <v>6</v>
      </c>
      <c r="B23" s="48" t="s">
        <v>1009</v>
      </c>
    </row>
    <row r="24">
      <c r="A24" s="48">
        <f>ROW()-ROW(Table_Interaction[N])</f>
        <v>7</v>
      </c>
      <c r="B24" s="48" t="s">
        <v>754</v>
      </c>
    </row>
    <row r="26">
      <c r="A26" s="1" t="s">
        <v>49</v>
      </c>
      <c r="B26" s="1" t="s">
        <v>4381</v>
      </c>
    </row>
    <row r="27">
      <c r="A27" s="48">
        <f>ROW()-ROW(Table_Action_Type[N])</f>
        <v>0</v>
      </c>
      <c r="B27" s="48" t="s">
        <v>1293</v>
      </c>
    </row>
    <row r="28">
      <c r="A28" s="48">
        <f>ROW()-ROW(Table_Action_Type[N])</f>
        <v>1</v>
      </c>
      <c r="B28" s="48" t="s">
        <v>1318</v>
      </c>
    </row>
    <row r="29">
      <c r="A29" s="48">
        <f>ROW()-ROW(Table_Action_Type[N])</f>
        <v>2</v>
      </c>
      <c r="B29" s="48" t="s">
        <v>1322</v>
      </c>
    </row>
    <row r="30">
      <c r="A30" s="48">
        <f>ROW()-ROW(Table_Action_Type[N])</f>
        <v>3</v>
      </c>
      <c r="B30" s="48" t="s">
        <v>1324</v>
      </c>
    </row>
    <row r="31">
      <c r="A31" s="48">
        <f>ROW()-ROW(Table_Action_Type[N])</f>
        <v>4</v>
      </c>
      <c r="B31" s="48" t="s">
        <v>1754</v>
      </c>
    </row>
    <row r="32">
      <c r="A32" s="48">
        <f>ROW()-ROW(Table_Action_Type[N])</f>
        <v>5</v>
      </c>
      <c r="B32" s="48" t="s">
        <v>1662</v>
      </c>
    </row>
    <row r="33">
      <c r="A33" s="48">
        <f>ROW()-ROW(Table_Action_Type[N])</f>
        <v>6</v>
      </c>
      <c r="B33" s="48" t="s">
        <v>1664</v>
      </c>
    </row>
    <row r="34">
      <c r="A34" s="48">
        <f>ROW()-ROW(Table_Action_Type[N])</f>
        <v>7</v>
      </c>
      <c r="B34" s="48" t="s">
        <v>1843</v>
      </c>
    </row>
    <row r="35">
      <c r="A35" s="48">
        <f>ROW()-ROW(Table_Action_Type[N])</f>
        <v>8</v>
      </c>
      <c r="B35" s="48" t="s">
        <v>1315</v>
      </c>
    </row>
    <row r="36">
      <c r="A36" s="48">
        <f>ROW()-ROW(Table_Action_Type[N])</f>
        <v>9</v>
      </c>
      <c r="B36" s="48" t="s">
        <v>1372</v>
      </c>
    </row>
    <row r="37">
      <c r="A37" s="48">
        <f>ROW()-ROW(Table_Action_Type[N])</f>
        <v>10</v>
      </c>
      <c r="B37" s="48" t="s">
        <v>1326</v>
      </c>
    </row>
    <row r="38">
      <c r="A38" s="48">
        <f>ROW()-ROW(Table_Action_Type[N])</f>
        <v>11</v>
      </c>
      <c r="B38" s="48" t="s">
        <v>1504</v>
      </c>
    </row>
    <row r="39">
      <c r="A39" s="48">
        <f>ROW()-ROW(Table_Action_Type[N])</f>
        <v>12</v>
      </c>
      <c r="B39" s="48" t="s">
        <v>1310</v>
      </c>
    </row>
    <row r="40">
      <c r="A40" s="48">
        <f>ROW()-ROW(Table_Action_Type[N])</f>
        <v>13</v>
      </c>
      <c r="B40" s="48" t="s">
        <v>4382</v>
      </c>
    </row>
    <row r="41">
      <c r="A41" s="48">
        <f>ROW()-ROW(Table_Action_Type[N])</f>
        <v>14</v>
      </c>
      <c r="B41" s="48" t="s">
        <v>1312</v>
      </c>
    </row>
    <row r="42">
      <c r="A42" s="48">
        <f>ROW()-ROW(Table_Action_Type[N])</f>
        <v>15</v>
      </c>
      <c r="B42" s="48" t="s">
        <v>1334</v>
      </c>
    </row>
    <row r="43">
      <c r="A43" s="48">
        <f>ROW()-ROW(Table_Action_Type[N])</f>
        <v>16</v>
      </c>
      <c r="B43" s="48" t="s">
        <v>1350</v>
      </c>
    </row>
    <row r="44">
      <c r="A44" s="48">
        <f>ROW()-ROW(Table_Action_Type[N])</f>
        <v>17</v>
      </c>
      <c r="B44" s="48" t="s">
        <v>1387</v>
      </c>
    </row>
    <row r="45">
      <c r="A45" s="48">
        <f>ROW()-ROW(Table_Action_Type[N])</f>
        <v>18</v>
      </c>
      <c r="B45" s="48" t="s">
        <v>1367</v>
      </c>
    </row>
    <row r="46">
      <c r="A46" s="48">
        <f>ROW()-ROW(Table_Action_Type[N])</f>
        <v>19</v>
      </c>
      <c r="B46" s="48" t="s">
        <v>1773</v>
      </c>
    </row>
    <row r="47">
      <c r="A47" s="48">
        <f>ROW()-ROW(Table_Action_Type[N])</f>
        <v>20</v>
      </c>
      <c r="B47" s="48" t="s">
        <v>1516</v>
      </c>
    </row>
    <row r="48">
      <c r="A48" s="48">
        <f>ROW()-ROW(Table_Action_Type[N])</f>
        <v>21</v>
      </c>
      <c r="B48" s="48" t="s">
        <v>1647</v>
      </c>
    </row>
    <row r="49">
      <c r="A49" s="48">
        <f>ROW()-ROW(Table_Action_Type[N])</f>
        <v>22</v>
      </c>
      <c r="B49" s="48" t="s">
        <v>1488</v>
      </c>
    </row>
    <row r="50">
      <c r="A50" s="48">
        <f>ROW()-ROW(Table_Action_Type[N])</f>
        <v>23</v>
      </c>
      <c r="B50" s="48" t="s">
        <v>1558</v>
      </c>
    </row>
    <row r="51">
      <c r="A51" s="48">
        <f>ROW()-ROW(Table_Action_Type[N])</f>
        <v>24</v>
      </c>
      <c r="B51" s="48" t="s">
        <v>1564</v>
      </c>
    </row>
    <row r="52">
      <c r="A52" s="48">
        <f>ROW()-ROW(Table_Action_Type[N])</f>
        <v>25</v>
      </c>
      <c r="B52" s="48" t="s">
        <v>1844</v>
      </c>
    </row>
    <row r="53">
      <c r="A53" s="48">
        <f>ROW()-ROW(Table_Action_Type[N])</f>
        <v>26</v>
      </c>
      <c r="B53" s="48" t="s">
        <v>1581</v>
      </c>
    </row>
    <row r="54">
      <c r="A54" s="48">
        <f>ROW()-ROW(Table_Action_Type[N])</f>
        <v>27</v>
      </c>
      <c r="B54" s="48" t="s">
        <v>1612</v>
      </c>
    </row>
    <row r="55">
      <c r="A55" s="48">
        <f>ROW()-ROW(Table_Action_Type[N])</f>
        <v>28</v>
      </c>
      <c r="B55" s="48" t="s">
        <v>1614</v>
      </c>
    </row>
    <row r="56">
      <c r="A56" s="48">
        <f>ROW()-ROW(Table_Action_Type[N])</f>
        <v>29</v>
      </c>
      <c r="B56" s="48" t="s">
        <v>1729</v>
      </c>
    </row>
    <row r="57">
      <c r="A57" s="48">
        <f>ROW()-ROW(Table_Action_Type[N])</f>
        <v>30</v>
      </c>
      <c r="B57" s="48" t="s">
        <v>1307</v>
      </c>
    </row>
    <row r="59">
      <c r="A59" s="1" t="s">
        <v>49</v>
      </c>
      <c r="B59" s="1" t="s">
        <v>4383</v>
      </c>
      <c r="C59" s="64" t="s">
        <v>4384</v>
      </c>
    </row>
    <row r="60">
      <c r="A60" s="48">
        <f>ROW()-ROW(Table_Animation_Trigger[N])</f>
        <v>0</v>
      </c>
      <c r="B60" s="48" t="s">
        <v>1299</v>
      </c>
      <c r="C60" s="48" t="s">
        <v>4385</v>
      </c>
    </row>
    <row r="61">
      <c r="A61" s="48">
        <f>ROW()-ROW(Table_Animation_Trigger[N])</f>
        <v>1</v>
      </c>
      <c r="B61" s="48" t="s">
        <v>1521</v>
      </c>
      <c r="C61" s="48" t="s">
        <v>4386</v>
      </c>
    </row>
    <row r="62">
      <c r="A62" s="48">
        <f>ROW()-ROW(Table_Animation_Trigger[N])</f>
        <v>2</v>
      </c>
      <c r="B62" s="48" t="s">
        <v>1495</v>
      </c>
    </row>
    <row r="63">
      <c r="A63" s="48">
        <f>ROW()-ROW(Table_Animation_Trigger[N])</f>
        <v>3</v>
      </c>
      <c r="B63" s="48" t="s">
        <v>1500</v>
      </c>
    </row>
    <row r="64">
      <c r="A64" s="48">
        <f>ROW()-ROW(Table_Animation_Trigger[N])</f>
        <v>4</v>
      </c>
      <c r="B64" s="48" t="s">
        <v>1373</v>
      </c>
    </row>
    <row r="65">
      <c r="A65" s="48">
        <f>ROW()-ROW(Table_Animation_Trigger[N])</f>
        <v>5</v>
      </c>
      <c r="B65" s="48" t="s">
        <v>1378</v>
      </c>
    </row>
    <row r="66">
      <c r="A66" s="48">
        <f>ROW()-ROW(Table_Animation_Trigger[N])</f>
        <v>6</v>
      </c>
      <c r="B66" s="48" t="s">
        <v>4387</v>
      </c>
    </row>
    <row r="67">
      <c r="A67" s="48">
        <f>ROW()-ROW(Table_Animation_Trigger[N])</f>
        <v>7</v>
      </c>
      <c r="B67" s="48" t="s">
        <v>4165</v>
      </c>
    </row>
    <row r="68">
      <c r="A68" s="48">
        <f>ROW()-ROW(Table_Animation_Trigger[N])</f>
        <v>8</v>
      </c>
      <c r="B68" s="48" t="s">
        <v>1694</v>
      </c>
    </row>
    <row r="69">
      <c r="A69" s="48">
        <f>ROW()-ROW(Table_Animation_Trigger[N])</f>
        <v>9</v>
      </c>
      <c r="B69" s="48" t="s">
        <v>1819</v>
      </c>
      <c r="C69" s="48"/>
    </row>
    <row r="70">
      <c r="A70" s="48">
        <f>ROW()-ROW(Table_Animation_Trigger[N])</f>
        <v>10</v>
      </c>
      <c r="B70" s="48" t="s">
        <v>1933</v>
      </c>
      <c r="C70" s="48"/>
    </row>
    <row r="71">
      <c r="A71" s="48">
        <f>ROW()-ROW(Table_Animation_Trigger[N])</f>
        <v>11</v>
      </c>
      <c r="B71" s="48" t="s">
        <v>4388</v>
      </c>
      <c r="C71" s="48"/>
    </row>
    <row r="72">
      <c r="A72" s="48">
        <f>ROW()-ROW(Table_Animation_Trigger[N])</f>
        <v>12</v>
      </c>
      <c r="B72" s="48" t="s">
        <v>4389</v>
      </c>
      <c r="C72" s="48"/>
    </row>
    <row r="73">
      <c r="A73" s="48">
        <f>ROW()-ROW(Table_Animation_Trigger[N])</f>
        <v>13</v>
      </c>
      <c r="B73" s="48" t="s">
        <v>4390</v>
      </c>
      <c r="C73" s="48"/>
    </row>
    <row r="74">
      <c r="A74" s="48">
        <f>ROW()-ROW(Table_Animation_Trigger[N])</f>
        <v>14</v>
      </c>
      <c r="B74" s="48" t="s">
        <v>4391</v>
      </c>
      <c r="C74" s="48"/>
    </row>
    <row r="75">
      <c r="A75" s="48">
        <f>ROW()-ROW(Table_Animation_Trigger[N])</f>
        <v>15</v>
      </c>
      <c r="B75" s="48" t="s">
        <v>4392</v>
      </c>
      <c r="C75" s="48"/>
    </row>
    <row r="76">
      <c r="A76" s="48">
        <f>ROW()-ROW(Table_Animation_Trigger[N])</f>
        <v>16</v>
      </c>
      <c r="B76" s="48" t="s">
        <v>4393</v>
      </c>
      <c r="C76" s="48"/>
    </row>
    <row r="77">
      <c r="A77" s="48">
        <f>ROW()-ROW(Table_Animation_Trigger[N])</f>
        <v>17</v>
      </c>
      <c r="B77" s="48" t="s">
        <v>3408</v>
      </c>
      <c r="C77" s="48" t="s">
        <v>4394</v>
      </c>
    </row>
    <row r="78">
      <c r="A78" s="48">
        <f>ROW()-ROW(Table_Animation_Trigger[N])</f>
        <v>18</v>
      </c>
      <c r="B78" s="48" t="s">
        <v>1925</v>
      </c>
    </row>
    <row r="79">
      <c r="A79" s="48">
        <f>ROW()-ROW(Table_Animation_Trigger[N])</f>
        <v>19</v>
      </c>
      <c r="B79" s="48" t="s">
        <v>1634</v>
      </c>
    </row>
    <row r="80">
      <c r="A80" s="48">
        <f>ROW()-ROW(Table_Animation_Trigger[N])</f>
        <v>20</v>
      </c>
      <c r="B80" s="48" t="s">
        <v>3512</v>
      </c>
    </row>
    <row r="81">
      <c r="A81" s="48">
        <f>ROW()-ROW(Table_Animation_Trigger[N])</f>
        <v>21</v>
      </c>
      <c r="B81" s="48" t="s">
        <v>1725</v>
      </c>
    </row>
    <row r="82">
      <c r="A82" s="48">
        <f>ROW()-ROW(Table_Animation_Trigger[N])</f>
        <v>22</v>
      </c>
      <c r="B82" s="48" t="s">
        <v>1747</v>
      </c>
    </row>
    <row r="83">
      <c r="A83" s="48">
        <f>ROW()-ROW(Table_Animation_Trigger[N])</f>
        <v>23</v>
      </c>
      <c r="B83" s="48" t="s">
        <v>4395</v>
      </c>
    </row>
    <row r="84">
      <c r="A84" s="48">
        <f>ROW()-ROW(Table_Animation_Trigger[N])</f>
        <v>24</v>
      </c>
      <c r="B84" s="48" t="s">
        <v>4396</v>
      </c>
    </row>
    <row r="85">
      <c r="A85" s="48">
        <f>ROW()-ROW(Table_Animation_Trigger[N])</f>
        <v>25</v>
      </c>
      <c r="B85" s="48" t="s">
        <v>4397</v>
      </c>
      <c r="C85" s="48"/>
    </row>
    <row r="86">
      <c r="A86" s="48">
        <f>ROW()-ROW(Table_Animation_Trigger[N])</f>
        <v>26</v>
      </c>
      <c r="B86" s="48" t="s">
        <v>4398</v>
      </c>
      <c r="C86" s="48"/>
    </row>
    <row r="87">
      <c r="A87" s="48">
        <f>ROW()-ROW(Table_Animation_Trigger[N])</f>
        <v>27</v>
      </c>
      <c r="B87" s="48" t="s">
        <v>4399</v>
      </c>
      <c r="C87" s="48"/>
    </row>
    <row r="88">
      <c r="A88" s="48">
        <f>ROW()-ROW(Table_Animation_Trigger[N])</f>
        <v>28</v>
      </c>
      <c r="B88" s="48" t="s">
        <v>4400</v>
      </c>
      <c r="C88" s="48"/>
    </row>
    <row r="89">
      <c r="A89" s="48">
        <f>ROW()-ROW(Table_Animation_Trigger[N])</f>
        <v>29</v>
      </c>
      <c r="B89" s="48" t="s">
        <v>1380</v>
      </c>
      <c r="C89" s="48" t="s">
        <v>4401</v>
      </c>
    </row>
    <row r="90">
      <c r="A90" s="48">
        <f>ROW()-ROW(Table_Animation_Trigger[N])</f>
        <v>30</v>
      </c>
      <c r="B90" s="48" t="s">
        <v>1375</v>
      </c>
    </row>
    <row r="91">
      <c r="A91" s="48">
        <f>ROW()-ROW(Table_Animation_Trigger[N])</f>
        <v>31</v>
      </c>
      <c r="B91" s="48" t="s">
        <v>4402</v>
      </c>
    </row>
    <row r="92">
      <c r="A92" s="48">
        <f>ROW()-ROW(Table_Animation_Trigger[N])</f>
        <v>32</v>
      </c>
      <c r="B92" s="48" t="s">
        <v>4403</v>
      </c>
    </row>
    <row r="93">
      <c r="A93" s="48">
        <f>ROW()-ROW(Table_Animation_Trigger[N])</f>
        <v>33</v>
      </c>
      <c r="B93" s="48" t="s">
        <v>4404</v>
      </c>
      <c r="C93" s="48"/>
    </row>
    <row r="94">
      <c r="A94" s="48">
        <f>ROW()-ROW(Table_Animation_Trigger[N])</f>
        <v>34</v>
      </c>
      <c r="B94" s="48" t="s">
        <v>4405</v>
      </c>
      <c r="C94" s="48"/>
    </row>
    <row r="95">
      <c r="A95" s="48">
        <f>ROW()-ROW(Table_Animation_Trigger[N])</f>
        <v>35</v>
      </c>
      <c r="B95" s="48" t="s">
        <v>4406</v>
      </c>
      <c r="C95" s="48"/>
    </row>
    <row r="96">
      <c r="A96" s="48">
        <f>ROW()-ROW(Table_Animation_Trigger[N])</f>
        <v>36</v>
      </c>
      <c r="B96" s="48" t="s">
        <v>4407</v>
      </c>
      <c r="C96" s="48"/>
    </row>
    <row r="97">
      <c r="A97" s="48">
        <f>ROW()-ROW(Table_Animation_Trigger[N])</f>
        <v>37</v>
      </c>
      <c r="B97" s="48" t="s">
        <v>3404</v>
      </c>
      <c r="C97" s="48" t="s">
        <v>4408</v>
      </c>
    </row>
    <row r="98">
      <c r="A98" s="48">
        <f>ROW()-ROW(Table_Animation_Trigger[N])</f>
        <v>38</v>
      </c>
      <c r="B98" s="48" t="s">
        <v>3385</v>
      </c>
    </row>
    <row r="99">
      <c r="A99" s="48">
        <f>ROW()-ROW(Table_Animation_Trigger[N])</f>
        <v>39</v>
      </c>
      <c r="B99" s="48" t="s">
        <v>3517</v>
      </c>
    </row>
    <row r="100">
      <c r="A100" s="48">
        <f>ROW()-ROW(Table_Animation_Trigger[N])</f>
        <v>40</v>
      </c>
      <c r="B100" s="48" t="s">
        <v>4409</v>
      </c>
    </row>
    <row r="101">
      <c r="A101" s="48">
        <f>ROW()-ROW(Table_Animation_Trigger[N])</f>
        <v>41</v>
      </c>
      <c r="B101" s="48" t="s">
        <v>4410</v>
      </c>
      <c r="C101" s="48"/>
    </row>
    <row r="102">
      <c r="A102" s="48">
        <f>ROW()-ROW(Table_Animation_Trigger[N])</f>
        <v>42</v>
      </c>
      <c r="B102" s="48" t="s">
        <v>4411</v>
      </c>
      <c r="C102" s="48"/>
    </row>
    <row r="103">
      <c r="A103" s="48">
        <f>ROW()-ROW(Table_Animation_Trigger[N])</f>
        <v>43</v>
      </c>
      <c r="B103" s="48" t="s">
        <v>4412</v>
      </c>
      <c r="C103" s="48"/>
    </row>
    <row r="104">
      <c r="A104" s="48">
        <f>ROW()-ROW(Table_Animation_Trigger[N])</f>
        <v>44</v>
      </c>
      <c r="B104" s="48" t="s">
        <v>4413</v>
      </c>
      <c r="C104" s="48"/>
    </row>
    <row r="105">
      <c r="A105" s="48">
        <f>ROW()-ROW(Table_Animation_Trigger[N])</f>
        <v>45</v>
      </c>
      <c r="B105" s="48" t="s">
        <v>3911</v>
      </c>
      <c r="C105" s="48" t="s">
        <v>4414</v>
      </c>
    </row>
    <row r="106">
      <c r="A106" s="48">
        <f>ROW()-ROW(Table_Animation_Trigger[N])</f>
        <v>46</v>
      </c>
      <c r="B106" s="48" t="s">
        <v>4415</v>
      </c>
      <c r="C106" s="48" t="s">
        <v>4416</v>
      </c>
    </row>
    <row r="107">
      <c r="A107" s="48">
        <f>ROW()-ROW(Table_Animation_Trigger[N])</f>
        <v>47</v>
      </c>
      <c r="B107" s="48" t="s">
        <v>4417</v>
      </c>
    </row>
    <row r="108">
      <c r="A108" s="48">
        <f>ROW()-ROW(Table_Animation_Trigger[N])</f>
        <v>48</v>
      </c>
      <c r="B108" s="48" t="s">
        <v>4418</v>
      </c>
    </row>
    <row r="109">
      <c r="A109" s="48">
        <f>ROW()-ROW(Table_Animation_Trigger[N])</f>
        <v>49</v>
      </c>
      <c r="B109" s="48" t="s">
        <v>4419</v>
      </c>
    </row>
    <row r="110">
      <c r="A110" s="48">
        <f>ROW()-ROW(Table_Animation_Trigger[N])</f>
        <v>50</v>
      </c>
      <c r="B110" s="48" t="s">
        <v>4420</v>
      </c>
    </row>
    <row r="112">
      <c r="A112" s="1" t="s">
        <v>49</v>
      </c>
      <c r="B112" s="1" t="s">
        <v>4421</v>
      </c>
    </row>
    <row r="113">
      <c r="A113" s="48">
        <f>ROW()-ROW(Table_Item_Family_Type[N])</f>
        <v>0</v>
      </c>
      <c r="B113" s="48" t="s">
        <v>363</v>
      </c>
    </row>
    <row r="114">
      <c r="A114" s="48">
        <f>ROW()-ROW(Table_Item_Family_Type[N])</f>
        <v>1</v>
      </c>
      <c r="B114" s="48" t="s">
        <v>597</v>
      </c>
    </row>
    <row r="115">
      <c r="A115" s="48">
        <f>ROW()-ROW(Table_Item_Family_Type[N])</f>
        <v>2</v>
      </c>
      <c r="B115" s="48" t="s">
        <v>369</v>
      </c>
    </row>
    <row r="116">
      <c r="A116" s="48">
        <f>ROW()-ROW(Table_Item_Family_Type[N])</f>
        <v>3</v>
      </c>
      <c r="B116" s="1" t="s">
        <v>392</v>
      </c>
    </row>
    <row r="117">
      <c r="A117" s="48">
        <f>ROW()-ROW(Table_Item_Family_Type[N])</f>
        <v>4</v>
      </c>
      <c r="B117" s="1" t="s">
        <v>394</v>
      </c>
    </row>
    <row r="118">
      <c r="A118" s="48">
        <f>ROW()-ROW(Table_Item_Family_Type[N])</f>
        <v>5</v>
      </c>
      <c r="B118" s="105" t="s">
        <v>652</v>
      </c>
    </row>
    <row r="119">
      <c r="A119" s="48">
        <f>ROW()-ROW(Table_Item_Family_Type[N])</f>
        <v>6</v>
      </c>
      <c r="B119" s="105" t="s">
        <v>374</v>
      </c>
    </row>
    <row r="121">
      <c r="A121" s="1" t="s">
        <v>49</v>
      </c>
      <c r="B121" s="1" t="s">
        <v>4422</v>
      </c>
    </row>
    <row r="122">
      <c r="A122" s="48">
        <f>ROW()-ROW(Table_Moment_Day[N])</f>
        <v>0</v>
      </c>
      <c r="B122" s="48" t="s">
        <v>777</v>
      </c>
    </row>
    <row r="123">
      <c r="A123" s="48">
        <f>ROW()-ROW(Table_Moment_Day[N])</f>
        <v>1</v>
      </c>
      <c r="B123" s="48" t="s">
        <v>783</v>
      </c>
    </row>
    <row r="124">
      <c r="A124" s="48">
        <f>ROW()-ROW(Table_Moment_Day[N])</f>
        <v>2</v>
      </c>
      <c r="B124" s="48" t="s">
        <v>731</v>
      </c>
    </row>
    <row r="126">
      <c r="A126" s="1" t="s">
        <v>49</v>
      </c>
      <c r="B126" s="1" t="s">
        <v>4423</v>
      </c>
    </row>
    <row r="127">
      <c r="A127" s="48">
        <f>ROW()-ROW(Table_Custom_Function[N])</f>
        <v>0</v>
      </c>
      <c r="B127" s="48" t="s">
        <v>1304</v>
      </c>
    </row>
    <row r="128">
      <c r="A128" s="48">
        <f>ROW()-ROW(Table_Custom_Function[N])</f>
        <v>1</v>
      </c>
      <c r="B128" s="48" t="s">
        <v>1861</v>
      </c>
    </row>
    <row r="129">
      <c r="A129" s="48">
        <f>ROW()-ROW(Table_Custom_Function[N])</f>
        <v>2</v>
      </c>
      <c r="B129" s="48" t="s">
        <v>1862</v>
      </c>
    </row>
    <row r="130">
      <c r="A130" s="48">
        <f>ROW()-ROW(Table_Custom_Function[N])</f>
        <v>3</v>
      </c>
      <c r="B130" s="48" t="s">
        <v>1864</v>
      </c>
    </row>
    <row r="131">
      <c r="A131" s="48">
        <f>ROW()-ROW(Table_Custom_Function[N])</f>
        <v>4</v>
      </c>
      <c r="B131" s="48" t="s">
        <v>1845</v>
      </c>
    </row>
    <row r="132">
      <c r="A132" s="48">
        <f>ROW()-ROW(Table_Custom_Function[N])</f>
        <v>5</v>
      </c>
      <c r="B132" s="48" t="s">
        <v>1846</v>
      </c>
    </row>
    <row r="133">
      <c r="A133" s="48">
        <f>ROW()-ROW(Table_Custom_Function[N])</f>
        <v>6</v>
      </c>
      <c r="B133" s="48" t="s">
        <v>1847</v>
      </c>
    </row>
    <row r="134">
      <c r="A134" s="48">
        <f>ROW()-ROW(Table_Custom_Function[N])</f>
        <v>7</v>
      </c>
      <c r="B134" s="48" t="s">
        <v>1848</v>
      </c>
    </row>
    <row r="135">
      <c r="A135" s="48">
        <f>ROW()-ROW(Table_Custom_Function[N])</f>
        <v>8</v>
      </c>
      <c r="B135" s="48" t="s">
        <v>1849</v>
      </c>
    </row>
    <row r="136">
      <c r="A136" s="48">
        <f>ROW()-ROW(Table_Custom_Function[N])</f>
        <v>9</v>
      </c>
      <c r="B136" s="48" t="s">
        <v>1866</v>
      </c>
    </row>
    <row r="137">
      <c r="A137" s="48">
        <f>ROW()-ROW(Table_Custom_Function[N])</f>
        <v>10</v>
      </c>
      <c r="B137" s="48" t="s">
        <v>1884</v>
      </c>
    </row>
    <row r="138">
      <c r="A138" s="48">
        <f>ROW()-ROW(Table_Custom_Function[N])</f>
        <v>11</v>
      </c>
      <c r="B138" s="48" t="s">
        <v>4424</v>
      </c>
    </row>
  </sheetData>
  <drawing r:id="rId1"/>
  <tableParts count="9">
    <tablePart r:id="rId11"/>
    <tablePart r:id="rId12"/>
    <tablePart r:id="rId13"/>
    <tablePart r:id="rId14"/>
    <tablePart r:id="rId15"/>
    <tablePart r:id="rId16"/>
    <tablePart r:id="rId17"/>
    <tablePart r:id="rId18"/>
    <tablePart r:id="rId19"/>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66.57"/>
    <col customWidth="1" min="3" max="3" width="52.71"/>
    <col customWidth="1" min="4" max="4" width="39.0"/>
    <col customWidth="1" min="5" max="5" width="31.57"/>
    <col customWidth="1" min="6" max="6" width="25.43"/>
    <col customWidth="1" min="7" max="7" width="38.57"/>
  </cols>
  <sheetData>
    <row r="1">
      <c r="A1" s="1" t="s">
        <v>49</v>
      </c>
      <c r="B1" s="1" t="s">
        <v>4425</v>
      </c>
    </row>
    <row r="2">
      <c r="A2" s="48">
        <f t="shared" ref="A2:A80" si="1">ROW()-ROW($A$2)</f>
        <v>0</v>
      </c>
      <c r="B2" s="48" t="s">
        <v>730</v>
      </c>
    </row>
    <row r="3">
      <c r="A3" s="48">
        <f t="shared" si="1"/>
        <v>1</v>
      </c>
      <c r="B3" s="48" t="s">
        <v>4426</v>
      </c>
    </row>
    <row r="4">
      <c r="A4" s="48">
        <f t="shared" si="1"/>
        <v>2</v>
      </c>
      <c r="B4" s="48" t="s">
        <v>4427</v>
      </c>
    </row>
    <row r="5">
      <c r="A5" s="48">
        <f t="shared" si="1"/>
        <v>3</v>
      </c>
      <c r="B5" s="48" t="s">
        <v>1103</v>
      </c>
    </row>
    <row r="6">
      <c r="A6" s="48">
        <f t="shared" si="1"/>
        <v>4</v>
      </c>
      <c r="B6" s="48" t="s">
        <v>740</v>
      </c>
    </row>
    <row r="7">
      <c r="A7" s="48">
        <f t="shared" si="1"/>
        <v>5</v>
      </c>
      <c r="B7" s="48" t="s">
        <v>1110</v>
      </c>
    </row>
    <row r="8">
      <c r="A8" s="48">
        <f t="shared" si="1"/>
        <v>6</v>
      </c>
      <c r="B8" s="48" t="s">
        <v>746</v>
      </c>
    </row>
    <row r="9">
      <c r="A9" s="48">
        <f t="shared" si="1"/>
        <v>7</v>
      </c>
      <c r="B9" s="48" t="s">
        <v>1436</v>
      </c>
    </row>
    <row r="10">
      <c r="A10" s="48">
        <f t="shared" si="1"/>
        <v>8</v>
      </c>
      <c r="B10" s="48" t="s">
        <v>1115</v>
      </c>
    </row>
    <row r="11">
      <c r="A11" s="48">
        <f t="shared" si="1"/>
        <v>9</v>
      </c>
      <c r="B11" s="48" t="s">
        <v>4428</v>
      </c>
    </row>
    <row r="12">
      <c r="A12" s="48">
        <f t="shared" si="1"/>
        <v>10</v>
      </c>
      <c r="B12" s="48" t="s">
        <v>1948</v>
      </c>
    </row>
    <row r="13">
      <c r="A13" s="48">
        <f t="shared" si="1"/>
        <v>11</v>
      </c>
      <c r="B13" s="48" t="s">
        <v>768</v>
      </c>
    </row>
    <row r="14">
      <c r="A14" s="48">
        <f t="shared" si="1"/>
        <v>12</v>
      </c>
      <c r="B14" s="48" t="s">
        <v>1133</v>
      </c>
    </row>
    <row r="15">
      <c r="A15" s="48">
        <f t="shared" si="1"/>
        <v>13</v>
      </c>
      <c r="B15" s="48" t="s">
        <v>795</v>
      </c>
    </row>
    <row r="16">
      <c r="A16" s="48">
        <f t="shared" si="1"/>
        <v>14</v>
      </c>
      <c r="B16" s="48" t="s">
        <v>4429</v>
      </c>
    </row>
    <row r="17">
      <c r="A17" s="48">
        <f t="shared" si="1"/>
        <v>15</v>
      </c>
      <c r="B17" s="48" t="s">
        <v>806</v>
      </c>
    </row>
    <row r="18">
      <c r="A18" s="48">
        <f t="shared" si="1"/>
        <v>16</v>
      </c>
      <c r="B18" s="48" t="s">
        <v>809</v>
      </c>
    </row>
    <row r="19">
      <c r="A19" s="48">
        <f t="shared" si="1"/>
        <v>17</v>
      </c>
      <c r="B19" s="48" t="s">
        <v>1142</v>
      </c>
    </row>
    <row r="20">
      <c r="A20" s="48">
        <f t="shared" si="1"/>
        <v>18</v>
      </c>
      <c r="B20" s="48" t="s">
        <v>821</v>
      </c>
    </row>
    <row r="21">
      <c r="A21" s="48">
        <f t="shared" si="1"/>
        <v>19</v>
      </c>
      <c r="B21" s="48" t="s">
        <v>1148</v>
      </c>
    </row>
    <row r="22">
      <c r="A22" s="48">
        <f t="shared" si="1"/>
        <v>20</v>
      </c>
      <c r="B22" s="48" t="s">
        <v>1151</v>
      </c>
    </row>
    <row r="23">
      <c r="A23" s="48">
        <f t="shared" si="1"/>
        <v>21</v>
      </c>
      <c r="B23" s="48" t="s">
        <v>834</v>
      </c>
    </row>
    <row r="24">
      <c r="A24" s="48">
        <f t="shared" si="1"/>
        <v>22</v>
      </c>
      <c r="B24" s="48" t="s">
        <v>1456</v>
      </c>
    </row>
    <row r="25">
      <c r="A25" s="48">
        <f t="shared" si="1"/>
        <v>23</v>
      </c>
      <c r="B25" s="48" t="s">
        <v>1454</v>
      </c>
    </row>
    <row r="26">
      <c r="A26" s="48">
        <f t="shared" si="1"/>
        <v>24</v>
      </c>
      <c r="B26" s="48" t="s">
        <v>1458</v>
      </c>
    </row>
    <row r="27">
      <c r="A27" s="48">
        <f t="shared" si="1"/>
        <v>25</v>
      </c>
      <c r="B27" s="48" t="s">
        <v>854</v>
      </c>
    </row>
    <row r="28">
      <c r="A28" s="48">
        <f t="shared" si="1"/>
        <v>26</v>
      </c>
      <c r="B28" s="48" t="s">
        <v>859</v>
      </c>
    </row>
    <row r="29">
      <c r="A29" s="48">
        <f t="shared" si="1"/>
        <v>27</v>
      </c>
      <c r="B29" s="48" t="s">
        <v>1157</v>
      </c>
    </row>
    <row r="30">
      <c r="A30" s="48">
        <f t="shared" si="1"/>
        <v>28</v>
      </c>
      <c r="B30" s="48" t="s">
        <v>844</v>
      </c>
    </row>
    <row r="31">
      <c r="A31" s="48">
        <f t="shared" si="1"/>
        <v>29</v>
      </c>
      <c r="B31" s="48" t="s">
        <v>1448</v>
      </c>
    </row>
    <row r="32">
      <c r="A32" s="48">
        <f t="shared" si="1"/>
        <v>30</v>
      </c>
      <c r="B32" s="48" t="s">
        <v>1168</v>
      </c>
    </row>
    <row r="33">
      <c r="A33" s="48">
        <f t="shared" si="1"/>
        <v>31</v>
      </c>
      <c r="B33" s="48" t="s">
        <v>1477</v>
      </c>
    </row>
    <row r="34">
      <c r="A34" s="48">
        <f t="shared" si="1"/>
        <v>32</v>
      </c>
      <c r="B34" s="48" t="s">
        <v>894</v>
      </c>
    </row>
    <row r="35">
      <c r="A35" s="48">
        <f t="shared" si="1"/>
        <v>33</v>
      </c>
      <c r="B35" s="48" t="s">
        <v>1479</v>
      </c>
    </row>
    <row r="36">
      <c r="A36" s="48">
        <f t="shared" si="1"/>
        <v>34</v>
      </c>
      <c r="B36" s="48" t="s">
        <v>1491</v>
      </c>
    </row>
    <row r="37">
      <c r="A37" s="48">
        <f t="shared" si="1"/>
        <v>35</v>
      </c>
      <c r="B37" s="48" t="s">
        <v>4430</v>
      </c>
    </row>
    <row r="38">
      <c r="A38" s="48">
        <f t="shared" si="1"/>
        <v>36</v>
      </c>
      <c r="B38" s="48" t="s">
        <v>1502</v>
      </c>
    </row>
    <row r="39">
      <c r="A39" s="48">
        <f t="shared" si="1"/>
        <v>37</v>
      </c>
      <c r="B39" s="48" t="s">
        <v>1175</v>
      </c>
    </row>
    <row r="40">
      <c r="A40" s="48">
        <f t="shared" si="1"/>
        <v>38</v>
      </c>
      <c r="B40" s="48" t="s">
        <v>1549</v>
      </c>
    </row>
    <row r="41">
      <c r="A41" s="48">
        <f t="shared" si="1"/>
        <v>39</v>
      </c>
      <c r="B41" s="48" t="s">
        <v>1178</v>
      </c>
    </row>
    <row r="42">
      <c r="A42" s="48">
        <f t="shared" si="1"/>
        <v>40</v>
      </c>
      <c r="B42" s="48" t="s">
        <v>1533</v>
      </c>
    </row>
    <row r="43">
      <c r="A43" s="48">
        <f t="shared" si="1"/>
        <v>41</v>
      </c>
      <c r="B43" s="48" t="s">
        <v>1535</v>
      </c>
    </row>
    <row r="44">
      <c r="A44" s="48">
        <f t="shared" si="1"/>
        <v>42</v>
      </c>
      <c r="B44" s="48" t="s">
        <v>1539</v>
      </c>
    </row>
    <row r="45">
      <c r="A45" s="48">
        <f t="shared" si="1"/>
        <v>43</v>
      </c>
      <c r="B45" s="48" t="s">
        <v>1531</v>
      </c>
    </row>
    <row r="46">
      <c r="A46" s="48">
        <f t="shared" si="1"/>
        <v>44</v>
      </c>
      <c r="B46" s="48" t="s">
        <v>1556</v>
      </c>
    </row>
    <row r="47">
      <c r="A47" s="48">
        <f t="shared" si="1"/>
        <v>45</v>
      </c>
      <c r="B47" s="48" t="s">
        <v>1181</v>
      </c>
    </row>
    <row r="48">
      <c r="A48" s="48">
        <f t="shared" si="1"/>
        <v>46</v>
      </c>
      <c r="B48" s="48" t="s">
        <v>1185</v>
      </c>
    </row>
    <row r="49">
      <c r="A49" s="48">
        <f t="shared" si="1"/>
        <v>47</v>
      </c>
      <c r="B49" s="48" t="s">
        <v>1190</v>
      </c>
    </row>
    <row r="50">
      <c r="A50" s="48">
        <f t="shared" si="1"/>
        <v>48</v>
      </c>
      <c r="B50" s="48" t="s">
        <v>933</v>
      </c>
    </row>
    <row r="51">
      <c r="A51" s="48">
        <f t="shared" si="1"/>
        <v>49</v>
      </c>
      <c r="B51" s="48" t="s">
        <v>1199</v>
      </c>
    </row>
    <row r="52">
      <c r="A52" s="48">
        <f t="shared" si="1"/>
        <v>50</v>
      </c>
      <c r="B52" s="48" t="s">
        <v>942</v>
      </c>
    </row>
    <row r="53">
      <c r="A53" s="48">
        <f t="shared" si="1"/>
        <v>51</v>
      </c>
      <c r="B53" s="48" t="s">
        <v>1690</v>
      </c>
    </row>
    <row r="54">
      <c r="A54" s="48">
        <f t="shared" si="1"/>
        <v>52</v>
      </c>
      <c r="B54" s="48" t="s">
        <v>1681</v>
      </c>
    </row>
    <row r="55">
      <c r="A55" s="48">
        <f t="shared" si="1"/>
        <v>53</v>
      </c>
      <c r="B55" s="48" t="s">
        <v>1209</v>
      </c>
    </row>
    <row r="56">
      <c r="A56" s="48">
        <f t="shared" si="1"/>
        <v>54</v>
      </c>
      <c r="B56" s="48" t="s">
        <v>1213</v>
      </c>
    </row>
    <row r="57">
      <c r="A57" s="48">
        <f t="shared" si="1"/>
        <v>55</v>
      </c>
      <c r="B57" s="48" t="s">
        <v>995</v>
      </c>
    </row>
    <row r="58">
      <c r="A58" s="48">
        <f t="shared" si="1"/>
        <v>56</v>
      </c>
      <c r="B58" s="48" t="s">
        <v>1715</v>
      </c>
    </row>
    <row r="59">
      <c r="A59" s="48">
        <f t="shared" si="1"/>
        <v>57</v>
      </c>
      <c r="B59" s="48" t="s">
        <v>1719</v>
      </c>
    </row>
    <row r="60">
      <c r="A60" s="48">
        <f t="shared" si="1"/>
        <v>58</v>
      </c>
      <c r="B60" s="48" t="s">
        <v>1226</v>
      </c>
    </row>
    <row r="61">
      <c r="A61" s="48">
        <f t="shared" si="1"/>
        <v>59</v>
      </c>
      <c r="B61" s="48" t="s">
        <v>1229</v>
      </c>
    </row>
    <row r="62">
      <c r="A62" s="48">
        <f t="shared" si="1"/>
        <v>60</v>
      </c>
      <c r="B62" s="48" t="s">
        <v>1232</v>
      </c>
    </row>
    <row r="63">
      <c r="A63" s="48">
        <f t="shared" si="1"/>
        <v>61</v>
      </c>
      <c r="B63" s="48" t="s">
        <v>1759</v>
      </c>
    </row>
    <row r="64">
      <c r="A64" s="48">
        <f t="shared" si="1"/>
        <v>62</v>
      </c>
      <c r="B64" s="48" t="s">
        <v>1238</v>
      </c>
    </row>
    <row r="65">
      <c r="A65" s="48">
        <f t="shared" si="1"/>
        <v>63</v>
      </c>
      <c r="B65" s="48" t="s">
        <v>4431</v>
      </c>
    </row>
    <row r="66">
      <c r="A66" s="48">
        <f t="shared" si="1"/>
        <v>64</v>
      </c>
      <c r="B66" s="48" t="s">
        <v>1790</v>
      </c>
    </row>
    <row r="67">
      <c r="A67" s="48">
        <f t="shared" si="1"/>
        <v>65</v>
      </c>
      <c r="B67" s="48" t="s">
        <v>1008</v>
      </c>
    </row>
    <row r="68">
      <c r="A68" s="48">
        <f t="shared" si="1"/>
        <v>66</v>
      </c>
      <c r="B68" s="48" t="s">
        <v>1013</v>
      </c>
    </row>
    <row r="69">
      <c r="A69" s="48">
        <f t="shared" si="1"/>
        <v>67</v>
      </c>
      <c r="B69" s="48" t="s">
        <v>1811</v>
      </c>
    </row>
    <row r="70">
      <c r="A70" s="48">
        <f t="shared" si="1"/>
        <v>68</v>
      </c>
      <c r="B70" s="48" t="s">
        <v>1826</v>
      </c>
    </row>
    <row r="71">
      <c r="A71" s="48">
        <f t="shared" si="1"/>
        <v>69</v>
      </c>
      <c r="B71" s="48" t="s">
        <v>1043</v>
      </c>
    </row>
    <row r="72">
      <c r="A72" s="48">
        <f t="shared" si="1"/>
        <v>70</v>
      </c>
      <c r="B72" s="48" t="s">
        <v>1828</v>
      </c>
    </row>
    <row r="73">
      <c r="A73" s="48">
        <f t="shared" si="1"/>
        <v>71</v>
      </c>
      <c r="B73" s="48" t="s">
        <v>1882</v>
      </c>
    </row>
    <row r="74">
      <c r="A74" s="48">
        <f t="shared" si="1"/>
        <v>72</v>
      </c>
      <c r="B74" s="48" t="s">
        <v>1870</v>
      </c>
    </row>
    <row r="75">
      <c r="A75" s="48">
        <f t="shared" si="1"/>
        <v>73</v>
      </c>
      <c r="B75" s="48" t="s">
        <v>1021</v>
      </c>
    </row>
    <row r="76">
      <c r="A76" s="48">
        <f t="shared" si="1"/>
        <v>74</v>
      </c>
      <c r="B76" s="48" t="s">
        <v>1914</v>
      </c>
    </row>
    <row r="77">
      <c r="A77" s="48">
        <f t="shared" si="1"/>
        <v>75</v>
      </c>
      <c r="B77" s="48" t="s">
        <v>1971</v>
      </c>
    </row>
    <row r="78">
      <c r="A78" s="48">
        <f t="shared" si="1"/>
        <v>76</v>
      </c>
      <c r="B78" s="48" t="s">
        <v>1961</v>
      </c>
    </row>
    <row r="79">
      <c r="A79" s="48">
        <f t="shared" si="1"/>
        <v>77</v>
      </c>
      <c r="B79" s="48" t="s">
        <v>1973</v>
      </c>
    </row>
    <row r="80">
      <c r="A80" s="48">
        <f t="shared" si="1"/>
        <v>78</v>
      </c>
      <c r="B80" s="48" t="s">
        <v>4432</v>
      </c>
    </row>
    <row r="82">
      <c r="A82" s="1" t="s">
        <v>49</v>
      </c>
      <c r="B82" s="1" t="s">
        <v>4433</v>
      </c>
      <c r="C82" s="106" t="s">
        <v>350</v>
      </c>
      <c r="D82" s="106" t="s">
        <v>4434</v>
      </c>
      <c r="E82" s="106" t="s">
        <v>4435</v>
      </c>
      <c r="F82" s="106" t="s">
        <v>4436</v>
      </c>
      <c r="G82" s="106" t="s">
        <v>4437</v>
      </c>
    </row>
    <row r="83">
      <c r="A83" s="48">
        <f>ROW()-ROW(Table_Memento_Parent[N])</f>
        <v>0</v>
      </c>
      <c r="B83" s="48" t="s">
        <v>4438</v>
      </c>
      <c r="C83" s="50" t="s">
        <v>362</v>
      </c>
      <c r="D83" s="50" t="s">
        <v>364</v>
      </c>
      <c r="E83" s="50" t="s">
        <v>361</v>
      </c>
      <c r="F83" s="50" t="s">
        <v>732</v>
      </c>
      <c r="G83" s="107" t="str">
        <f>IFERROR(__xludf.DUMMYFUNCTION("ArrayFormula(SUBSTITUTE(SUBSTITUTE(JOIN(""|"",UNIQUE(IF(Table_Memento[Parent]=B83,Table_Memento[MEMENTO_ID],""Ñ""))),""Ñ|"",""""),""|Ñ"",""""))"),"MEMENTO_NONE")</f>
        <v>MEMENTO_NONE</v>
      </c>
    </row>
    <row r="84">
      <c r="A84" s="48">
        <f>ROW()-ROW(Table_Memento_Parent[N])</f>
        <v>1</v>
      </c>
      <c r="B84" s="48" t="s">
        <v>4439</v>
      </c>
      <c r="C84" s="50" t="s">
        <v>651</v>
      </c>
      <c r="D84" s="50" t="s">
        <v>653</v>
      </c>
      <c r="E84" s="50" t="s">
        <v>650</v>
      </c>
      <c r="F84" s="50" t="s">
        <v>13</v>
      </c>
      <c r="G84" s="107" t="str">
        <f>IFERROR(__xludf.DUMMYFUNCTION("ArrayFormula(SUBSTITUTE(SUBSTITUTE(JOIN(""|"",UNIQUE(IF(Table_Memento[Parent]=B84,Table_Memento[MEMENTO_ID],""Ñ""))),""Ñ|"",""""),""|Ñ"",""""))"),"MEMENTO_JOB_FIND_1_1|MEMENTO_JOB_FIND_1_2|MEMENTO_JOB_FIND_1_3")</f>
        <v>MEMENTO_JOB_FIND_1_1|MEMENTO_JOB_FIND_1_2|MEMENTO_JOB_FIND_1_3</v>
      </c>
    </row>
    <row r="85">
      <c r="A85" s="48">
        <f>ROW()-ROW(Table_Memento_Parent[N])</f>
        <v>2</v>
      </c>
      <c r="B85" s="48" t="s">
        <v>4440</v>
      </c>
      <c r="C85" s="50" t="s">
        <v>655</v>
      </c>
      <c r="D85" s="50" t="s">
        <v>656</v>
      </c>
      <c r="E85" s="50" t="s">
        <v>654</v>
      </c>
      <c r="F85" s="50" t="s">
        <v>13</v>
      </c>
      <c r="G85" s="107" t="str">
        <f>IFERROR(__xludf.DUMMYFUNCTION("ArrayFormula(SUBSTITUTE(SUBSTITUTE(JOIN(""|"",UNIQUE(IF(Table_Memento[Parent]=B85,Table_Memento[MEMENTO_ID],""Ñ""))),""Ñ|"",""""),""|Ñ"",""""))"),"MEMENTO_REME_1|MEMENTO_REME_2")</f>
        <v>MEMENTO_REME_1|MEMENTO_REME_2</v>
      </c>
    </row>
    <row r="86">
      <c r="A86" s="48">
        <f>ROW()-ROW(Table_Memento_Parent[N])</f>
        <v>3</v>
      </c>
      <c r="B86" s="48" t="s">
        <v>4441</v>
      </c>
      <c r="C86" s="50" t="s">
        <v>714</v>
      </c>
      <c r="D86" s="50" t="s">
        <v>715</v>
      </c>
      <c r="E86" s="50" t="s">
        <v>713</v>
      </c>
      <c r="F86" s="50" t="s">
        <v>13</v>
      </c>
      <c r="G86" s="107" t="str">
        <f>IFERROR(__xludf.DUMMYFUNCTION("ArrayFormula(SUBSTITUTE(SUBSTITUTE(JOIN(""|"",UNIQUE(IF(Table_Memento[Parent]=B86,Table_Memento[MEMENTO_ID],""Ñ""))),""Ñ|"",""""),""|Ñ"",""""))"),"MEMENTO_RECIPE_MISSION_1|MEMENTO_RECIPE_MISSION_2|MEMENTO_RECIPE_MISSION_3")</f>
        <v>MEMENTO_RECIPE_MISSION_1|MEMENTO_RECIPE_MISSION_2|MEMENTO_RECIPE_MISSION_3</v>
      </c>
    </row>
    <row r="87">
      <c r="A87" s="48">
        <f>ROW()-ROW(Table_Memento_Parent[N])</f>
        <v>4</v>
      </c>
      <c r="B87" s="48" t="s">
        <v>4442</v>
      </c>
      <c r="C87" s="50" t="s">
        <v>659</v>
      </c>
      <c r="D87" s="50" t="s">
        <v>660</v>
      </c>
      <c r="E87" s="50" t="s">
        <v>658</v>
      </c>
      <c r="F87" s="50" t="s">
        <v>13</v>
      </c>
      <c r="G87" s="107" t="str">
        <f>IFERROR(__xludf.DUMMYFUNCTION("ArrayFormula(SUBSTITUTE(SUBSTITUTE(JOIN(""|"",UNIQUE(IF(Table_Memento[Parent]=B87,Table_Memento[MEMENTO_ID],""Ñ""))),""Ñ|"",""""),""|Ñ"",""""))"),"MEMENTO_ROACHES_1|MEMENTO_ROACHES_2")</f>
        <v>MEMENTO_ROACHES_1|MEMENTO_ROACHES_2</v>
      </c>
    </row>
    <row r="88">
      <c r="A88" s="48">
        <f>ROW()-ROW(Table_Memento_Parent[N])</f>
        <v>5</v>
      </c>
      <c r="B88" s="48" t="s">
        <v>4443</v>
      </c>
      <c r="C88" s="50" t="s">
        <v>3362</v>
      </c>
      <c r="D88" s="50" t="s">
        <v>2130</v>
      </c>
      <c r="E88" s="50" t="s">
        <v>361</v>
      </c>
      <c r="F88" s="50" t="s">
        <v>13</v>
      </c>
      <c r="G88" s="107" t="str">
        <f>IFERROR(__xludf.DUMMYFUNCTION("ArrayFormula(SUBSTITUTE(SUBSTITUTE(JOIN(""|"",UNIQUE(IF(Table_Memento[Parent]=B88,Table_Memento[MEMENTO_ID],""Ñ""))),""Ñ|"",""""),""|Ñ"",""""))"),"MEMENTO_HIVE_LAB_1|MEMENTO_HIVE_LAB_2|MEMENTO_HIVE_LAB_3")</f>
        <v>MEMENTO_HIVE_LAB_1|MEMENTO_HIVE_LAB_2|MEMENTO_HIVE_LAB_3</v>
      </c>
    </row>
    <row r="89">
      <c r="A89" s="48">
        <f>ROW()-ROW(Table_Memento_Parent[N])</f>
        <v>6</v>
      </c>
      <c r="B89" s="48" t="s">
        <v>44</v>
      </c>
      <c r="C89" s="50" t="s">
        <v>3260</v>
      </c>
      <c r="D89" s="50" t="s">
        <v>45</v>
      </c>
      <c r="E89" s="50" t="s">
        <v>361</v>
      </c>
      <c r="F89" s="50" t="s">
        <v>13</v>
      </c>
      <c r="G89" s="107" t="str">
        <f>IFERROR(__xludf.DUMMYFUNCTION("ArrayFormula(SUBSTITUTE(SUBSTITUTE(JOIN(""|"",UNIQUE(IF(Table_Memento[Parent]=B89,Table_Memento[MEMENTO_ID],""Ñ""))),""Ñ|"",""""),""|Ñ"",""""))"),"MEMENTO_POOR_MAN_WC_1|MEMENTO_POOR_MAN_WC_2|MEMENTO_POOR_MAN_WC_3")</f>
        <v>MEMENTO_POOR_MAN_WC_1|MEMENTO_POOR_MAN_WC_2|MEMENTO_POOR_MAN_WC_3</v>
      </c>
    </row>
    <row r="90">
      <c r="A90" s="48">
        <f>ROW()-ROW(Table_Memento_Parent[N])</f>
        <v>7</v>
      </c>
      <c r="B90" s="48" t="s">
        <v>4444</v>
      </c>
      <c r="C90" s="50" t="s">
        <v>720</v>
      </c>
      <c r="D90" s="50" t="s">
        <v>364</v>
      </c>
      <c r="E90" s="50" t="s">
        <v>361</v>
      </c>
      <c r="F90" s="50" t="s">
        <v>13</v>
      </c>
      <c r="G90" s="107" t="str">
        <f>IFERROR(__xludf.DUMMYFUNCTION("ArrayFormula(SUBSTITUTE(SUBSTITUTE(JOIN(""|"",UNIQUE(IF(Table_Memento[Parent]=B90,Table_Memento[MEMENTO_ID],""Ñ""))),""Ñ|"",""""),""|Ñ"",""""))"),"MEMENTO_LAST")</f>
        <v>MEMENTO_LAST</v>
      </c>
    </row>
    <row r="92">
      <c r="A92" s="1" t="s">
        <v>49</v>
      </c>
      <c r="B92" s="1" t="s">
        <v>4445</v>
      </c>
      <c r="C92" s="105" t="s">
        <v>4446</v>
      </c>
      <c r="D92" s="105" t="s">
        <v>3187</v>
      </c>
      <c r="E92" s="105" t="s">
        <v>4447</v>
      </c>
    </row>
    <row r="93">
      <c r="A93" s="48">
        <f>ROW()-ROW(Table_Memento[N])</f>
        <v>0</v>
      </c>
      <c r="B93" s="48" t="s">
        <v>1294</v>
      </c>
      <c r="C93" s="63" t="s">
        <v>4438</v>
      </c>
      <c r="D93" s="63" t="s">
        <v>1298</v>
      </c>
      <c r="E93" s="62" t="b">
        <v>0</v>
      </c>
    </row>
    <row r="94">
      <c r="A94" s="48">
        <f>ROW()-ROW(Table_Memento[N])</f>
        <v>1</v>
      </c>
      <c r="B94" s="48" t="s">
        <v>1313</v>
      </c>
      <c r="C94" s="63" t="s">
        <v>4439</v>
      </c>
      <c r="D94" s="63" t="s">
        <v>3429</v>
      </c>
      <c r="E94" s="62" t="b">
        <v>0</v>
      </c>
    </row>
    <row r="95">
      <c r="A95" s="48">
        <f>ROW()-ROW(Table_Memento[N])</f>
        <v>2</v>
      </c>
      <c r="B95" s="48" t="s">
        <v>1332</v>
      </c>
      <c r="C95" s="63" t="s">
        <v>4439</v>
      </c>
      <c r="D95" s="63" t="s">
        <v>1354</v>
      </c>
      <c r="E95" s="62" t="b">
        <v>0</v>
      </c>
    </row>
    <row r="96">
      <c r="A96" s="48">
        <f>ROW()-ROW(Table_Memento[N])</f>
        <v>3</v>
      </c>
      <c r="B96" s="48" t="s">
        <v>1337</v>
      </c>
      <c r="C96" s="63" t="s">
        <v>4439</v>
      </c>
      <c r="D96" s="63" t="s">
        <v>3506</v>
      </c>
      <c r="E96" s="62" t="b">
        <v>0</v>
      </c>
    </row>
    <row r="97">
      <c r="A97" s="48">
        <f>ROW()-ROW(Table_Memento[N])</f>
        <v>4</v>
      </c>
      <c r="B97" s="48" t="s">
        <v>1784</v>
      </c>
      <c r="C97" s="63" t="s">
        <v>4440</v>
      </c>
      <c r="D97" s="63" t="s">
        <v>4195</v>
      </c>
      <c r="E97" s="62" t="b">
        <v>0</v>
      </c>
    </row>
    <row r="98">
      <c r="A98" s="48">
        <f>ROW()-ROW(Table_Memento[N])</f>
        <v>5</v>
      </c>
      <c r="B98" s="48" t="s">
        <v>1788</v>
      </c>
      <c r="C98" s="63" t="s">
        <v>4440</v>
      </c>
      <c r="D98" s="63" t="s">
        <v>4207</v>
      </c>
      <c r="E98" s="62" t="b">
        <v>0</v>
      </c>
    </row>
    <row r="99">
      <c r="A99" s="48">
        <f>ROW()-ROW(Table_Memento[N])</f>
        <v>6</v>
      </c>
      <c r="B99" s="48" t="s">
        <v>1786</v>
      </c>
      <c r="C99" s="63" t="s">
        <v>4442</v>
      </c>
      <c r="D99" s="63" t="s">
        <v>4205</v>
      </c>
      <c r="E99" s="62" t="b">
        <v>0</v>
      </c>
    </row>
    <row r="100">
      <c r="A100" s="48">
        <f>ROW()-ROW(Table_Memento[N])</f>
        <v>7</v>
      </c>
      <c r="B100" s="48" t="s">
        <v>1795</v>
      </c>
      <c r="C100" s="63" t="s">
        <v>4442</v>
      </c>
      <c r="D100" s="63" t="s">
        <v>4210</v>
      </c>
      <c r="E100" s="62" t="b">
        <v>0</v>
      </c>
    </row>
    <row r="101">
      <c r="A101" s="48">
        <f>ROW()-ROW(Table_Memento[N])</f>
        <v>8</v>
      </c>
      <c r="B101" s="48" t="s">
        <v>1813</v>
      </c>
      <c r="C101" s="63" t="s">
        <v>4443</v>
      </c>
      <c r="D101" s="63" t="s">
        <v>4234</v>
      </c>
      <c r="E101" s="62" t="b">
        <v>0</v>
      </c>
    </row>
    <row r="102">
      <c r="A102" s="48">
        <f>ROW()-ROW(Table_Memento[N])</f>
        <v>9</v>
      </c>
      <c r="B102" s="48" t="s">
        <v>1808</v>
      </c>
      <c r="C102" s="63" t="s">
        <v>4443</v>
      </c>
      <c r="D102" s="63" t="s">
        <v>4236</v>
      </c>
      <c r="E102" s="62" t="b">
        <v>0</v>
      </c>
    </row>
    <row r="103">
      <c r="A103" s="48">
        <f>ROW()-ROW(Table_Memento[N])</f>
        <v>10</v>
      </c>
      <c r="B103" s="48" t="s">
        <v>1872</v>
      </c>
      <c r="C103" s="63" t="s">
        <v>4443</v>
      </c>
      <c r="D103" s="63" t="s">
        <v>4238</v>
      </c>
      <c r="E103" s="62" t="b">
        <v>1</v>
      </c>
    </row>
    <row r="104">
      <c r="A104" s="48">
        <f>ROW()-ROW(Table_Memento[N])</f>
        <v>11</v>
      </c>
      <c r="B104" s="48" t="s">
        <v>1339</v>
      </c>
      <c r="C104" s="63" t="s">
        <v>4441</v>
      </c>
      <c r="D104" s="63" t="s">
        <v>3503</v>
      </c>
      <c r="E104" s="62" t="b">
        <v>0</v>
      </c>
    </row>
    <row r="105">
      <c r="A105" s="48">
        <f>ROW()-ROW(Table_Memento[N])</f>
        <v>12</v>
      </c>
      <c r="B105" s="48" t="s">
        <v>1963</v>
      </c>
      <c r="C105" s="63" t="s">
        <v>4441</v>
      </c>
      <c r="D105" s="63" t="s">
        <v>4252</v>
      </c>
      <c r="E105" s="62" t="b">
        <v>0</v>
      </c>
    </row>
    <row r="106">
      <c r="A106" s="48">
        <f>ROW()-ROW(Table_Memento[N])</f>
        <v>13</v>
      </c>
      <c r="B106" s="48" t="s">
        <v>1978</v>
      </c>
      <c r="C106" s="63" t="s">
        <v>4441</v>
      </c>
      <c r="D106" s="63" t="s">
        <v>4264</v>
      </c>
      <c r="E106" s="62" t="b">
        <v>0</v>
      </c>
    </row>
    <row r="107">
      <c r="A107" s="48">
        <f>ROW()-ROW(Table_Memento[N])</f>
        <v>14</v>
      </c>
      <c r="B107" s="48" t="s">
        <v>1342</v>
      </c>
      <c r="C107" s="63" t="s">
        <v>44</v>
      </c>
      <c r="D107" s="63" t="s">
        <v>3593</v>
      </c>
      <c r="E107" s="62" t="b">
        <v>0</v>
      </c>
    </row>
    <row r="108">
      <c r="A108" s="48">
        <f>ROW()-ROW(Table_Memento[N])</f>
        <v>15</v>
      </c>
      <c r="B108" s="48" t="s">
        <v>4448</v>
      </c>
      <c r="C108" s="63" t="s">
        <v>44</v>
      </c>
      <c r="D108" s="63" t="s">
        <v>3596</v>
      </c>
      <c r="E108" s="62" t="b">
        <v>0</v>
      </c>
    </row>
    <row r="109">
      <c r="A109" s="48">
        <f>ROW()-ROW(Table_Memento[N])</f>
        <v>16</v>
      </c>
      <c r="B109" s="48" t="s">
        <v>4449</v>
      </c>
      <c r="C109" s="63" t="s">
        <v>44</v>
      </c>
      <c r="D109" s="63" t="s">
        <v>3599</v>
      </c>
      <c r="E109" s="62" t="b">
        <v>1</v>
      </c>
    </row>
    <row r="110">
      <c r="A110" s="48">
        <f>ROW()-ROW(Table_Memento[N])</f>
        <v>17</v>
      </c>
      <c r="B110" s="48" t="s">
        <v>4450</v>
      </c>
      <c r="C110" s="63" t="s">
        <v>4444</v>
      </c>
      <c r="D110" s="63" t="s">
        <v>1298</v>
      </c>
      <c r="E110" s="62" t="b">
        <v>0</v>
      </c>
    </row>
    <row r="112">
      <c r="A112" s="1" t="s">
        <v>49</v>
      </c>
      <c r="B112" s="1" t="s">
        <v>4451</v>
      </c>
    </row>
    <row r="113">
      <c r="A113" s="54">
        <f>ROW()-ROW(Table_EventsCombi[N])</f>
        <v>0</v>
      </c>
      <c r="B113" s="65" t="str">
        <f>IFERROR(__xludf.DUMMYFUNCTION("ArrayFormula(FLATTEN(Table_Events[EVENT_ID],""(NOT)""&amp;Table_Events[EVENT_ID]))"),"EVENT_NONE")</f>
        <v>EVENT_NONE</v>
      </c>
    </row>
    <row r="114">
      <c r="A114" s="54">
        <f>ROW()-ROW(Table_EventsCombi[N])</f>
        <v>1</v>
      </c>
      <c r="B114" s="65" t="str">
        <f>IFERROR(__xludf.DUMMYFUNCTION("""COMPUTED_VALUE"""),"EVENT_MASTER_CHANGE_ROOM")</f>
        <v>EVENT_MASTER_CHANGE_ROOM</v>
      </c>
    </row>
    <row r="115">
      <c r="A115" s="54">
        <f>ROW()-ROW(Table_EventsCombi[N])</f>
        <v>2</v>
      </c>
      <c r="B115" s="65" t="str">
        <f>IFERROR(__xludf.DUMMYFUNCTION("""COMPUTED_VALUE"""),"EVENT_MASTER_CHANGE_MOMENT_DAY")</f>
        <v>EVENT_MASTER_CHANGE_MOMENT_DAY</v>
      </c>
    </row>
    <row r="116">
      <c r="A116" s="54">
        <f>ROW()-ROW(Table_EventsCombi[N])</f>
        <v>3</v>
      </c>
      <c r="B116" s="65" t="str">
        <f>IFERROR(__xludf.DUMMYFUNCTION("""COMPUTED_VALUE"""),"EVENT_FIRST")</f>
        <v>EVENT_FIRST</v>
      </c>
    </row>
    <row r="117">
      <c r="A117" s="54">
        <f>ROW()-ROW(Table_EventsCombi[N])</f>
        <v>4</v>
      </c>
      <c r="B117" s="65" t="str">
        <f>IFERROR(__xludf.DUMMYFUNCTION("""COMPUTED_VALUE"""),"EVENT_HIVE1_CHEST_OPENED")</f>
        <v>EVENT_HIVE1_CHEST_OPENED</v>
      </c>
    </row>
    <row r="118">
      <c r="A118" s="54">
        <f>ROW()-ROW(Table_EventsCombi[N])</f>
        <v>5</v>
      </c>
      <c r="B118" s="65" t="str">
        <f>IFERROR(__xludf.DUMMYFUNCTION("""COMPUTED_VALUE"""),"EVENT_CARDS_PICKABLE_TAKEN")</f>
        <v>EVENT_CARDS_PICKABLE_TAKEN</v>
      </c>
    </row>
    <row r="119">
      <c r="A119" s="54">
        <f>ROW()-ROW(Table_EventsCombi[N])</f>
        <v>6</v>
      </c>
      <c r="B119" s="65" t="str">
        <f>IFERROR(__xludf.DUMMYFUNCTION("""COMPUTED_VALUE"""),"EVENT_HIVE1_WARDROBE_OPENED")</f>
        <v>EVENT_HIVE1_WARDROBE_OPENED</v>
      </c>
    </row>
    <row r="120">
      <c r="A120" s="54">
        <f>ROW()-ROW(Table_EventsCombi[N])</f>
        <v>7</v>
      </c>
      <c r="B120" s="65" t="str">
        <f>IFERROR(__xludf.DUMMYFUNCTION("""COMPUTED_VALUE"""),"EVENT_HIVE1_AD_BOARD_OBSERVED_1")</f>
        <v>EVENT_HIVE1_AD_BOARD_OBSERVED_1</v>
      </c>
    </row>
    <row r="121">
      <c r="A121" s="54">
        <f>ROW()-ROW(Table_EventsCombi[N])</f>
        <v>8</v>
      </c>
      <c r="B121" s="65" t="str">
        <f>IFERROR(__xludf.DUMMYFUNCTION("""COMPUTED_VALUE"""),"EVENT_SOAP_PICKABLE_TAKEN")</f>
        <v>EVENT_SOAP_PICKABLE_TAKEN</v>
      </c>
    </row>
    <row r="122">
      <c r="A122" s="54">
        <f>ROW()-ROW(Table_EventsCombi[N])</f>
        <v>9</v>
      </c>
      <c r="B122" s="65" t="str">
        <f>IFERROR(__xludf.DUMMYFUNCTION("""COMPUTED_VALUE"""),"EVENT_PHARMACY_EMPTY")</f>
        <v>EVENT_PHARMACY_EMPTY</v>
      </c>
    </row>
    <row r="123">
      <c r="A123" s="54">
        <f>ROW()-ROW(Table_EventsCombi[N])</f>
        <v>10</v>
      </c>
      <c r="B123" s="65" t="str">
        <f>IFERROR(__xludf.DUMMYFUNCTION("""COMPUTED_VALUE"""),"EVENT_USED_WORK_IDEA_MANYO")</f>
        <v>EVENT_USED_WORK_IDEA_MANYO</v>
      </c>
    </row>
    <row r="124">
      <c r="A124" s="54">
        <f>ROW()-ROW(Table_EventsCombi[N])</f>
        <v>11</v>
      </c>
      <c r="B124" s="65" t="str">
        <f>IFERROR(__xludf.DUMMYFUNCTION("""COMPUTED_VALUE"""),"EVENT_MANYO_LOOK_FOR_RECIPE_MISSION")</f>
        <v>EVENT_MANYO_LOOK_FOR_RECIPE_MISSION</v>
      </c>
    </row>
    <row r="125">
      <c r="A125" s="54">
        <f>ROW()-ROW(Table_EventsCombi[N])</f>
        <v>12</v>
      </c>
      <c r="B125" s="65" t="str">
        <f>IFERROR(__xludf.DUMMYFUNCTION("""COMPUTED_VALUE"""),"EVENT_UMBRELLA_PICKABLE_TAKEN")</f>
        <v>EVENT_UMBRELLA_PICKABLE_TAKEN</v>
      </c>
    </row>
    <row r="126">
      <c r="A126" s="54">
        <f>ROW()-ROW(Table_EventsCombi[N])</f>
        <v>13</v>
      </c>
      <c r="B126" s="65" t="str">
        <f>IFERROR(__xludf.DUMMYFUNCTION("""COMPUTED_VALUE"""),"EVENT_POOR_MAN_WC_NEED_WATER")</f>
        <v>EVENT_POOR_MAN_WC_NEED_WATER</v>
      </c>
    </row>
    <row r="127">
      <c r="A127" s="54">
        <f>ROW()-ROW(Table_EventsCombi[N])</f>
        <v>14</v>
      </c>
      <c r="B127" s="65" t="str">
        <f>IFERROR(__xludf.DUMMYFUNCTION("""COMPUTED_VALUE"""),"EVENT_COCKROACH_CHEATED")</f>
        <v>EVENT_COCKROACH_CHEATED</v>
      </c>
    </row>
    <row r="128">
      <c r="A128" s="54">
        <f>ROW()-ROW(Table_EventsCombi[N])</f>
        <v>15</v>
      </c>
      <c r="B128" s="65" t="str">
        <f>IFERROR(__xludf.DUMMYFUNCTION("""COMPUTED_VALUE"""),"EVENT_PIPE_OBSERVATION_1")</f>
        <v>EVENT_PIPE_OBSERVATION_1</v>
      </c>
    </row>
    <row r="129">
      <c r="A129" s="54">
        <f>ROW()-ROW(Table_EventsCombi[N])</f>
        <v>16</v>
      </c>
      <c r="B129" s="65" t="str">
        <f>IFERROR(__xludf.DUMMYFUNCTION("""COMPUTED_VALUE"""),"EVENT_PIPE_OBSERVATION_2")</f>
        <v>EVENT_PIPE_OBSERVATION_2</v>
      </c>
    </row>
    <row r="130">
      <c r="A130" s="54">
        <f>ROW()-ROW(Table_EventsCombi[N])</f>
        <v>17</v>
      </c>
      <c r="B130" s="65" t="str">
        <f>IFERROR(__xludf.DUMMYFUNCTION("""COMPUTED_VALUE"""),"EVENT_COCKROACH_SCARED")</f>
        <v>EVENT_COCKROACH_SCARED</v>
      </c>
    </row>
    <row r="131">
      <c r="A131" s="54">
        <f>ROW()-ROW(Table_EventsCombi[N])</f>
        <v>18</v>
      </c>
      <c r="B131" s="65" t="str">
        <f>IFERROR(__xludf.DUMMYFUNCTION("""COMPUTED_VALUE"""),"EVENT_VALVE_BOX_NEED_OPEN")</f>
        <v>EVENT_VALVE_BOX_NEED_OPEN</v>
      </c>
    </row>
    <row r="132">
      <c r="A132" s="54">
        <f>ROW()-ROW(Table_EventsCombi[N])</f>
        <v>19</v>
      </c>
      <c r="B132" s="65" t="str">
        <f>IFERROR(__xludf.DUMMYFUNCTION("""COMPUTED_VALUE"""),"EVENT_ITEM_HIVE1_SHOELACE_PICKABLE_TAKEN")</f>
        <v>EVENT_ITEM_HIVE1_SHOELACE_PICKABLE_TAKEN</v>
      </c>
    </row>
    <row r="133">
      <c r="A133" s="54">
        <f>ROW()-ROW(Table_EventsCombi[N])</f>
        <v>20</v>
      </c>
      <c r="B133" s="65" t="str">
        <f>IFERROR(__xludf.DUMMYFUNCTION("""COMPUTED_VALUE"""),"EVENT_VALVE_BOX_OPENED")</f>
        <v>EVENT_VALVE_BOX_OPENED</v>
      </c>
    </row>
    <row r="134">
      <c r="A134" s="54">
        <f>ROW()-ROW(Table_EventsCombi[N])</f>
        <v>21</v>
      </c>
      <c r="B134" s="65" t="str">
        <f>IFERROR(__xludf.DUMMYFUNCTION("""COMPUTED_VALUE"""),"EVENT_HIVE1_VALVE_ACTIVATED")</f>
        <v>EVENT_HIVE1_VALVE_ACTIVATED</v>
      </c>
    </row>
    <row r="135">
      <c r="A135" s="54">
        <f>ROW()-ROW(Table_EventsCombi[N])</f>
        <v>22</v>
      </c>
      <c r="B135" s="65" t="str">
        <f>IFERROR(__xludf.DUMMYFUNCTION("""COMPUTED_VALUE"""),"EVENT_TALKED_ARTURO_HALL_INN_COMPLETED")</f>
        <v>EVENT_TALKED_ARTURO_HALL_INN_COMPLETED</v>
      </c>
    </row>
    <row r="136">
      <c r="A136" s="54">
        <f>ROW()-ROW(Table_EventsCombi[N])</f>
        <v>23</v>
      </c>
      <c r="B136" s="65" t="str">
        <f>IFERROR(__xludf.DUMMYFUNCTION("""COMPUTED_VALUE"""),"EVENT_TALKED_ARTURO_HALL_PUB")</f>
        <v>EVENT_TALKED_ARTURO_HALL_PUB</v>
      </c>
    </row>
    <row r="137">
      <c r="A137" s="54">
        <f>ROW()-ROW(Table_EventsCombi[N])</f>
        <v>24</v>
      </c>
      <c r="B137" s="65" t="str">
        <f>IFERROR(__xludf.DUMMYFUNCTION("""COMPUTED_VALUE"""),"EVENT_ITEM_EXTRAPERLO_INVITATION_PICKABLE_TAKEN")</f>
        <v>EVENT_ITEM_EXTRAPERLO_INVITATION_PICKABLE_TAKEN</v>
      </c>
    </row>
    <row r="138">
      <c r="A138" s="54">
        <f>ROW()-ROW(Table_EventsCombi[N])</f>
        <v>25</v>
      </c>
      <c r="B138" s="65" t="str">
        <f>IFERROR(__xludf.DUMMYFUNCTION("""COMPUTED_VALUE"""),"EVENT_OBSERVED_INVITATION_RELIEF")</f>
        <v>EVENT_OBSERVED_INVITATION_RELIEF</v>
      </c>
    </row>
    <row r="139">
      <c r="A139" s="54">
        <f>ROW()-ROW(Table_EventsCombi[N])</f>
        <v>26</v>
      </c>
      <c r="B139" s="65" t="str">
        <f>IFERROR(__xludf.DUMMYFUNCTION("""COMPUTED_VALUE"""),"EVENT_INKWELL_NOT_TOUCH_WARN")</f>
        <v>EVENT_INKWELL_NOT_TOUCH_WARN</v>
      </c>
    </row>
    <row r="140">
      <c r="A140" s="54">
        <f>ROW()-ROW(Table_EventsCombi[N])</f>
        <v>27</v>
      </c>
      <c r="B140" s="65" t="str">
        <f>IFERROR(__xludf.DUMMYFUNCTION("""COMPUTED_VALUE"""),"EVENT_INKWELL_WASTED")</f>
        <v>EVENT_INKWELL_WASTED</v>
      </c>
    </row>
    <row r="141">
      <c r="A141" s="54">
        <f>ROW()-ROW(Table_EventsCombi[N])</f>
        <v>28</v>
      </c>
      <c r="B141" s="65" t="str">
        <f>IFERROR(__xludf.DUMMYFUNCTION("""COMPUTED_VALUE"""),"EVENT_INVITATION_REVEALED")</f>
        <v>EVENT_INVITATION_REVEALED</v>
      </c>
    </row>
    <row r="142">
      <c r="A142" s="54">
        <f>ROW()-ROW(Table_EventsCombi[N])</f>
        <v>29</v>
      </c>
      <c r="B142" s="65" t="str">
        <f>IFERROR(__xludf.DUMMYFUNCTION("""COMPUTED_VALUE"""),"EVENT_INVITATION_UNDERSTOOD_PHRASE")</f>
        <v>EVENT_INVITATION_UNDERSTOOD_PHRASE</v>
      </c>
    </row>
    <row r="143">
      <c r="A143" s="54">
        <f>ROW()-ROW(Table_EventsCombi[N])</f>
        <v>30</v>
      </c>
      <c r="B143" s="65" t="str">
        <f>IFERROR(__xludf.DUMMYFUNCTION("""COMPUTED_VALUE"""),"EVENT_EXTRAPERLO_SAID_PHRASE")</f>
        <v>EVENT_EXTRAPERLO_SAID_PHRASE</v>
      </c>
    </row>
    <row r="144">
      <c r="A144" s="54">
        <f>ROW()-ROW(Table_EventsCombi[N])</f>
        <v>31</v>
      </c>
      <c r="B144" s="65" t="str">
        <f>IFERROR(__xludf.DUMMYFUNCTION("""COMPUTED_VALUE"""),"EVENT_EXTRAPERLO_SHOWN_OLD_INVITATION")</f>
        <v>EVENT_EXTRAPERLO_SHOWN_OLD_INVITATION</v>
      </c>
    </row>
    <row r="145">
      <c r="A145" s="54">
        <f>ROW()-ROW(Table_EventsCombi[N])</f>
        <v>32</v>
      </c>
      <c r="B145" s="65" t="str">
        <f>IFERROR(__xludf.DUMMYFUNCTION("""COMPUTED_VALUE"""),"EVENT_EXTRAPERLO_SHOWN_NEW_INVITATION")</f>
        <v>EVENT_EXTRAPERLO_SHOWN_NEW_INVITATION</v>
      </c>
    </row>
    <row r="146">
      <c r="A146" s="54">
        <f>ROW()-ROW(Table_EventsCombi[N])</f>
        <v>33</v>
      </c>
      <c r="B146" s="65" t="str">
        <f>IFERROR(__xludf.DUMMYFUNCTION("""COMPUTED_VALUE"""),"EVENT_EXTRAPERLO_INV_FOLDED_CORNERS")</f>
        <v>EVENT_EXTRAPERLO_INV_FOLDED_CORNERS</v>
      </c>
    </row>
    <row r="147">
      <c r="A147" s="54">
        <f>ROW()-ROW(Table_EventsCombi[N])</f>
        <v>34</v>
      </c>
      <c r="B147" s="65" t="str">
        <f>IFERROR(__xludf.DUMMYFUNCTION("""COMPUTED_VALUE"""),"EVENT_EXTRAPERLO_WON_CARDS_ARTURO")</f>
        <v>EVENT_EXTRAPERLO_WON_CARDS_ARTURO</v>
      </c>
    </row>
    <row r="148">
      <c r="A148" s="54">
        <f>ROW()-ROW(Table_EventsCombi[N])</f>
        <v>35</v>
      </c>
      <c r="B148" s="65" t="str">
        <f>IFERROR(__xludf.DUMMYFUNCTION("""COMPUTED_VALUE"""),"EVENT_EXTRAPERLO_ARTURO_MENTIONED_SILVANA")</f>
        <v>EVENT_EXTRAPERLO_ARTURO_MENTIONED_SILVANA</v>
      </c>
    </row>
    <row r="149">
      <c r="A149" s="54">
        <f>ROW()-ROW(Table_EventsCombi[N])</f>
        <v>36</v>
      </c>
      <c r="B149" s="65" t="str">
        <f>IFERROR(__xludf.DUMMYFUNCTION("""COMPUTED_VALUE"""),"EVENT_EXTRAPERLO_SILVANA_REFUSED_MAINCHAR")</f>
        <v>EVENT_EXTRAPERLO_SILVANA_REFUSED_MAINCHAR</v>
      </c>
    </row>
    <row r="150">
      <c r="A150" s="54">
        <f>ROW()-ROW(Table_EventsCombi[N])</f>
        <v>37</v>
      </c>
      <c r="B150" s="65" t="str">
        <f>IFERROR(__xludf.DUMMYFUNCTION("""COMPUTED_VALUE"""),"EVENT_WAITER_EXTRAPERLO_GAVE_OLIVES")</f>
        <v>EVENT_WAITER_EXTRAPERLO_GAVE_OLIVES</v>
      </c>
    </row>
    <row r="151">
      <c r="A151" s="54">
        <f>ROW()-ROW(Table_EventsCombi[N])</f>
        <v>38</v>
      </c>
      <c r="B151" s="65" t="str">
        <f>IFERROR(__xludf.DUMMYFUNCTION("""COMPUTED_VALUE"""),"EVENT_TOOK_OLIVE_FROM_BOWL")</f>
        <v>EVENT_TOOK_OLIVE_FROM_BOWL</v>
      </c>
    </row>
    <row r="152">
      <c r="A152" s="54">
        <f>ROW()-ROW(Table_EventsCombi[N])</f>
        <v>39</v>
      </c>
      <c r="B152" s="65" t="str">
        <f>IFERROR(__xludf.DUMMYFUNCTION("""COMPUTED_VALUE"""),"EVENT_BEER_JAR_READY")</f>
        <v>EVENT_BEER_JAR_READY</v>
      </c>
    </row>
    <row r="153">
      <c r="A153" s="54">
        <f>ROW()-ROW(Table_EventsCombi[N])</f>
        <v>40</v>
      </c>
      <c r="B153" s="65" t="str">
        <f>IFERROR(__xludf.DUMMYFUNCTION("""COMPUTED_VALUE"""),"EVENT_BEER_FIRST_ROUND")</f>
        <v>EVENT_BEER_FIRST_ROUND</v>
      </c>
    </row>
    <row r="154">
      <c r="A154" s="54">
        <f>ROW()-ROW(Table_EventsCombi[N])</f>
        <v>41</v>
      </c>
      <c r="B154" s="65" t="str">
        <f>IFERROR(__xludf.DUMMYFUNCTION("""COMPUTED_VALUE"""),"EVENT_BEER_SECOND_ROUND")</f>
        <v>EVENT_BEER_SECOND_ROUND</v>
      </c>
    </row>
    <row r="155">
      <c r="A155" s="54">
        <f>ROW()-ROW(Table_EventsCombi[N])</f>
        <v>42</v>
      </c>
      <c r="B155" s="65" t="str">
        <f>IFERROR(__xludf.DUMMYFUNCTION("""COMPUTED_VALUE"""),"EVENT_BEER_THIRD_ROUND")</f>
        <v>EVENT_BEER_THIRD_ROUND</v>
      </c>
    </row>
    <row r="156">
      <c r="A156" s="54">
        <f>ROW()-ROW(Table_EventsCombi[N])</f>
        <v>43</v>
      </c>
      <c r="B156" s="65" t="str">
        <f>IFERROR(__xludf.DUMMYFUNCTION("""COMPUTED_VALUE"""),"EVENT_DRUNK_STATE")</f>
        <v>EVENT_DRUNK_STATE</v>
      </c>
    </row>
    <row r="157">
      <c r="A157" s="54">
        <f>ROW()-ROW(Table_EventsCombi[N])</f>
        <v>44</v>
      </c>
      <c r="B157" s="65" t="str">
        <f>IFERROR(__xludf.DUMMYFUNCTION("""COMPUTED_VALUE"""),"EVENT_OLIVE_OFFERED")</f>
        <v>EVENT_OLIVE_OFFERED</v>
      </c>
    </row>
    <row r="158">
      <c r="A158" s="54">
        <f>ROW()-ROW(Table_EventsCombi[N])</f>
        <v>45</v>
      </c>
      <c r="B158" s="65" t="str">
        <f>IFERROR(__xludf.DUMMYFUNCTION("""COMPUTED_VALUE"""),"EVENT_NEED_ORINE_SAID")</f>
        <v>EVENT_NEED_ORINE_SAID</v>
      </c>
    </row>
    <row r="159">
      <c r="A159" s="54">
        <f>ROW()-ROW(Table_EventsCombi[N])</f>
        <v>46</v>
      </c>
      <c r="B159" s="65" t="str">
        <f>IFERROR(__xludf.DUMMYFUNCTION("""COMPUTED_VALUE"""),"EVENT_USED_ORINE_FLOWER")</f>
        <v>EVENT_USED_ORINE_FLOWER</v>
      </c>
    </row>
    <row r="160">
      <c r="A160" s="54">
        <f>ROW()-ROW(Table_EventsCombi[N])</f>
        <v>47</v>
      </c>
      <c r="B160" s="65" t="str">
        <f>IFERROR(__xludf.DUMMYFUNCTION("""COMPUTED_VALUE"""),"EVENT_PENDING_RECAP_EXTRAPERLO_GARDEN")</f>
        <v>EVENT_PENDING_RECAP_EXTRAPERLO_GARDEN</v>
      </c>
    </row>
    <row r="161">
      <c r="A161" s="54">
        <f>ROW()-ROW(Table_EventsCombi[N])</f>
        <v>48</v>
      </c>
      <c r="B161" s="65" t="str">
        <f>IFERROR(__xludf.DUMMYFUNCTION("""COMPUTED_VALUE"""),"EVENT_PENDING_DREAM_1")</f>
        <v>EVENT_PENDING_DREAM_1</v>
      </c>
    </row>
    <row r="162">
      <c r="A162" s="54">
        <f>ROW()-ROW(Table_EventsCombi[N])</f>
        <v>49</v>
      </c>
      <c r="B162" s="65" t="str">
        <f>IFERROR(__xludf.DUMMYFUNCTION("""COMPUTED_VALUE"""),"EVENT_PENDING_DESCRIBE_DREAM_FRAMEWORK")</f>
        <v>EVENT_PENDING_DESCRIBE_DREAM_FRAMEWORK</v>
      </c>
    </row>
    <row r="163">
      <c r="A163" s="54">
        <f>ROW()-ROW(Table_EventsCombi[N])</f>
        <v>50</v>
      </c>
      <c r="B163" s="65" t="str">
        <f>IFERROR(__xludf.DUMMYFUNCTION("""COMPUTED_VALUE"""),"EVENT_EPHIMERAL_ON")</f>
        <v>EVENT_EPHIMERAL_ON</v>
      </c>
    </row>
    <row r="164">
      <c r="A164" s="54">
        <f>ROW()-ROW(Table_EventsCombi[N])</f>
        <v>51</v>
      </c>
      <c r="B164" s="65" t="str">
        <f>IFERROR(__xludf.DUMMYFUNCTION("""COMPUTED_VALUE"""),"EVENT_SULTAN_ATE_FOOD")</f>
        <v>EVENT_SULTAN_ATE_FOOD</v>
      </c>
    </row>
    <row r="165">
      <c r="A165" s="54">
        <f>ROW()-ROW(Table_EventsCombi[N])</f>
        <v>52</v>
      </c>
      <c r="B165" s="65" t="str">
        <f>IFERROR(__xludf.DUMMYFUNCTION("""COMPUTED_VALUE"""),"EVENT_ALTER_EGO_DREAM_1_TALKED")</f>
        <v>EVENT_ALTER_EGO_DREAM_1_TALKED</v>
      </c>
    </row>
    <row r="166">
      <c r="A166" s="54">
        <f>ROW()-ROW(Table_EventsCombi[N])</f>
        <v>53</v>
      </c>
      <c r="B166" s="65" t="str">
        <f>IFERROR(__xludf.DUMMYFUNCTION("""COMPUTED_VALUE"""),"EVENT_ITEM_FIG_PICKABLE_TAKEN")</f>
        <v>EVENT_ITEM_FIG_PICKABLE_TAKEN</v>
      </c>
    </row>
    <row r="167">
      <c r="A167" s="54">
        <f>ROW()-ROW(Table_EventsCombi[N])</f>
        <v>54</v>
      </c>
      <c r="B167" s="65" t="str">
        <f>IFERROR(__xludf.DUMMYFUNCTION("""COMPUTED_VALUE"""),"EVENT_PENDING_RECAP_DREAM_1")</f>
        <v>EVENT_PENDING_RECAP_DREAM_1</v>
      </c>
    </row>
    <row r="168">
      <c r="A168" s="54">
        <f>ROW()-ROW(Table_EventsCombi[N])</f>
        <v>55</v>
      </c>
      <c r="B168" s="65" t="str">
        <f>IFERROR(__xludf.DUMMYFUNCTION("""COMPUTED_VALUE"""),"EVENT_REME_MOVED")</f>
        <v>EVENT_REME_MOVED</v>
      </c>
    </row>
    <row r="169">
      <c r="A169" s="54">
        <f>ROW()-ROW(Table_EventsCombi[N])</f>
        <v>56</v>
      </c>
      <c r="B169" s="65" t="str">
        <f>IFERROR(__xludf.DUMMYFUNCTION("""COMPUTED_VALUE"""),"EVENT_COIN25_PICKABLE_TAKEN")</f>
        <v>EVENT_COIN25_PICKABLE_TAKEN</v>
      </c>
    </row>
    <row r="170">
      <c r="A170" s="54">
        <f>ROW()-ROW(Table_EventsCombi[N])</f>
        <v>57</v>
      </c>
      <c r="B170" s="65" t="str">
        <f>IFERROR(__xludf.DUMMYFUNCTION("""COMPUTED_VALUE"""),"EVENT_HIVE_ROOM_KEY_PICKABLE_TAKEN")</f>
        <v>EVENT_HIVE_ROOM_KEY_PICKABLE_TAKEN</v>
      </c>
    </row>
    <row r="171">
      <c r="A171" s="54">
        <f>ROW()-ROW(Table_EventsCombi[N])</f>
        <v>58</v>
      </c>
      <c r="B171" s="65" t="str">
        <f>IFERROR(__xludf.DUMMYFUNCTION("""COMPUTED_VALUE"""),"EVENT_USED_KEY_ON_SERVICE_DOOR")</f>
        <v>EVENT_USED_KEY_ON_SERVICE_DOOR</v>
      </c>
    </row>
    <row r="172">
      <c r="A172" s="54">
        <f>ROW()-ROW(Table_EventsCombi[N])</f>
        <v>59</v>
      </c>
      <c r="B172" s="65" t="str">
        <f>IFERROR(__xludf.DUMMYFUNCTION("""COMPUTED_VALUE"""),"EVENT_ITEM_MIX_JAR_PICKABLE_TAKEN")</f>
        <v>EVENT_ITEM_MIX_JAR_PICKABLE_TAKEN</v>
      </c>
    </row>
    <row r="173">
      <c r="A173" s="54">
        <f>ROW()-ROW(Table_EventsCombi[N])</f>
        <v>60</v>
      </c>
      <c r="B173" s="65" t="str">
        <f>IFERROR(__xludf.DUMMYFUNCTION("""COMPUTED_VALUE"""),"EVENT_ITEM_PICKABLE_TAR_CAN_PICKABLE_TAKEN")</f>
        <v>EVENT_ITEM_PICKABLE_TAR_CAN_PICKABLE_TAKEN</v>
      </c>
    </row>
    <row r="174">
      <c r="A174" s="54">
        <f>ROW()-ROW(Table_EventsCombi[N])</f>
        <v>61</v>
      </c>
      <c r="B174" s="65" t="str">
        <f>IFERROR(__xludf.DUMMYFUNCTION("""COMPUTED_VALUE"""),"EVENT_ITEM_GUMBALL_TAKEN")</f>
        <v>EVENT_ITEM_GUMBALL_TAKEN</v>
      </c>
    </row>
    <row r="175">
      <c r="A175" s="54">
        <f>ROW()-ROW(Table_EventsCombi[N])</f>
        <v>62</v>
      </c>
      <c r="B175" s="65" t="str">
        <f>IFERROR(__xludf.DUMMYFUNCTION("""COMPUTED_VALUE"""),"EVENT_COIN_IN_CRACK")</f>
        <v>EVENT_COIN_IN_CRACK</v>
      </c>
    </row>
    <row r="176">
      <c r="A176" s="54">
        <f>ROW()-ROW(Table_EventsCombi[N])</f>
        <v>63</v>
      </c>
      <c r="B176" s="65" t="str">
        <f>IFERROR(__xludf.DUMMYFUNCTION("""COMPUTED_VALUE"""),"EVENT_RECOVERED_COIN25")</f>
        <v>EVENT_RECOVERED_COIN25</v>
      </c>
    </row>
    <row r="177">
      <c r="A177" s="54">
        <f>ROW()-ROW(Table_EventsCombi[N])</f>
        <v>64</v>
      </c>
      <c r="B177" s="65" t="str">
        <f>IFERROR(__xludf.DUMMYFUNCTION("""COMPUTED_VALUE"""),"EVENT_USED_IDEA_ROACHES_REME")</f>
        <v>EVENT_USED_IDEA_ROACHES_REME</v>
      </c>
    </row>
    <row r="178">
      <c r="A178" s="54">
        <f>ROW()-ROW(Table_EventsCombi[N])</f>
        <v>65</v>
      </c>
      <c r="B178" s="65" t="str">
        <f>IFERROR(__xludf.DUMMYFUNCTION("""COMPUTED_VALUE"""),"EVENT_REME_SAID_SCARED_ROACHES")</f>
        <v>EVENT_REME_SAID_SCARED_ROACHES</v>
      </c>
    </row>
    <row r="179">
      <c r="A179" s="54">
        <f>ROW()-ROW(Table_EventsCombi[N])</f>
        <v>66</v>
      </c>
      <c r="B179" s="65" t="str">
        <f>IFERROR(__xludf.DUMMYFUNCTION("""COMPUTED_VALUE"""),"EVENT_THOUGHT_ROACHES_MEMENTO_REME")</f>
        <v>EVENT_THOUGHT_ROACHES_MEMENTO_REME</v>
      </c>
    </row>
    <row r="180">
      <c r="A180" s="54">
        <f>ROW()-ROW(Table_EventsCombi[N])</f>
        <v>67</v>
      </c>
      <c r="B180" s="65" t="str">
        <f>IFERROR(__xludf.DUMMYFUNCTION("""COMPUTED_VALUE"""),"EVENT_USED_IDEA_ROACHES_EXPERIMENT_TABLE")</f>
        <v>EVENT_USED_IDEA_ROACHES_EXPERIMENT_TABLE</v>
      </c>
    </row>
    <row r="181">
      <c r="A181" s="54">
        <f>ROW()-ROW(Table_EventsCombi[N])</f>
        <v>68</v>
      </c>
      <c r="B181" s="65" t="str">
        <f>IFERROR(__xludf.DUMMYFUNCTION("""COMPUTED_VALUE"""),"EVENT_READ_LAB_MAGAZINE")</f>
        <v>EVENT_READ_LAB_MAGAZINE</v>
      </c>
    </row>
    <row r="182">
      <c r="A182" s="54">
        <f>ROW()-ROW(Table_EventsCombi[N])</f>
        <v>69</v>
      </c>
      <c r="B182" s="65" t="str">
        <f>IFERROR(__xludf.DUMMYFUNCTION("""COMPUTED_VALUE"""),"EVENT_SCRATCHED_RUSTY_SPRING")</f>
        <v>EVENT_SCRATCHED_RUSTY_SPRING</v>
      </c>
    </row>
    <row r="183">
      <c r="A183" s="54">
        <f>ROW()-ROW(Table_EventsCombi[N])</f>
        <v>70</v>
      </c>
      <c r="B183" s="65" t="str">
        <f>IFERROR(__xludf.DUMMYFUNCTION("""COMPUTED_VALUE"""),"EVENT_OBTAINED_RUST_POWDER")</f>
        <v>EVENT_OBTAINED_RUST_POWDER</v>
      </c>
    </row>
    <row r="184">
      <c r="A184" s="54">
        <f>ROW()-ROW(Table_EventsCombi[N])</f>
        <v>71</v>
      </c>
      <c r="B184" s="65" t="str">
        <f>IFERROR(__xludf.DUMMYFUNCTION("""COMPUTED_VALUE"""),"EVENT_LAB_STARTED_MIX")</f>
        <v>EVENT_LAB_STARTED_MIX</v>
      </c>
    </row>
    <row r="185">
      <c r="A185" s="54">
        <f>ROW()-ROW(Table_EventsCombi[N])</f>
        <v>72</v>
      </c>
      <c r="B185" s="65" t="str">
        <f>IFERROR(__xludf.DUMMYFUNCTION("""COMPUTED_VALUE"""),"EVENT_LAB_PERFECT_MIX")</f>
        <v>EVENT_LAB_PERFECT_MIX</v>
      </c>
    </row>
    <row r="186">
      <c r="A186" s="54">
        <f>ROW()-ROW(Table_EventsCombi[N])</f>
        <v>73</v>
      </c>
      <c r="B186" s="65" t="str">
        <f>IFERROR(__xludf.DUMMYFUNCTION("""COMPUTED_VALUE"""),"EVENT_MIX_JAR_IN_INVENTORY")</f>
        <v>EVENT_MIX_JAR_IN_INVENTORY</v>
      </c>
    </row>
    <row r="187">
      <c r="A187" s="54">
        <f>ROW()-ROW(Table_EventsCombi[N])</f>
        <v>74</v>
      </c>
      <c r="B187" s="65" t="str">
        <f>IFERROR(__xludf.DUMMYFUNCTION("""COMPUTED_VALUE"""),"EVENT_ROACHES_MOB_STARTED")</f>
        <v>EVENT_ROACHES_MOB_STARTED</v>
      </c>
    </row>
    <row r="188">
      <c r="A188" s="54">
        <f>ROW()-ROW(Table_EventsCombi[N])</f>
        <v>75</v>
      </c>
      <c r="B188" s="65" t="str">
        <f>IFERROR(__xludf.DUMMYFUNCTION("""COMPUTED_VALUE"""),"EVENT_USED_RECIPE_IDEA_PHARMACIST")</f>
        <v>EVENT_USED_RECIPE_IDEA_PHARMACIST</v>
      </c>
    </row>
    <row r="189">
      <c r="A189" s="54">
        <f>ROW()-ROW(Table_EventsCombi[N])</f>
        <v>76</v>
      </c>
      <c r="B189" s="65" t="str">
        <f>IFERROR(__xludf.DUMMYFUNCTION("""COMPUTED_VALUE"""),"EVENT_PHARMACIST_GAVE_RECIPE_CLUE")</f>
        <v>EVENT_PHARMACIST_GAVE_RECIPE_CLUE</v>
      </c>
    </row>
    <row r="190">
      <c r="A190" s="54">
        <f>ROW()-ROW(Table_EventsCombi[N])</f>
        <v>77</v>
      </c>
      <c r="B190" s="65" t="str">
        <f>IFERROR(__xludf.DUMMYFUNCTION("""COMPUTED_VALUE"""),"EVENT_USED_RECIPE_IDEA_MATRIARCH")</f>
        <v>EVENT_USED_RECIPE_IDEA_MATRIARCH</v>
      </c>
    </row>
    <row r="191">
      <c r="A191" s="54">
        <f>ROW()-ROW(Table_EventsCombi[N])</f>
        <v>78</v>
      </c>
      <c r="B191" s="65" t="str">
        <f>IFERROR(__xludf.DUMMYFUNCTION("""COMPUTED_VALUE"""),"EVENT_LAST")</f>
        <v>EVENT_LAST</v>
      </c>
    </row>
    <row r="192">
      <c r="A192" s="54">
        <f>ROW()-ROW(Table_EventsCombi[N])</f>
        <v>79</v>
      </c>
      <c r="B192" s="65" t="str">
        <f>IFERROR(__xludf.DUMMYFUNCTION("""COMPUTED_VALUE"""),"(NOT)EVENT_NONE")</f>
        <v>(NOT)EVENT_NONE</v>
      </c>
    </row>
    <row r="193">
      <c r="A193" s="54">
        <f>ROW()-ROW(Table_EventsCombi[N])</f>
        <v>80</v>
      </c>
      <c r="B193" s="65" t="str">
        <f>IFERROR(__xludf.DUMMYFUNCTION("""COMPUTED_VALUE"""),"(NOT)EVENT_MASTER_CHANGE_ROOM")</f>
        <v>(NOT)EVENT_MASTER_CHANGE_ROOM</v>
      </c>
    </row>
    <row r="194">
      <c r="A194" s="54">
        <f>ROW()-ROW(Table_EventsCombi[N])</f>
        <v>81</v>
      </c>
      <c r="B194" s="65" t="str">
        <f>IFERROR(__xludf.DUMMYFUNCTION("""COMPUTED_VALUE"""),"(NOT)EVENT_MASTER_CHANGE_MOMENT_DAY")</f>
        <v>(NOT)EVENT_MASTER_CHANGE_MOMENT_DAY</v>
      </c>
    </row>
    <row r="195">
      <c r="A195" s="54">
        <f>ROW()-ROW(Table_EventsCombi[N])</f>
        <v>82</v>
      </c>
      <c r="B195" s="65" t="str">
        <f>IFERROR(__xludf.DUMMYFUNCTION("""COMPUTED_VALUE"""),"(NOT)EVENT_FIRST")</f>
        <v>(NOT)EVENT_FIRST</v>
      </c>
    </row>
    <row r="196">
      <c r="A196" s="54">
        <f>ROW()-ROW(Table_EventsCombi[N])</f>
        <v>83</v>
      </c>
      <c r="B196" s="65" t="str">
        <f>IFERROR(__xludf.DUMMYFUNCTION("""COMPUTED_VALUE"""),"(NOT)EVENT_HIVE1_CHEST_OPENED")</f>
        <v>(NOT)EVENT_HIVE1_CHEST_OPENED</v>
      </c>
    </row>
    <row r="197">
      <c r="A197" s="54">
        <f>ROW()-ROW(Table_EventsCombi[N])</f>
        <v>84</v>
      </c>
      <c r="B197" s="65" t="str">
        <f>IFERROR(__xludf.DUMMYFUNCTION("""COMPUTED_VALUE"""),"(NOT)EVENT_CARDS_PICKABLE_TAKEN")</f>
        <v>(NOT)EVENT_CARDS_PICKABLE_TAKEN</v>
      </c>
    </row>
    <row r="198">
      <c r="A198" s="54">
        <f>ROW()-ROW(Table_EventsCombi[N])</f>
        <v>85</v>
      </c>
      <c r="B198" s="65" t="str">
        <f>IFERROR(__xludf.DUMMYFUNCTION("""COMPUTED_VALUE"""),"(NOT)EVENT_HIVE1_WARDROBE_OPENED")</f>
        <v>(NOT)EVENT_HIVE1_WARDROBE_OPENED</v>
      </c>
    </row>
    <row r="199">
      <c r="A199" s="54">
        <f>ROW()-ROW(Table_EventsCombi[N])</f>
        <v>86</v>
      </c>
      <c r="B199" s="65" t="str">
        <f>IFERROR(__xludf.DUMMYFUNCTION("""COMPUTED_VALUE"""),"(NOT)EVENT_HIVE1_AD_BOARD_OBSERVED_1")</f>
        <v>(NOT)EVENT_HIVE1_AD_BOARD_OBSERVED_1</v>
      </c>
    </row>
    <row r="200">
      <c r="A200" s="54">
        <f>ROW()-ROW(Table_EventsCombi[N])</f>
        <v>87</v>
      </c>
      <c r="B200" s="65" t="str">
        <f>IFERROR(__xludf.DUMMYFUNCTION("""COMPUTED_VALUE"""),"(NOT)EVENT_SOAP_PICKABLE_TAKEN")</f>
        <v>(NOT)EVENT_SOAP_PICKABLE_TAKEN</v>
      </c>
    </row>
    <row r="201">
      <c r="A201" s="54">
        <f>ROW()-ROW(Table_EventsCombi[N])</f>
        <v>88</v>
      </c>
      <c r="B201" s="65" t="str">
        <f>IFERROR(__xludf.DUMMYFUNCTION("""COMPUTED_VALUE"""),"(NOT)EVENT_PHARMACY_EMPTY")</f>
        <v>(NOT)EVENT_PHARMACY_EMPTY</v>
      </c>
    </row>
    <row r="202">
      <c r="A202" s="54">
        <f>ROW()-ROW(Table_EventsCombi[N])</f>
        <v>89</v>
      </c>
      <c r="B202" s="65" t="str">
        <f>IFERROR(__xludf.DUMMYFUNCTION("""COMPUTED_VALUE"""),"(NOT)EVENT_USED_WORK_IDEA_MANYO")</f>
        <v>(NOT)EVENT_USED_WORK_IDEA_MANYO</v>
      </c>
    </row>
    <row r="203">
      <c r="A203" s="54">
        <f>ROW()-ROW(Table_EventsCombi[N])</f>
        <v>90</v>
      </c>
      <c r="B203" s="65" t="str">
        <f>IFERROR(__xludf.DUMMYFUNCTION("""COMPUTED_VALUE"""),"(NOT)EVENT_MANYO_LOOK_FOR_RECIPE_MISSION")</f>
        <v>(NOT)EVENT_MANYO_LOOK_FOR_RECIPE_MISSION</v>
      </c>
    </row>
    <row r="204">
      <c r="A204" s="54">
        <f>ROW()-ROW(Table_EventsCombi[N])</f>
        <v>91</v>
      </c>
      <c r="B204" s="65" t="str">
        <f>IFERROR(__xludf.DUMMYFUNCTION("""COMPUTED_VALUE"""),"(NOT)EVENT_UMBRELLA_PICKABLE_TAKEN")</f>
        <v>(NOT)EVENT_UMBRELLA_PICKABLE_TAKEN</v>
      </c>
    </row>
    <row r="205">
      <c r="A205" s="54">
        <f>ROW()-ROW(Table_EventsCombi[N])</f>
        <v>92</v>
      </c>
      <c r="B205" s="65" t="str">
        <f>IFERROR(__xludf.DUMMYFUNCTION("""COMPUTED_VALUE"""),"(NOT)EVENT_POOR_MAN_WC_NEED_WATER")</f>
        <v>(NOT)EVENT_POOR_MAN_WC_NEED_WATER</v>
      </c>
    </row>
    <row r="206">
      <c r="A206" s="54">
        <f>ROW()-ROW(Table_EventsCombi[N])</f>
        <v>93</v>
      </c>
      <c r="B206" s="65" t="str">
        <f>IFERROR(__xludf.DUMMYFUNCTION("""COMPUTED_VALUE"""),"(NOT)EVENT_COCKROACH_CHEATED")</f>
        <v>(NOT)EVENT_COCKROACH_CHEATED</v>
      </c>
    </row>
    <row r="207">
      <c r="A207" s="54">
        <f>ROW()-ROW(Table_EventsCombi[N])</f>
        <v>94</v>
      </c>
      <c r="B207" s="65" t="str">
        <f>IFERROR(__xludf.DUMMYFUNCTION("""COMPUTED_VALUE"""),"(NOT)EVENT_PIPE_OBSERVATION_1")</f>
        <v>(NOT)EVENT_PIPE_OBSERVATION_1</v>
      </c>
    </row>
    <row r="208">
      <c r="A208" s="54">
        <f>ROW()-ROW(Table_EventsCombi[N])</f>
        <v>95</v>
      </c>
      <c r="B208" s="65" t="str">
        <f>IFERROR(__xludf.DUMMYFUNCTION("""COMPUTED_VALUE"""),"(NOT)EVENT_PIPE_OBSERVATION_2")</f>
        <v>(NOT)EVENT_PIPE_OBSERVATION_2</v>
      </c>
    </row>
    <row r="209">
      <c r="A209" s="54">
        <f>ROW()-ROW(Table_EventsCombi[N])</f>
        <v>96</v>
      </c>
      <c r="B209" s="65" t="str">
        <f>IFERROR(__xludf.DUMMYFUNCTION("""COMPUTED_VALUE"""),"(NOT)EVENT_COCKROACH_SCARED")</f>
        <v>(NOT)EVENT_COCKROACH_SCARED</v>
      </c>
    </row>
    <row r="210">
      <c r="A210" s="54">
        <f>ROW()-ROW(Table_EventsCombi[N])</f>
        <v>97</v>
      </c>
      <c r="B210" s="65" t="str">
        <f>IFERROR(__xludf.DUMMYFUNCTION("""COMPUTED_VALUE"""),"(NOT)EVENT_VALVE_BOX_NEED_OPEN")</f>
        <v>(NOT)EVENT_VALVE_BOX_NEED_OPEN</v>
      </c>
    </row>
    <row r="211">
      <c r="A211" s="54">
        <f>ROW()-ROW(Table_EventsCombi[N])</f>
        <v>98</v>
      </c>
      <c r="B211" s="65" t="str">
        <f>IFERROR(__xludf.DUMMYFUNCTION("""COMPUTED_VALUE"""),"(NOT)EVENT_ITEM_HIVE1_SHOELACE_PICKABLE_TAKEN")</f>
        <v>(NOT)EVENT_ITEM_HIVE1_SHOELACE_PICKABLE_TAKEN</v>
      </c>
    </row>
    <row r="212">
      <c r="A212" s="54">
        <f>ROW()-ROW(Table_EventsCombi[N])</f>
        <v>99</v>
      </c>
      <c r="B212" s="65" t="str">
        <f>IFERROR(__xludf.DUMMYFUNCTION("""COMPUTED_VALUE"""),"(NOT)EVENT_VALVE_BOX_OPENED")</f>
        <v>(NOT)EVENT_VALVE_BOX_OPENED</v>
      </c>
    </row>
    <row r="213">
      <c r="A213" s="54">
        <f>ROW()-ROW(Table_EventsCombi[N])</f>
        <v>100</v>
      </c>
      <c r="B213" s="65" t="str">
        <f>IFERROR(__xludf.DUMMYFUNCTION("""COMPUTED_VALUE"""),"(NOT)EVENT_HIVE1_VALVE_ACTIVATED")</f>
        <v>(NOT)EVENT_HIVE1_VALVE_ACTIVATED</v>
      </c>
    </row>
    <row r="214">
      <c r="A214" s="54">
        <f>ROW()-ROW(Table_EventsCombi[N])</f>
        <v>101</v>
      </c>
      <c r="B214" s="65" t="str">
        <f>IFERROR(__xludf.DUMMYFUNCTION("""COMPUTED_VALUE"""),"(NOT)EVENT_TALKED_ARTURO_HALL_INN_COMPLETED")</f>
        <v>(NOT)EVENT_TALKED_ARTURO_HALL_INN_COMPLETED</v>
      </c>
    </row>
    <row r="215">
      <c r="A215" s="54">
        <f>ROW()-ROW(Table_EventsCombi[N])</f>
        <v>102</v>
      </c>
      <c r="B215" s="65" t="str">
        <f>IFERROR(__xludf.DUMMYFUNCTION("""COMPUTED_VALUE"""),"(NOT)EVENT_TALKED_ARTURO_HALL_PUB")</f>
        <v>(NOT)EVENT_TALKED_ARTURO_HALL_PUB</v>
      </c>
    </row>
    <row r="216">
      <c r="A216" s="54">
        <f>ROW()-ROW(Table_EventsCombi[N])</f>
        <v>103</v>
      </c>
      <c r="B216" s="65" t="str">
        <f>IFERROR(__xludf.DUMMYFUNCTION("""COMPUTED_VALUE"""),"(NOT)EVENT_ITEM_EXTRAPERLO_INVITATION_PICKABLE_TAKEN")</f>
        <v>(NOT)EVENT_ITEM_EXTRAPERLO_INVITATION_PICKABLE_TAKEN</v>
      </c>
    </row>
    <row r="217">
      <c r="A217" s="54">
        <f>ROW()-ROW(Table_EventsCombi[N])</f>
        <v>104</v>
      </c>
      <c r="B217" s="65" t="str">
        <f>IFERROR(__xludf.DUMMYFUNCTION("""COMPUTED_VALUE"""),"(NOT)EVENT_OBSERVED_INVITATION_RELIEF")</f>
        <v>(NOT)EVENT_OBSERVED_INVITATION_RELIEF</v>
      </c>
    </row>
    <row r="218">
      <c r="A218" s="54">
        <f>ROW()-ROW(Table_EventsCombi[N])</f>
        <v>105</v>
      </c>
      <c r="B218" s="65" t="str">
        <f>IFERROR(__xludf.DUMMYFUNCTION("""COMPUTED_VALUE"""),"(NOT)EVENT_INKWELL_NOT_TOUCH_WARN")</f>
        <v>(NOT)EVENT_INKWELL_NOT_TOUCH_WARN</v>
      </c>
    </row>
    <row r="219">
      <c r="A219" s="54">
        <f>ROW()-ROW(Table_EventsCombi[N])</f>
        <v>106</v>
      </c>
      <c r="B219" s="65" t="str">
        <f>IFERROR(__xludf.DUMMYFUNCTION("""COMPUTED_VALUE"""),"(NOT)EVENT_INKWELL_WASTED")</f>
        <v>(NOT)EVENT_INKWELL_WASTED</v>
      </c>
    </row>
    <row r="220">
      <c r="A220" s="54">
        <f>ROW()-ROW(Table_EventsCombi[N])</f>
        <v>107</v>
      </c>
      <c r="B220" s="65" t="str">
        <f>IFERROR(__xludf.DUMMYFUNCTION("""COMPUTED_VALUE"""),"(NOT)EVENT_INVITATION_REVEALED")</f>
        <v>(NOT)EVENT_INVITATION_REVEALED</v>
      </c>
    </row>
    <row r="221">
      <c r="A221" s="54">
        <f>ROW()-ROW(Table_EventsCombi[N])</f>
        <v>108</v>
      </c>
      <c r="B221" s="65" t="str">
        <f>IFERROR(__xludf.DUMMYFUNCTION("""COMPUTED_VALUE"""),"(NOT)EVENT_INVITATION_UNDERSTOOD_PHRASE")</f>
        <v>(NOT)EVENT_INVITATION_UNDERSTOOD_PHRASE</v>
      </c>
    </row>
    <row r="222">
      <c r="A222" s="54">
        <f>ROW()-ROW(Table_EventsCombi[N])</f>
        <v>109</v>
      </c>
      <c r="B222" s="65" t="str">
        <f>IFERROR(__xludf.DUMMYFUNCTION("""COMPUTED_VALUE"""),"(NOT)EVENT_EXTRAPERLO_SAID_PHRASE")</f>
        <v>(NOT)EVENT_EXTRAPERLO_SAID_PHRASE</v>
      </c>
    </row>
    <row r="223">
      <c r="A223" s="54">
        <f>ROW()-ROW(Table_EventsCombi[N])</f>
        <v>110</v>
      </c>
      <c r="B223" s="65" t="str">
        <f>IFERROR(__xludf.DUMMYFUNCTION("""COMPUTED_VALUE"""),"(NOT)EVENT_EXTRAPERLO_SHOWN_OLD_INVITATION")</f>
        <v>(NOT)EVENT_EXTRAPERLO_SHOWN_OLD_INVITATION</v>
      </c>
    </row>
    <row r="224">
      <c r="A224" s="54">
        <f>ROW()-ROW(Table_EventsCombi[N])</f>
        <v>111</v>
      </c>
      <c r="B224" s="65" t="str">
        <f>IFERROR(__xludf.DUMMYFUNCTION("""COMPUTED_VALUE"""),"(NOT)EVENT_EXTRAPERLO_SHOWN_NEW_INVITATION")</f>
        <v>(NOT)EVENT_EXTRAPERLO_SHOWN_NEW_INVITATION</v>
      </c>
    </row>
    <row r="225">
      <c r="A225" s="54">
        <f>ROW()-ROW(Table_EventsCombi[N])</f>
        <v>112</v>
      </c>
      <c r="B225" s="65" t="str">
        <f>IFERROR(__xludf.DUMMYFUNCTION("""COMPUTED_VALUE"""),"(NOT)EVENT_EXTRAPERLO_INV_FOLDED_CORNERS")</f>
        <v>(NOT)EVENT_EXTRAPERLO_INV_FOLDED_CORNERS</v>
      </c>
    </row>
    <row r="226">
      <c r="A226" s="54">
        <f>ROW()-ROW(Table_EventsCombi[N])</f>
        <v>113</v>
      </c>
      <c r="B226" s="65" t="str">
        <f>IFERROR(__xludf.DUMMYFUNCTION("""COMPUTED_VALUE"""),"(NOT)EVENT_EXTRAPERLO_WON_CARDS_ARTURO")</f>
        <v>(NOT)EVENT_EXTRAPERLO_WON_CARDS_ARTURO</v>
      </c>
    </row>
    <row r="227">
      <c r="A227" s="54">
        <f>ROW()-ROW(Table_EventsCombi[N])</f>
        <v>114</v>
      </c>
      <c r="B227" s="65" t="str">
        <f>IFERROR(__xludf.DUMMYFUNCTION("""COMPUTED_VALUE"""),"(NOT)EVENT_EXTRAPERLO_ARTURO_MENTIONED_SILVANA")</f>
        <v>(NOT)EVENT_EXTRAPERLO_ARTURO_MENTIONED_SILVANA</v>
      </c>
    </row>
    <row r="228">
      <c r="A228" s="54">
        <f>ROW()-ROW(Table_EventsCombi[N])</f>
        <v>115</v>
      </c>
      <c r="B228" s="65" t="str">
        <f>IFERROR(__xludf.DUMMYFUNCTION("""COMPUTED_VALUE"""),"(NOT)EVENT_EXTRAPERLO_SILVANA_REFUSED_MAINCHAR")</f>
        <v>(NOT)EVENT_EXTRAPERLO_SILVANA_REFUSED_MAINCHAR</v>
      </c>
    </row>
    <row r="229">
      <c r="A229" s="54">
        <f>ROW()-ROW(Table_EventsCombi[N])</f>
        <v>116</v>
      </c>
      <c r="B229" s="65" t="str">
        <f>IFERROR(__xludf.DUMMYFUNCTION("""COMPUTED_VALUE"""),"(NOT)EVENT_WAITER_EXTRAPERLO_GAVE_OLIVES")</f>
        <v>(NOT)EVENT_WAITER_EXTRAPERLO_GAVE_OLIVES</v>
      </c>
    </row>
    <row r="230">
      <c r="A230" s="54">
        <f>ROW()-ROW(Table_EventsCombi[N])</f>
        <v>117</v>
      </c>
      <c r="B230" s="65" t="str">
        <f>IFERROR(__xludf.DUMMYFUNCTION("""COMPUTED_VALUE"""),"(NOT)EVENT_TOOK_OLIVE_FROM_BOWL")</f>
        <v>(NOT)EVENT_TOOK_OLIVE_FROM_BOWL</v>
      </c>
    </row>
    <row r="231">
      <c r="A231" s="54">
        <f>ROW()-ROW(Table_EventsCombi[N])</f>
        <v>118</v>
      </c>
      <c r="B231" s="65" t="str">
        <f>IFERROR(__xludf.DUMMYFUNCTION("""COMPUTED_VALUE"""),"(NOT)EVENT_BEER_JAR_READY")</f>
        <v>(NOT)EVENT_BEER_JAR_READY</v>
      </c>
    </row>
    <row r="232">
      <c r="A232" s="54">
        <f>ROW()-ROW(Table_EventsCombi[N])</f>
        <v>119</v>
      </c>
      <c r="B232" s="65" t="str">
        <f>IFERROR(__xludf.DUMMYFUNCTION("""COMPUTED_VALUE"""),"(NOT)EVENT_BEER_FIRST_ROUND")</f>
        <v>(NOT)EVENT_BEER_FIRST_ROUND</v>
      </c>
    </row>
    <row r="233">
      <c r="A233" s="54">
        <f>ROW()-ROW(Table_EventsCombi[N])</f>
        <v>120</v>
      </c>
      <c r="B233" s="65" t="str">
        <f>IFERROR(__xludf.DUMMYFUNCTION("""COMPUTED_VALUE"""),"(NOT)EVENT_BEER_SECOND_ROUND")</f>
        <v>(NOT)EVENT_BEER_SECOND_ROUND</v>
      </c>
    </row>
    <row r="234">
      <c r="A234" s="54">
        <f>ROW()-ROW(Table_EventsCombi[N])</f>
        <v>121</v>
      </c>
      <c r="B234" s="65" t="str">
        <f>IFERROR(__xludf.DUMMYFUNCTION("""COMPUTED_VALUE"""),"(NOT)EVENT_BEER_THIRD_ROUND")</f>
        <v>(NOT)EVENT_BEER_THIRD_ROUND</v>
      </c>
    </row>
    <row r="235">
      <c r="A235" s="54">
        <f>ROW()-ROW(Table_EventsCombi[N])</f>
        <v>122</v>
      </c>
      <c r="B235" s="65" t="str">
        <f>IFERROR(__xludf.DUMMYFUNCTION("""COMPUTED_VALUE"""),"(NOT)EVENT_DRUNK_STATE")</f>
        <v>(NOT)EVENT_DRUNK_STATE</v>
      </c>
    </row>
    <row r="236">
      <c r="A236" s="54">
        <f>ROW()-ROW(Table_EventsCombi[N])</f>
        <v>123</v>
      </c>
      <c r="B236" s="65" t="str">
        <f>IFERROR(__xludf.DUMMYFUNCTION("""COMPUTED_VALUE"""),"(NOT)EVENT_OLIVE_OFFERED")</f>
        <v>(NOT)EVENT_OLIVE_OFFERED</v>
      </c>
    </row>
    <row r="237">
      <c r="A237" s="54">
        <f>ROW()-ROW(Table_EventsCombi[N])</f>
        <v>124</v>
      </c>
      <c r="B237" s="65" t="str">
        <f>IFERROR(__xludf.DUMMYFUNCTION("""COMPUTED_VALUE"""),"(NOT)EVENT_NEED_ORINE_SAID")</f>
        <v>(NOT)EVENT_NEED_ORINE_SAID</v>
      </c>
    </row>
    <row r="238">
      <c r="A238" s="54">
        <f>ROW()-ROW(Table_EventsCombi[N])</f>
        <v>125</v>
      </c>
      <c r="B238" s="65" t="str">
        <f>IFERROR(__xludf.DUMMYFUNCTION("""COMPUTED_VALUE"""),"(NOT)EVENT_USED_ORINE_FLOWER")</f>
        <v>(NOT)EVENT_USED_ORINE_FLOWER</v>
      </c>
    </row>
    <row r="239">
      <c r="A239" s="54">
        <f>ROW()-ROW(Table_EventsCombi[N])</f>
        <v>126</v>
      </c>
      <c r="B239" s="65" t="str">
        <f>IFERROR(__xludf.DUMMYFUNCTION("""COMPUTED_VALUE"""),"(NOT)EVENT_PENDING_RECAP_EXTRAPERLO_GARDEN")</f>
        <v>(NOT)EVENT_PENDING_RECAP_EXTRAPERLO_GARDEN</v>
      </c>
    </row>
    <row r="240">
      <c r="A240" s="54">
        <f>ROW()-ROW(Table_EventsCombi[N])</f>
        <v>127</v>
      </c>
      <c r="B240" s="65" t="str">
        <f>IFERROR(__xludf.DUMMYFUNCTION("""COMPUTED_VALUE"""),"(NOT)EVENT_PENDING_DREAM_1")</f>
        <v>(NOT)EVENT_PENDING_DREAM_1</v>
      </c>
    </row>
    <row r="241">
      <c r="A241" s="54">
        <f>ROW()-ROW(Table_EventsCombi[N])</f>
        <v>128</v>
      </c>
      <c r="B241" s="65" t="str">
        <f>IFERROR(__xludf.DUMMYFUNCTION("""COMPUTED_VALUE"""),"(NOT)EVENT_PENDING_DESCRIBE_DREAM_FRAMEWORK")</f>
        <v>(NOT)EVENT_PENDING_DESCRIBE_DREAM_FRAMEWORK</v>
      </c>
    </row>
    <row r="242">
      <c r="A242" s="54">
        <f>ROW()-ROW(Table_EventsCombi[N])</f>
        <v>129</v>
      </c>
      <c r="B242" s="65" t="str">
        <f>IFERROR(__xludf.DUMMYFUNCTION("""COMPUTED_VALUE"""),"(NOT)EVENT_EPHIMERAL_ON")</f>
        <v>(NOT)EVENT_EPHIMERAL_ON</v>
      </c>
    </row>
    <row r="243">
      <c r="A243" s="54">
        <f>ROW()-ROW(Table_EventsCombi[N])</f>
        <v>130</v>
      </c>
      <c r="B243" s="65" t="str">
        <f>IFERROR(__xludf.DUMMYFUNCTION("""COMPUTED_VALUE"""),"(NOT)EVENT_SULTAN_ATE_FOOD")</f>
        <v>(NOT)EVENT_SULTAN_ATE_FOOD</v>
      </c>
    </row>
    <row r="244">
      <c r="A244" s="54">
        <f>ROW()-ROW(Table_EventsCombi[N])</f>
        <v>131</v>
      </c>
      <c r="B244" s="65" t="str">
        <f>IFERROR(__xludf.DUMMYFUNCTION("""COMPUTED_VALUE"""),"(NOT)EVENT_ALTER_EGO_DREAM_1_TALKED")</f>
        <v>(NOT)EVENT_ALTER_EGO_DREAM_1_TALKED</v>
      </c>
    </row>
    <row r="245">
      <c r="A245" s="54">
        <f>ROW()-ROW(Table_EventsCombi[N])</f>
        <v>132</v>
      </c>
      <c r="B245" s="65" t="str">
        <f>IFERROR(__xludf.DUMMYFUNCTION("""COMPUTED_VALUE"""),"(NOT)EVENT_ITEM_FIG_PICKABLE_TAKEN")</f>
        <v>(NOT)EVENT_ITEM_FIG_PICKABLE_TAKEN</v>
      </c>
    </row>
    <row r="246">
      <c r="A246" s="54">
        <f>ROW()-ROW(Table_EventsCombi[N])</f>
        <v>133</v>
      </c>
      <c r="B246" s="65" t="str">
        <f>IFERROR(__xludf.DUMMYFUNCTION("""COMPUTED_VALUE"""),"(NOT)EVENT_PENDING_RECAP_DREAM_1")</f>
        <v>(NOT)EVENT_PENDING_RECAP_DREAM_1</v>
      </c>
    </row>
    <row r="247">
      <c r="A247" s="54">
        <f>ROW()-ROW(Table_EventsCombi[N])</f>
        <v>134</v>
      </c>
      <c r="B247" s="65" t="str">
        <f>IFERROR(__xludf.DUMMYFUNCTION("""COMPUTED_VALUE"""),"(NOT)EVENT_REME_MOVED")</f>
        <v>(NOT)EVENT_REME_MOVED</v>
      </c>
    </row>
    <row r="248">
      <c r="A248" s="54">
        <f>ROW()-ROW(Table_EventsCombi[N])</f>
        <v>135</v>
      </c>
      <c r="B248" s="65" t="str">
        <f>IFERROR(__xludf.DUMMYFUNCTION("""COMPUTED_VALUE"""),"(NOT)EVENT_COIN25_PICKABLE_TAKEN")</f>
        <v>(NOT)EVENT_COIN25_PICKABLE_TAKEN</v>
      </c>
    </row>
    <row r="249">
      <c r="A249" s="54">
        <f>ROW()-ROW(Table_EventsCombi[N])</f>
        <v>136</v>
      </c>
      <c r="B249" s="65" t="str">
        <f>IFERROR(__xludf.DUMMYFUNCTION("""COMPUTED_VALUE"""),"(NOT)EVENT_HIVE_ROOM_KEY_PICKABLE_TAKEN")</f>
        <v>(NOT)EVENT_HIVE_ROOM_KEY_PICKABLE_TAKEN</v>
      </c>
    </row>
    <row r="250">
      <c r="A250" s="54">
        <f>ROW()-ROW(Table_EventsCombi[N])</f>
        <v>137</v>
      </c>
      <c r="B250" s="65" t="str">
        <f>IFERROR(__xludf.DUMMYFUNCTION("""COMPUTED_VALUE"""),"(NOT)EVENT_USED_KEY_ON_SERVICE_DOOR")</f>
        <v>(NOT)EVENT_USED_KEY_ON_SERVICE_DOOR</v>
      </c>
    </row>
    <row r="251">
      <c r="A251" s="54">
        <f>ROW()-ROW(Table_EventsCombi[N])</f>
        <v>138</v>
      </c>
      <c r="B251" s="65" t="str">
        <f>IFERROR(__xludf.DUMMYFUNCTION("""COMPUTED_VALUE"""),"(NOT)EVENT_ITEM_MIX_JAR_PICKABLE_TAKEN")</f>
        <v>(NOT)EVENT_ITEM_MIX_JAR_PICKABLE_TAKEN</v>
      </c>
    </row>
    <row r="252">
      <c r="A252" s="54">
        <f>ROW()-ROW(Table_EventsCombi[N])</f>
        <v>139</v>
      </c>
      <c r="B252" s="65" t="str">
        <f>IFERROR(__xludf.DUMMYFUNCTION("""COMPUTED_VALUE"""),"(NOT)EVENT_ITEM_PICKABLE_TAR_CAN_PICKABLE_TAKEN")</f>
        <v>(NOT)EVENT_ITEM_PICKABLE_TAR_CAN_PICKABLE_TAKEN</v>
      </c>
    </row>
    <row r="253">
      <c r="A253" s="54">
        <f>ROW()-ROW(Table_EventsCombi[N])</f>
        <v>140</v>
      </c>
      <c r="B253" s="65" t="str">
        <f>IFERROR(__xludf.DUMMYFUNCTION("""COMPUTED_VALUE"""),"(NOT)EVENT_ITEM_GUMBALL_TAKEN")</f>
        <v>(NOT)EVENT_ITEM_GUMBALL_TAKEN</v>
      </c>
    </row>
    <row r="254">
      <c r="A254" s="54">
        <f>ROW()-ROW(Table_EventsCombi[N])</f>
        <v>141</v>
      </c>
      <c r="B254" s="65" t="str">
        <f>IFERROR(__xludf.DUMMYFUNCTION("""COMPUTED_VALUE"""),"(NOT)EVENT_COIN_IN_CRACK")</f>
        <v>(NOT)EVENT_COIN_IN_CRACK</v>
      </c>
    </row>
    <row r="255">
      <c r="A255" s="54">
        <f>ROW()-ROW(Table_EventsCombi[N])</f>
        <v>142</v>
      </c>
      <c r="B255" s="65" t="str">
        <f>IFERROR(__xludf.DUMMYFUNCTION("""COMPUTED_VALUE"""),"(NOT)EVENT_RECOVERED_COIN25")</f>
        <v>(NOT)EVENT_RECOVERED_COIN25</v>
      </c>
    </row>
    <row r="256">
      <c r="A256" s="54">
        <f>ROW()-ROW(Table_EventsCombi[N])</f>
        <v>143</v>
      </c>
      <c r="B256" s="65" t="str">
        <f>IFERROR(__xludf.DUMMYFUNCTION("""COMPUTED_VALUE"""),"(NOT)EVENT_USED_IDEA_ROACHES_REME")</f>
        <v>(NOT)EVENT_USED_IDEA_ROACHES_REME</v>
      </c>
    </row>
    <row r="257">
      <c r="A257" s="54">
        <f>ROW()-ROW(Table_EventsCombi[N])</f>
        <v>144</v>
      </c>
      <c r="B257" s="65" t="str">
        <f>IFERROR(__xludf.DUMMYFUNCTION("""COMPUTED_VALUE"""),"(NOT)EVENT_REME_SAID_SCARED_ROACHES")</f>
        <v>(NOT)EVENT_REME_SAID_SCARED_ROACHES</v>
      </c>
    </row>
    <row r="258">
      <c r="A258" s="54">
        <f>ROW()-ROW(Table_EventsCombi[N])</f>
        <v>145</v>
      </c>
      <c r="B258" s="65" t="str">
        <f>IFERROR(__xludf.DUMMYFUNCTION("""COMPUTED_VALUE"""),"(NOT)EVENT_THOUGHT_ROACHES_MEMENTO_REME")</f>
        <v>(NOT)EVENT_THOUGHT_ROACHES_MEMENTO_REME</v>
      </c>
    </row>
    <row r="259">
      <c r="A259" s="54">
        <f>ROW()-ROW(Table_EventsCombi[N])</f>
        <v>146</v>
      </c>
      <c r="B259" s="65" t="str">
        <f>IFERROR(__xludf.DUMMYFUNCTION("""COMPUTED_VALUE"""),"(NOT)EVENT_USED_IDEA_ROACHES_EXPERIMENT_TABLE")</f>
        <v>(NOT)EVENT_USED_IDEA_ROACHES_EXPERIMENT_TABLE</v>
      </c>
    </row>
    <row r="260">
      <c r="A260" s="54">
        <f>ROW()-ROW(Table_EventsCombi[N])</f>
        <v>147</v>
      </c>
      <c r="B260" s="65" t="str">
        <f>IFERROR(__xludf.DUMMYFUNCTION("""COMPUTED_VALUE"""),"(NOT)EVENT_READ_LAB_MAGAZINE")</f>
        <v>(NOT)EVENT_READ_LAB_MAGAZINE</v>
      </c>
    </row>
    <row r="261">
      <c r="A261" s="54">
        <f>ROW()-ROW(Table_EventsCombi[N])</f>
        <v>148</v>
      </c>
      <c r="B261" s="65" t="str">
        <f>IFERROR(__xludf.DUMMYFUNCTION("""COMPUTED_VALUE"""),"(NOT)EVENT_SCRATCHED_RUSTY_SPRING")</f>
        <v>(NOT)EVENT_SCRATCHED_RUSTY_SPRING</v>
      </c>
    </row>
    <row r="262">
      <c r="A262" s="54">
        <f>ROW()-ROW(Table_EventsCombi[N])</f>
        <v>149</v>
      </c>
      <c r="B262" s="65" t="str">
        <f>IFERROR(__xludf.DUMMYFUNCTION("""COMPUTED_VALUE"""),"(NOT)EVENT_OBTAINED_RUST_POWDER")</f>
        <v>(NOT)EVENT_OBTAINED_RUST_POWDER</v>
      </c>
    </row>
    <row r="263">
      <c r="A263" s="54">
        <f>ROW()-ROW(Table_EventsCombi[N])</f>
        <v>150</v>
      </c>
      <c r="B263" s="65" t="str">
        <f>IFERROR(__xludf.DUMMYFUNCTION("""COMPUTED_VALUE"""),"(NOT)EVENT_LAB_STARTED_MIX")</f>
        <v>(NOT)EVENT_LAB_STARTED_MIX</v>
      </c>
    </row>
    <row r="264">
      <c r="A264" s="54">
        <f>ROW()-ROW(Table_EventsCombi[N])</f>
        <v>151</v>
      </c>
      <c r="B264" s="65" t="str">
        <f>IFERROR(__xludf.DUMMYFUNCTION("""COMPUTED_VALUE"""),"(NOT)EVENT_LAB_PERFECT_MIX")</f>
        <v>(NOT)EVENT_LAB_PERFECT_MIX</v>
      </c>
    </row>
    <row r="265">
      <c r="A265" s="54">
        <f>ROW()-ROW(Table_EventsCombi[N])</f>
        <v>152</v>
      </c>
      <c r="B265" s="65" t="str">
        <f>IFERROR(__xludf.DUMMYFUNCTION("""COMPUTED_VALUE"""),"(NOT)EVENT_MIX_JAR_IN_INVENTORY")</f>
        <v>(NOT)EVENT_MIX_JAR_IN_INVENTORY</v>
      </c>
    </row>
    <row r="266">
      <c r="A266" s="54">
        <f>ROW()-ROW(Table_EventsCombi[N])</f>
        <v>153</v>
      </c>
      <c r="B266" s="65" t="str">
        <f>IFERROR(__xludf.DUMMYFUNCTION("""COMPUTED_VALUE"""),"(NOT)EVENT_ROACHES_MOB_STARTED")</f>
        <v>(NOT)EVENT_ROACHES_MOB_STARTED</v>
      </c>
    </row>
    <row r="267">
      <c r="A267" s="54">
        <f>ROW()-ROW(Table_EventsCombi[N])</f>
        <v>154</v>
      </c>
      <c r="B267" s="65" t="str">
        <f>IFERROR(__xludf.DUMMYFUNCTION("""COMPUTED_VALUE"""),"(NOT)EVENT_USED_RECIPE_IDEA_PHARMACIST")</f>
        <v>(NOT)EVENT_USED_RECIPE_IDEA_PHARMACIST</v>
      </c>
    </row>
    <row r="268">
      <c r="A268" s="54">
        <f>ROW()-ROW(Table_EventsCombi[N])</f>
        <v>155</v>
      </c>
      <c r="B268" s="65" t="str">
        <f>IFERROR(__xludf.DUMMYFUNCTION("""COMPUTED_VALUE"""),"(NOT)EVENT_PHARMACIST_GAVE_RECIPE_CLUE")</f>
        <v>(NOT)EVENT_PHARMACIST_GAVE_RECIPE_CLUE</v>
      </c>
    </row>
    <row r="269">
      <c r="A269" s="54">
        <f>ROW()-ROW(Table_EventsCombi[N])</f>
        <v>156</v>
      </c>
      <c r="B269" s="65" t="str">
        <f>IFERROR(__xludf.DUMMYFUNCTION("""COMPUTED_VALUE"""),"(NOT)EVENT_USED_RECIPE_IDEA_MATRIARCH")</f>
        <v>(NOT)EVENT_USED_RECIPE_IDEA_MATRIARCH</v>
      </c>
    </row>
    <row r="270">
      <c r="A270" s="54">
        <f>ROW()-ROW(Table_EventsCombi[N])</f>
        <v>157</v>
      </c>
      <c r="B270" s="65" t="str">
        <f>IFERROR(__xludf.DUMMYFUNCTION("""COMPUTED_VALUE"""),"(NOT)EVENT_LAST")</f>
        <v>(NOT)EVENT_LAST</v>
      </c>
    </row>
    <row r="271">
      <c r="A271" s="54">
        <f>ROW()-ROW(Table_EventsCombi[N])</f>
        <v>158</v>
      </c>
      <c r="B271" s="65"/>
    </row>
    <row r="272">
      <c r="A272" s="54">
        <f>ROW()-ROW(Table_EventsCombi[N])</f>
        <v>159</v>
      </c>
      <c r="B272" s="65"/>
    </row>
    <row r="273">
      <c r="A273" s="54">
        <f>ROW()-ROW(Table_EventsCombi[N])</f>
        <v>160</v>
      </c>
      <c r="B273" s="65"/>
    </row>
    <row r="274">
      <c r="A274" s="54">
        <f>ROW()-ROW(Table_EventsCombi[N])</f>
        <v>161</v>
      </c>
      <c r="B274" s="65"/>
    </row>
    <row r="275">
      <c r="A275" s="54">
        <f>ROW()-ROW(Table_EventsCombi[N])</f>
        <v>162</v>
      </c>
      <c r="B275" s="65"/>
    </row>
    <row r="276">
      <c r="A276" s="54">
        <f>ROW()-ROW(Table_EventsCombi[N])</f>
        <v>163</v>
      </c>
      <c r="B276" s="65"/>
    </row>
    <row r="277">
      <c r="A277" s="54">
        <f>ROW()-ROW(Table_EventsCombi[N])</f>
        <v>164</v>
      </c>
      <c r="B277" s="65"/>
    </row>
    <row r="278">
      <c r="A278" s="54">
        <f>ROW()-ROW(Table_EventsCombi[N])</f>
        <v>165</v>
      </c>
      <c r="B278" s="65"/>
    </row>
    <row r="279">
      <c r="A279" s="54">
        <f>ROW()-ROW(Table_EventsCombi[N])</f>
        <v>166</v>
      </c>
      <c r="B279" s="65"/>
    </row>
    <row r="280">
      <c r="A280" s="54">
        <f>ROW()-ROW(Table_EventsCombi[N])</f>
        <v>167</v>
      </c>
      <c r="B280" s="65"/>
    </row>
    <row r="281">
      <c r="A281" s="54">
        <f>ROW()-ROW(Table_EventsCombi[N])</f>
        <v>168</v>
      </c>
      <c r="B281" s="65"/>
    </row>
    <row r="282">
      <c r="A282" s="54">
        <f>ROW()-ROW(Table_EventsCombi[N])</f>
        <v>169</v>
      </c>
      <c r="B282" s="65"/>
    </row>
    <row r="283">
      <c r="A283" s="54">
        <f>ROW()-ROW(Table_EventsCombi[N])</f>
        <v>170</v>
      </c>
      <c r="B283" s="65"/>
    </row>
    <row r="284">
      <c r="A284" s="54">
        <f>ROW()-ROW(Table_EventsCombi[N])</f>
        <v>171</v>
      </c>
      <c r="B284" s="65"/>
    </row>
    <row r="285">
      <c r="A285" s="54">
        <f>ROW()-ROW(Table_EventsCombi[N])</f>
        <v>172</v>
      </c>
      <c r="B285" s="65"/>
    </row>
    <row r="286">
      <c r="A286" s="54">
        <f>ROW()-ROW(Table_EventsCombi[N])</f>
        <v>173</v>
      </c>
      <c r="B286" s="65"/>
    </row>
    <row r="287">
      <c r="A287" s="54">
        <f>ROW()-ROW(Table_EventsCombi[N])</f>
        <v>174</v>
      </c>
      <c r="B287" s="65"/>
    </row>
    <row r="288">
      <c r="A288" s="54">
        <f>ROW()-ROW(Table_EventsCombi[N])</f>
        <v>175</v>
      </c>
      <c r="B288" s="65"/>
    </row>
    <row r="289">
      <c r="A289" s="54">
        <f>ROW()-ROW(Table_EventsCombi[N])</f>
        <v>176</v>
      </c>
      <c r="B289" s="65"/>
    </row>
    <row r="290">
      <c r="A290" s="54">
        <f>ROW()-ROW(Table_EventsCombi[N])</f>
        <v>177</v>
      </c>
      <c r="B290" s="65"/>
    </row>
    <row r="291">
      <c r="A291" s="54">
        <f>ROW()-ROW(Table_EventsCombi[N])</f>
        <v>178</v>
      </c>
      <c r="B291" s="65"/>
    </row>
    <row r="292">
      <c r="A292" s="54">
        <f>ROW()-ROW(Table_EventsCombi[N])</f>
        <v>179</v>
      </c>
      <c r="B292" s="65"/>
    </row>
    <row r="293">
      <c r="A293" s="54">
        <f>ROW()-ROW(Table_EventsCombi[N])</f>
        <v>180</v>
      </c>
      <c r="B293" s="65"/>
    </row>
    <row r="294">
      <c r="A294" s="54">
        <f>ROW()-ROW(Table_EventsCombi[N])</f>
        <v>181</v>
      </c>
      <c r="B294" s="65"/>
    </row>
    <row r="295">
      <c r="A295" s="54">
        <f>ROW()-ROW(Table_EventsCombi[N])</f>
        <v>182</v>
      </c>
      <c r="B295" s="65"/>
    </row>
    <row r="296">
      <c r="A296" s="54">
        <f>ROW()-ROW(Table_EventsCombi[N])</f>
        <v>183</v>
      </c>
      <c r="B296" s="65"/>
    </row>
    <row r="297">
      <c r="A297" s="54">
        <f>ROW()-ROW(Table_EventsCombi[N])</f>
        <v>184</v>
      </c>
      <c r="B297" s="65"/>
    </row>
    <row r="298">
      <c r="A298" s="54">
        <f>ROW()-ROW(Table_EventsCombi[N])</f>
        <v>185</v>
      </c>
      <c r="B298" s="65"/>
    </row>
    <row r="299">
      <c r="A299" s="54">
        <f>ROW()-ROW(Table_EventsCombi[N])</f>
        <v>186</v>
      </c>
      <c r="B299" s="65"/>
    </row>
  </sheetData>
  <dataValidations>
    <dataValidation type="list" allowBlank="1" sqref="C83:F90 C93:D110">
      <formula1>#REF!</formula1>
    </dataValidation>
  </dataValidations>
  <drawing r:id="rId1"/>
  <tableParts count="4">
    <tablePart r:id="rId6"/>
    <tablePart r:id="rId7"/>
    <tablePart r:id="rId8"/>
    <tablePart r:id="rId9"/>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5F06"/>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30.0"/>
    <col customWidth="1" min="3" max="3" width="47.29"/>
  </cols>
  <sheetData>
    <row r="1">
      <c r="A1" s="1" t="s">
        <v>49</v>
      </c>
      <c r="B1" s="1" t="s">
        <v>4452</v>
      </c>
      <c r="C1" s="1" t="s">
        <v>4453</v>
      </c>
    </row>
    <row r="2">
      <c r="A2" s="30">
        <f t="shared" ref="A2:A10" si="1">ROW()-ROW($A$2)</f>
        <v>0</v>
      </c>
      <c r="B2" s="30" t="s">
        <v>365</v>
      </c>
      <c r="C2" s="30" t="s">
        <v>4454</v>
      </c>
    </row>
    <row r="3">
      <c r="A3" s="30">
        <f t="shared" si="1"/>
        <v>1</v>
      </c>
      <c r="B3" s="30" t="s">
        <v>482</v>
      </c>
      <c r="C3" s="30" t="s">
        <v>4455</v>
      </c>
    </row>
    <row r="4">
      <c r="A4" s="30">
        <f t="shared" si="1"/>
        <v>2</v>
      </c>
      <c r="B4" s="30" t="s">
        <v>371</v>
      </c>
      <c r="C4" s="30" t="s">
        <v>4456</v>
      </c>
    </row>
    <row r="5">
      <c r="A5" s="30">
        <f t="shared" si="1"/>
        <v>3</v>
      </c>
      <c r="B5" s="30" t="s">
        <v>4330</v>
      </c>
      <c r="C5" s="30" t="s">
        <v>4457</v>
      </c>
    </row>
    <row r="6">
      <c r="A6" s="30">
        <f t="shared" si="1"/>
        <v>4</v>
      </c>
      <c r="B6" s="30" t="s">
        <v>563</v>
      </c>
      <c r="C6" s="30" t="s">
        <v>4458</v>
      </c>
    </row>
    <row r="7">
      <c r="A7" s="30">
        <f t="shared" si="1"/>
        <v>5</v>
      </c>
      <c r="B7" s="30" t="s">
        <v>4342</v>
      </c>
      <c r="C7" s="30" t="s">
        <v>4459</v>
      </c>
    </row>
    <row r="8">
      <c r="A8" s="30">
        <f t="shared" si="1"/>
        <v>6</v>
      </c>
      <c r="B8" s="30" t="s">
        <v>595</v>
      </c>
      <c r="C8" s="30" t="s">
        <v>4460</v>
      </c>
    </row>
    <row r="9">
      <c r="A9" s="30">
        <f t="shared" si="1"/>
        <v>7</v>
      </c>
      <c r="B9" s="30" t="s">
        <v>4354</v>
      </c>
      <c r="C9" s="30" t="s">
        <v>4461</v>
      </c>
    </row>
    <row r="10">
      <c r="A10" s="30">
        <f t="shared" si="1"/>
        <v>8</v>
      </c>
      <c r="B10" s="30" t="s">
        <v>4462</v>
      </c>
      <c r="C10" s="30" t="s">
        <v>4454</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4.43" defaultRowHeight="15.0"/>
  <cols>
    <col customWidth="1" min="2" max="2" width="39.43"/>
  </cols>
  <sheetData>
    <row r="1">
      <c r="A1" s="1" t="s">
        <v>49</v>
      </c>
      <c r="B1" s="1" t="s">
        <v>4372</v>
      </c>
    </row>
    <row r="2">
      <c r="A2" s="48">
        <f>ROW()-ROW(Table_Animations[N])</f>
        <v>0</v>
      </c>
      <c r="B2" s="48" t="s">
        <v>1300</v>
      </c>
    </row>
    <row r="3">
      <c r="A3" s="48">
        <f>ROW()-ROW(Table_Animations[N])</f>
        <v>1</v>
      </c>
      <c r="B3" s="48" t="s">
        <v>1851</v>
      </c>
    </row>
    <row r="4">
      <c r="A4" s="48">
        <f>ROW()-ROW(Table_Animations[N])</f>
        <v>2</v>
      </c>
      <c r="B4" s="48" t="s">
        <v>1853</v>
      </c>
    </row>
    <row r="5">
      <c r="A5" s="48">
        <f>ROW()-ROW(Table_Animations[N])</f>
        <v>3</v>
      </c>
      <c r="B5" s="48" t="s">
        <v>1855</v>
      </c>
    </row>
    <row r="6">
      <c r="A6" s="48">
        <f>ROW()-ROW(Table_Animations[N])</f>
        <v>4</v>
      </c>
      <c r="B6" s="48" t="s">
        <v>1857</v>
      </c>
    </row>
    <row r="7">
      <c r="A7" s="48">
        <f>ROW()-ROW(Table_Animations[N])</f>
        <v>5</v>
      </c>
      <c r="B7" s="48" t="s">
        <v>1859</v>
      </c>
    </row>
    <row r="8">
      <c r="A8" s="48">
        <f>ROW()-ROW(Table_Animations[N])</f>
        <v>6</v>
      </c>
      <c r="B8" s="48" t="s">
        <v>1897</v>
      </c>
    </row>
    <row r="9">
      <c r="A9" s="48">
        <f>ROW()-ROW(Table_Animations[N])</f>
        <v>7</v>
      </c>
      <c r="B9" s="48" t="s">
        <v>1899</v>
      </c>
    </row>
    <row r="10">
      <c r="A10" s="48">
        <f>ROW()-ROW(Table_Animations[N])</f>
        <v>8</v>
      </c>
      <c r="B10" s="48" t="s">
        <v>1774</v>
      </c>
    </row>
    <row r="11">
      <c r="A11" s="48">
        <f>ROW()-ROW(Table_Animations[N])</f>
        <v>9</v>
      </c>
      <c r="B11" s="48" t="s">
        <v>1923</v>
      </c>
    </row>
    <row r="12">
      <c r="A12" s="48">
        <f>ROW()-ROW(Table_Animations[N])</f>
        <v>10</v>
      </c>
      <c r="B12" s="48" t="s">
        <v>4463</v>
      </c>
    </row>
    <row r="14">
      <c r="A14" s="1" t="s">
        <v>49</v>
      </c>
      <c r="B14" s="1" t="s">
        <v>4464</v>
      </c>
    </row>
    <row r="15">
      <c r="A15" s="48">
        <f>ROW()-ROW(Table_CardGames[N])</f>
        <v>0</v>
      </c>
      <c r="B15" s="48" t="s">
        <v>1305</v>
      </c>
    </row>
    <row r="16">
      <c r="A16" s="48">
        <f>ROW()-ROW(Table_CardGames[N])</f>
        <v>1</v>
      </c>
      <c r="B16" s="48" t="s">
        <v>1489</v>
      </c>
    </row>
    <row r="17">
      <c r="A17" s="48">
        <f>ROW()-ROW(Table_CardGames[N])</f>
        <v>2</v>
      </c>
      <c r="B17" s="48" t="s">
        <v>1545</v>
      </c>
    </row>
  </sheetData>
  <drawing r:id="rId1"/>
  <tableParts count="2">
    <tablePart r:id="rId4"/>
    <tablePart r:id="rId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29"/>
    <col customWidth="1" min="2" max="2" width="9.43"/>
    <col customWidth="1" min="3" max="3" width="11.71"/>
    <col customWidth="1" min="4" max="4" width="15.57"/>
  </cols>
  <sheetData>
    <row r="1">
      <c r="A1" s="1" t="s">
        <v>4465</v>
      </c>
      <c r="B1" s="1" t="s">
        <v>4466</v>
      </c>
      <c r="C1" s="1" t="s">
        <v>4467</v>
      </c>
      <c r="D1" s="1" t="s">
        <v>4468</v>
      </c>
    </row>
    <row r="2">
      <c r="A2" s="49" t="s">
        <v>4469</v>
      </c>
      <c r="B2" s="68">
        <v>4.0</v>
      </c>
      <c r="C2" s="48" t="b">
        <v>0</v>
      </c>
      <c r="D2" s="48" t="b">
        <v>0</v>
      </c>
    </row>
    <row r="3">
      <c r="A3" s="49" t="s">
        <v>4470</v>
      </c>
      <c r="B3" s="68">
        <v>3.0</v>
      </c>
      <c r="C3" s="48" t="b">
        <v>1</v>
      </c>
      <c r="D3" s="48" t="b">
        <v>1</v>
      </c>
    </row>
    <row r="4">
      <c r="A4" s="49" t="s">
        <v>4471</v>
      </c>
      <c r="B4" s="68">
        <v>4.0</v>
      </c>
      <c r="C4" s="48" t="b">
        <v>0</v>
      </c>
      <c r="D4" s="48" t="b">
        <v>0</v>
      </c>
    </row>
    <row r="5">
      <c r="A5" s="49" t="s">
        <v>4472</v>
      </c>
      <c r="B5" s="68">
        <v>4.0</v>
      </c>
      <c r="C5" s="48" t="b">
        <v>0</v>
      </c>
      <c r="D5" s="48" t="b">
        <v>0</v>
      </c>
    </row>
    <row r="6">
      <c r="A6" s="49" t="s">
        <v>4473</v>
      </c>
      <c r="B6" s="68">
        <v>4.0</v>
      </c>
      <c r="C6" s="48" t="b">
        <v>0</v>
      </c>
      <c r="D6" s="48" t="b">
        <v>0</v>
      </c>
    </row>
    <row r="7">
      <c r="A7" s="49" t="s">
        <v>4474</v>
      </c>
      <c r="B7" s="68">
        <v>5.0</v>
      </c>
      <c r="C7" s="48" t="b">
        <v>0</v>
      </c>
      <c r="D7" s="48" t="b">
        <v>0</v>
      </c>
    </row>
    <row r="8">
      <c r="A8" s="49" t="s">
        <v>3375</v>
      </c>
      <c r="B8" s="68">
        <v>5.0</v>
      </c>
      <c r="C8" s="48" t="b">
        <v>0</v>
      </c>
      <c r="D8" s="48" t="b">
        <v>0</v>
      </c>
    </row>
  </sheetData>
  <conditionalFormatting sqref="B2:B8">
    <cfRule type="colorScale" priority="1">
      <colorScale>
        <cfvo type="formula" val="1"/>
        <cfvo type="formula" val="3"/>
        <cfvo type="formula" val="5"/>
        <color rgb="FFFF0000"/>
        <color rgb="FFFFFF00"/>
        <color rgb="FF57BB8A"/>
      </colorScale>
    </cfRule>
  </conditionalFormatting>
  <conditionalFormatting sqref="A2:A8">
    <cfRule type="expression" dxfId="5" priority="2">
      <formula>$C2=TRUE</formula>
    </cfRule>
  </conditionalFormatting>
  <dataValidations>
    <dataValidation type="custom" allowBlank="1" showDropDown="1" sqref="B2:B8">
      <formula1>AND(ISNUMBER(B2),(NOT(OR(NOT(ISERROR(DATEVALUE(B2))), AND(ISNUMBER(B2), LEFT(CELL("format", B2))="D")))))</formula1>
    </dataValidation>
  </dataValidations>
  <drawing r:id="rId1"/>
  <tableParts count="1">
    <tablePart r:id="rId3"/>
  </tableParts>
</worksheet>
</file>