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DIALOGS!$A$1:$D$57</definedName>
    <definedName name="Interval_autoInsertRoom">FN!$A$4:$E$5</definedName>
    <definedName name="Interval_Memento_Parent">EVENTS!$A$61:$E$66</definedName>
    <definedName name="Interval_Animations">ANIMATIONS!$A$1:$B$4</definedName>
    <definedName name="Interval_Events">EVENTS!$A$1:$B$59</definedName>
    <definedName name="Interval_Rooms">ROOMS!$A$1:$K$28</definedName>
    <definedName name="Interval_Name">NAMES!$A$1:$D$67</definedName>
    <definedName name="Interval_autoInsertItem">FN!$A$1:$J$2</definedName>
    <definedName name="Interval_Unchain_Conditions">ACTION_CONDS!$A$108:$I$154</definedName>
    <definedName name="Interval_Actions">ACTION_CONDS!$A$156:$W$447</definedName>
    <definedName name="Interval_Phrases">PHRASES!$A$1:$I$376</definedName>
    <definedName name="Interval_sprites">SPRITES!$A$1:$C$104</definedName>
    <definedName name="Interval_Items">ITEMS!$A$1:$J$78</definedName>
    <definedName name="Interval_Dialog_Options">DIALOGS!$A$59:$H$148</definedName>
    <definedName name="Interval_Memento">EVENTS!$A$68:$F$76</definedName>
    <definedName name="Interval_autoInsertDialog">FN!$A$7:$L$8</definedName>
    <definedName name="Interval_Sounds">SOUNDS!$A$1:$D$295</definedName>
    <definedName name="Interval_Action_Conditions">ACTION_CONDS!$A$1:$H$106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9">
      <text>
        <t xml:space="preserve">Actions triggered after all phrases</t>
      </text>
    </comment>
    <comment authorId="0" ref="F59">
      <text>
        <t xml:space="preserve">New dialog shown after all phrases have been said</t>
      </text>
    </comment>
  </commentList>
</comments>
</file>

<file path=xl/sharedStrings.xml><?xml version="1.0" encoding="utf-8"?>
<sst xmlns="http://schemas.openxmlformats.org/spreadsheetml/2006/main" count="13428" uniqueCount="3431">
  <si>
    <t>N</t>
  </si>
  <si>
    <t>ITEM_ID</t>
  </si>
  <si>
    <t>Name</t>
  </si>
  <si>
    <t>SERVICE_ID</t>
  </si>
  <si>
    <t>FamilyType</t>
  </si>
  <si>
    <t>Sprites</t>
  </si>
  <si>
    <t>SPECIAL_DELEGATE</t>
  </si>
  <si>
    <t>DefaultSprite</t>
  </si>
  <si>
    <t>SERVICE_ROUTE</t>
  </si>
  <si>
    <t>NewItem</t>
  </si>
  <si>
    <t>PICKABLE</t>
  </si>
  <si>
    <t>Description</t>
  </si>
  <si>
    <t>SpritePickable</t>
  </si>
  <si>
    <t>Separator</t>
  </si>
  <si>
    <t>NewName</t>
  </si>
  <si>
    <t>PrefabID</t>
  </si>
  <si>
    <t>GameMaster</t>
  </si>
  <si>
    <t>NewSprite</t>
  </si>
  <si>
    <t>InputMaster</t>
  </si>
  <si>
    <t>ActionConditions</t>
  </si>
  <si>
    <t>Pickable</t>
  </si>
  <si>
    <t>LevelMaster</t>
  </si>
  <si>
    <t>Spawn</t>
  </si>
  <si>
    <t>GraphicsMaster</t>
  </si>
  <si>
    <t>Picker_Character</t>
  </si>
  <si>
    <t>SoundMaster</t>
  </si>
  <si>
    <t>ObservationPhrase</t>
  </si>
  <si>
    <t>ENUM_ID</t>
  </si>
  <si>
    <t>TakePhrase</t>
  </si>
  <si>
    <t>GameMenu</t>
  </si>
  <si>
    <t>TYPE</t>
  </si>
  <si>
    <t>Room</t>
  </si>
  <si>
    <t>DialogMaster</t>
  </si>
  <si>
    <t>SAFE</t>
  </si>
  <si>
    <t>Output</t>
  </si>
  <si>
    <t>PlayerMaster</t>
  </si>
  <si>
    <t>ARRAY</t>
  </si>
  <si>
    <t>DEFVALUE</t>
  </si>
  <si>
    <t>ItemMaster</t>
  </si>
  <si>
    <t>ITEM_FIG</t>
  </si>
  <si>
    <t>SAVE</t>
  </si>
  <si>
    <t>CardMaster</t>
  </si>
  <si>
    <t>ITEM_NONE</t>
  </si>
  <si>
    <t>GameEventMaster</t>
  </si>
  <si>
    <t>NAME_FIG</t>
  </si>
  <si>
    <t>NAME_NONE</t>
  </si>
  <si>
    <t>SPRITE_FIG_PICKABLE</t>
  </si>
  <si>
    <t>ITEM_FAMILY_TYPE_NONE</t>
  </si>
  <si>
    <t>SPRITE_NONE</t>
  </si>
  <si>
    <t>CHARACTER_MAIN_DREAM</t>
  </si>
  <si>
    <t>START_GAME</t>
  </si>
  <si>
    <t>Un higo. A Sultan le encantan los higos</t>
  </si>
  <si>
    <t>START_GAME_DELEGATE</t>
  </si>
  <si>
    <t>GameMasterClass.StartGameService</t>
  </si>
  <si>
    <t>DREAM_1_KITCHEN_NIGHT</t>
  </si>
  <si>
    <t>Starts game from main menu</t>
  </si>
  <si>
    <t>PREFAB_NONE</t>
  </si>
  <si>
    <t/>
  </si>
  <si>
    <t>W</t>
  </si>
  <si>
    <t>COND_OK</t>
  </si>
  <si>
    <t>-</t>
  </si>
  <si>
    <t>GAME_OPTIONS</t>
  </si>
  <si>
    <t>GameOptionsStruct</t>
  </si>
  <si>
    <t>X</t>
  </si>
  <si>
    <t>GameOptionsStruct_Default</t>
  </si>
  <si>
    <t>Y</t>
  </si>
  <si>
    <t>NewRoom</t>
  </si>
  <si>
    <t>Background</t>
  </si>
  <si>
    <t>BackgroundNight</t>
  </si>
  <si>
    <t>R</t>
  </si>
  <si>
    <t>Music</t>
  </si>
  <si>
    <t>CITY1_EXTRAPERLO1</t>
  </si>
  <si>
    <t>BACKGROUND_CITY1_EXTRAPERLO</t>
  </si>
  <si>
    <t>ITEM_PLAYER_MAIN</t>
  </si>
  <si>
    <t>MUSIC_EXTRAPERLO</t>
  </si>
  <si>
    <t>NAME_CHAR_MAIN</t>
  </si>
  <si>
    <t>ITEM_FAMILY_TYPE_PLAYER</t>
  </si>
  <si>
    <t>NewDialog</t>
  </si>
  <si>
    <t>SPRITE_MAINCHAR_STEADY</t>
  </si>
  <si>
    <t>IntroPhrase</t>
  </si>
  <si>
    <t>Talkers</t>
  </si>
  <si>
    <t>AddAction</t>
  </si>
  <si>
    <t>AddSounds</t>
  </si>
  <si>
    <t>ItemDest</t>
  </si>
  <si>
    <t>Option1</t>
  </si>
  <si>
    <t>PREFAB_MAINCHAR</t>
  </si>
  <si>
    <t>SAVE_GAME</t>
  </si>
  <si>
    <t>Option2</t>
  </si>
  <si>
    <t>SAVE_GAME_DELEGATE</t>
  </si>
  <si>
    <t>Option3</t>
  </si>
  <si>
    <t>Option4</t>
  </si>
  <si>
    <t>GameMasterClass.SaveGameService</t>
  </si>
  <si>
    <t>Option5</t>
  </si>
  <si>
    <t>Saves game at any moment</t>
  </si>
  <si>
    <t>Option6</t>
  </si>
  <si>
    <t>DIALOG_ALTER_EGO_DREAM_1</t>
  </si>
  <si>
    <t>ITEM_MAINCHAR_DREAM, ITEM_NPC_ALTER_EGO_1</t>
  </si>
  <si>
    <t>ITEM_HIVE1_CHEST</t>
  </si>
  <si>
    <t>ITEM_NPC_ALTER_EGO_1</t>
  </si>
  <si>
    <t>NAME_ITEM_SECR_DESK</t>
  </si>
  <si>
    <t>ELAPSED_TIME_MS</t>
  </si>
  <si>
    <t>ITEM_FAMILY_TYPE_OBJECT</t>
  </si>
  <si>
    <t>(1)No deberías estar aquí% esta realidad no te pertenece, (0)¿Quién eres?% ¿Y qué haces aquí?, (1)¿Acaso no la has oído? En el fondo no le gusta que vengas. ¿Tanto te cuesta entender que te rechazó y te cambió por otro?, (1)Y lo peor de todo es que aún pudiste pelearlo y poner los puntos sobre las íes. ¡PERO NO! Preferiste huír como un cobarde% no sin antes faltarle al respeto. ¿Qué arreglo crees que tiene eso?, (0)Lo que hice o dejara de hacer.. qué más te da. Ella y yo estamos bien ahora. Hacía años que no me sentía tan bien, (1)¿Crees que te la mereces? ¿Crees que te mereces a ese perro que está esperándote en la puerta? ¿Y esta casa? Ni en el mejor de tus sueños. No perteneces a este mundo, (1)Tu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 (0)No me vas a convencer. Y no% ¡No vas a volver!, (1)Te hago falta más de lo que crees. Me necesitas más a mí que yo a ti. Todo tendría una salida más rápida si me dejas ser, (0)Ni lo sueñes..., (1)No tardará en caérsete esa máscara de chico majo% y allí estaré para decirte: Te avisé.</t>
  </si>
  <si>
    <t>ulong</t>
  </si>
  <si>
    <t>SPRITE_ITEM_CHEST_OPENED, SPRITE_ITEM_CHEST_CLOSED</t>
  </si>
  <si>
    <t>SPRITE_ITEM_CHEST_CLOSED</t>
  </si>
  <si>
    <t>0UL</t>
  </si>
  <si>
    <t>COND_OPEN_CHEST, COND_CLOSE_CHEST</t>
  </si>
  <si>
    <t>NewMementoParent</t>
  </si>
  <si>
    <t>LOAD_GAME</t>
  </si>
  <si>
    <t>LOAD_GAME_DELEGATE</t>
  </si>
  <si>
    <t>MementoIconSprite</t>
  </si>
  <si>
    <t>GameMasterClass.LoadGameService</t>
  </si>
  <si>
    <t>MementoParentPhrase</t>
  </si>
  <si>
    <t>Loads game from any moment</t>
  </si>
  <si>
    <t>Mementos</t>
  </si>
  <si>
    <t>MementoPhrases</t>
  </si>
  <si>
    <t>ITEM_CARDS_PICKABLE</t>
  </si>
  <si>
    <t>MEMENTO_PARENT_POOR_MAN_WC</t>
  </si>
  <si>
    <t>NAME_ITEM_CARDS</t>
  </si>
  <si>
    <t>SPRITE_MEMENTO_POOR_MAN_WC</t>
  </si>
  <si>
    <t>A poor man in WC</t>
  </si>
  <si>
    <t>SPRITE_ITEM_CARDS</t>
  </si>
  <si>
    <t>MEMENTO_POOR_MAN_WC_1, MEMENTO_POOR_MAN_WC_2, MEMENTO_POOR_MAN_WC_3</t>
  </si>
  <si>
    <t>ACTUAL_ROOM</t>
  </si>
  <si>
    <t>A poor man can't leave WC because there is no water, It seems to be a valve in back alley but is closed, When water came back. This man gave me an invitation to a Pub where I could meet someone for a job</t>
  </si>
  <si>
    <t>SPRITE_ITEM_CARDS_PICKABLE</t>
  </si>
  <si>
    <t>Room.ROOM_NONE</t>
  </si>
  <si>
    <t>COND_TAKE_CARDS</t>
  </si>
  <si>
    <t>R E</t>
  </si>
  <si>
    <t>LOAD_ROOM</t>
  </si>
  <si>
    <t>LOAD_ROOM_DELEGATE</t>
  </si>
  <si>
    <t>ITEM_HIVE1_WARDROBE</t>
  </si>
  <si>
    <t>GameMasterClass.LoadRoomService</t>
  </si>
  <si>
    <t>NAME_ITEM_WARDROBE</t>
  </si>
  <si>
    <t>Loads a room (for example when crossing a door)</t>
  </si>
  <si>
    <t>SPRITE_BLANK</t>
  </si>
  <si>
    <t>COND_OPEN_HIVE1_WARDROBE</t>
  </si>
  <si>
    <t>EVENTS_OCCURRED</t>
  </si>
  <si>
    <t>MultiBitFieldStruct</t>
  </si>
  <si>
    <t>ITEM_HIVE1_WARDROBE_OPENED</t>
  </si>
  <si>
    <t>EXIT_GAME</t>
  </si>
  <si>
    <t>EXIT_GAME_DELEGATE</t>
  </si>
  <si>
    <t>GameMasterClass.ExitGameService</t>
  </si>
  <si>
    <t>SPRITE_ITEM_WARDROBE_OPENED</t>
  </si>
  <si>
    <t>default</t>
  </si>
  <si>
    <t>Exits games to OS</t>
  </si>
  <si>
    <t>COND_CLOSE_HIVE1_WARDROBE</t>
  </si>
  <si>
    <t>ITEM_GENERIC_DOOR1</t>
  </si>
  <si>
    <t>NAME_ITEM_CROSS</t>
  </si>
  <si>
    <t>ITEM_FAMILY_TYPE_DOOR</t>
  </si>
  <si>
    <t>UNLOCKED_MEMENTO</t>
  </si>
  <si>
    <t>MODULE_LOADING_COMPLETED</t>
  </si>
  <si>
    <t>LOADING_COMPLETED_DELEGATE</t>
  </si>
  <si>
    <t>GameMasterClass.LoadingCompletedService</t>
  </si>
  <si>
    <t>This service is called when whole room has been loaded</t>
  </si>
  <si>
    <t>ITEM_HIVE1_NPC_REME</t>
  </si>
  <si>
    <t>NAME_NPC_REME</t>
  </si>
  <si>
    <t>ITEM_FAMILY_TYPE_NPC</t>
  </si>
  <si>
    <t>SPRITE_NPC_REME_IDLE</t>
  </si>
  <si>
    <t>IS_MODULE_LOADED</t>
  </si>
  <si>
    <t>IS_MODULE_LOADED_DELEGATE</t>
  </si>
  <si>
    <t>GameMasterClass.IsModuleLoadedService</t>
  </si>
  <si>
    <t>This service returns a bool which tells if given module has been loaded in Room Loading Process</t>
  </si>
  <si>
    <t>COND_TALK_REME_1, COND_USE_CARDS_REME</t>
  </si>
  <si>
    <t>ITEM_GENERIC_DOOR2</t>
  </si>
  <si>
    <t>UNWATCHED_PARENT_MEMENTO</t>
  </si>
  <si>
    <t>ITEM_REGISTER</t>
  </si>
  <si>
    <t>ITEM_REGISTER_DELEGATE</t>
  </si>
  <si>
    <t>LevelMasterClass.ItemRegisterService</t>
  </si>
  <si>
    <t>Registers an item in system</t>
  </si>
  <si>
    <t>ACTION_COND_ID</t>
  </si>
  <si>
    <t>NeededEvents</t>
  </si>
  <si>
    <t>NeededMomentDay</t>
  </si>
  <si>
    <t>srcChar</t>
  </si>
  <si>
    <t>ITEM_GENERIC_DOOR3</t>
  </si>
  <si>
    <t>srcItem</t>
  </si>
  <si>
    <t>Action_OK</t>
  </si>
  <si>
    <t>TriggeredActions</t>
  </si>
  <si>
    <t>MONO_REGISTER</t>
  </si>
  <si>
    <t>MONO_REGISTER_DELEGATE</t>
  </si>
  <si>
    <t>LevelMasterClass.MonoRegisterService</t>
  </si>
  <si>
    <t>Registers a player in scene</t>
  </si>
  <si>
    <t>EVENT_NONE</t>
  </si>
  <si>
    <t>MOMENT_ANY</t>
  </si>
  <si>
    <t>CHARACTER_NONE</t>
  </si>
  <si>
    <t>INTERACTION_NONE</t>
  </si>
  <si>
    <t>ACTION_NONE</t>
  </si>
  <si>
    <t>ITEM_HIVE1_PERFUME</t>
  </si>
  <si>
    <t>NAME_ITEM_PERFUME</t>
  </si>
  <si>
    <t>PICKABLE_ITEM_OWNER</t>
  </si>
  <si>
    <t>CharacterType</t>
  </si>
  <si>
    <t>DOOR_REGISTER</t>
  </si>
  <si>
    <t>DOOR_REGISTER_DELEGATE</t>
  </si>
  <si>
    <t>CharacterType.CHARACTER_NONE</t>
  </si>
  <si>
    <t>COND_USE_HIVE1_PERFUME, COND_USE_HIVE1_PERFUME_NOT_1, COND_USE_HIVE1_PERFUME_NOT_2</t>
  </si>
  <si>
    <t>LevelMasterClass.DoorRegisterService</t>
  </si>
  <si>
    <t>Registers a door in level</t>
  </si>
  <si>
    <t>COND_OPEN_CHEST</t>
  </si>
  <si>
    <t>(NOT)EVENT_HIVE1_CHEST_OPENED</t>
  </si>
  <si>
    <t>ITEM_HIVE1_AD_BOARD</t>
  </si>
  <si>
    <t>CHARACTER_MAIN</t>
  </si>
  <si>
    <t>NAME_ITEM_AD_BOARD</t>
  </si>
  <si>
    <t>INTERACTION_TAKE</t>
  </si>
  <si>
    <t>ACTION_EVENT_OPEN_CHEST</t>
  </si>
  <si>
    <t>PLAYER_ACTUAL_WAYPOINT</t>
  </si>
  <si>
    <t>COND_OBSERVE_HIVE1_AD_BOARD_1</t>
  </si>
  <si>
    <t>WaypointIdTupleStruct</t>
  </si>
  <si>
    <t>WaypointIdTuple_Default</t>
  </si>
  <si>
    <t>OBTAIN_SCENARIO_ITEMS</t>
  </si>
  <si>
    <t>OBTAIN_SCENARIO_ITEMS_DELEGATE</t>
  </si>
  <si>
    <t>LevelMasterClass.ObtainScenarioItemsService</t>
  </si>
  <si>
    <t>ITEM_HIVE1_EXIT_DOOR</t>
  </si>
  <si>
    <t>Obtains dictionary of placed elements in actual Scene</t>
  </si>
  <si>
    <t>COND_CLOSE_CHEST</t>
  </si>
  <si>
    <t>EVENT_HIVE1_CHEST_OPENED</t>
  </si>
  <si>
    <t>ACTION_EVENT_CANCEL_OPEN_CHEST</t>
  </si>
  <si>
    <t>COND_EXIT_HIVE1_HALL_1, COND_EXIT_HIVE1_HALL_2, COND_EXIT_HIVE1_HALL_3</t>
  </si>
  <si>
    <t>CAMERA_DISPOSITION</t>
  </si>
  <si>
    <t>CameraDispositionStruct</t>
  </si>
  <si>
    <t>PLAYER_WAYPOINT_UPDATE</t>
  </si>
  <si>
    <t>CameraDispositionStruct_Default</t>
  </si>
  <si>
    <t>PLAYER_WAYPOINT_UPDATE_DELEGATE</t>
  </si>
  <si>
    <t>ITEM_HIVE1_BASIN</t>
  </si>
  <si>
    <t>LevelMasterClass.PlayerWaypointUpdateService</t>
  </si>
  <si>
    <t>NAME_ITEM_BASIN</t>
  </si>
  <si>
    <t>Updates actual player waypoint when crossing or stopping on it</t>
  </si>
  <si>
    <t>(NOT)EVENT_CARDS_PICKABLE_TAKEN</t>
  </si>
  <si>
    <t>ACTION_OBTAIN_HIVE1_CARDS, ACTION_EVENT_CARDS_PICKABLE_TAKEN</t>
  </si>
  <si>
    <t>COND_USE_HIVE1_BASIN_NO_SOAP, COND_USE_HIVE1_BASIN_W_SOAP, COND_USE_HIVE1_BASIN_W_SOAP_REPEAT</t>
  </si>
  <si>
    <t>DAY_MOMENT</t>
  </si>
  <si>
    <t>ITEM_SOAP_PICKABLE</t>
  </si>
  <si>
    <t>MomentType</t>
  </si>
  <si>
    <t>NAME_ITEM_SOAP</t>
  </si>
  <si>
    <t>GET_WP_LIST</t>
  </si>
  <si>
    <t>MomentType.MOMENT_MORNING</t>
  </si>
  <si>
    <t>GET_WP_LIST_DELEGATE</t>
  </si>
  <si>
    <t>LevelMasterClass.GetWaypointListService</t>
  </si>
  <si>
    <t>(NOT)EVENT_HIVE1_WARDROBE_OPENED</t>
  </si>
  <si>
    <t>Gets list of waypoints and solutions</t>
  </si>
  <si>
    <t>SPRITE_PICKABLE_SOAP</t>
  </si>
  <si>
    <t>ACTION_EVENT_OPEN_WARDROBE</t>
  </si>
  <si>
    <t>COND_TAKE_SOAP</t>
  </si>
  <si>
    <t>ITEM_HIVE1_BED</t>
  </si>
  <si>
    <t>NAME_ITEM_BED</t>
  </si>
  <si>
    <t>GET_PLAYER_LIST</t>
  </si>
  <si>
    <t>GET_PLAYER_LIST_DELEGATE</t>
  </si>
  <si>
    <t>LevelMasterClass.GetPlayerListService</t>
  </si>
  <si>
    <t>Gets a list of actual players</t>
  </si>
  <si>
    <t>EVENT_HIVE1_WARDROBE_OPENED</t>
  </si>
  <si>
    <t>ITEM_MENU_HOVER</t>
  </si>
  <si>
    <t>GameItem</t>
  </si>
  <si>
    <t>COND_USE_BED_PENDING_DREAM_1, COND_USE_HIVE1_BED</t>
  </si>
  <si>
    <t>GameItem.ITEM_NONE</t>
  </si>
  <si>
    <t>ACTION_EVENT_CANCEL_OPEN_WARDROBE</t>
  </si>
  <si>
    <t>ITEM_STREET1_STH_DOOR</t>
  </si>
  <si>
    <t>NAME_SOUTH_NEIGHBORHOOD</t>
  </si>
  <si>
    <t>GET_NEAREST_WP</t>
  </si>
  <si>
    <t>GET_NEAREST_WP_DELEGATE</t>
  </si>
  <si>
    <t>LevelMasterClass.GetNearestWPService</t>
  </si>
  <si>
    <t>Gets nearest WP from a given coordinates of level</t>
  </si>
  <si>
    <t>COND_TALK_REME_1</t>
  </si>
  <si>
    <t>COND_GO_STREET1_SOUTH_NEIGH</t>
  </si>
  <si>
    <t>INTERACTION_TALK</t>
  </si>
  <si>
    <t>ACTION_DIALOGUE_REME_1</t>
  </si>
  <si>
    <t>GAMESTATUS</t>
  </si>
  <si>
    <t>Game_Status</t>
  </si>
  <si>
    <t>Game_Status.GAME_STATUS_STOPPED</t>
  </si>
  <si>
    <t>ITEM_STREET1_CENTER_DOOR</t>
  </si>
  <si>
    <t>NAME_CITY_CENTER</t>
  </si>
  <si>
    <t>IS_EVENT_COMBI_OCCURRED</t>
  </si>
  <si>
    <t>IS_EVENT_COMBI_OCCURRED_DELEGATE</t>
  </si>
  <si>
    <t>GameEventMasterClass.IsEventCombiOccurredService</t>
  </si>
  <si>
    <t>Checks if a combination of events is totally complied (event absence can also be requested)</t>
  </si>
  <si>
    <t>INTERACTION_OBSERVE</t>
  </si>
  <si>
    <t>ACTION_DIALOGUE_HIVE1_AD_BOARD_1, ACTION_EVENT_HIVE1_AD_OBSERVED, ACTION_MEMENTO_JOB_FIND_1_2</t>
  </si>
  <si>
    <t>ITEM_STREET2_PERIPH_DOOR</t>
  </si>
  <si>
    <t>NAME_CITY_PERIPH</t>
  </si>
  <si>
    <t>PRESSED_KEYS</t>
  </si>
  <si>
    <t>KeyStruct</t>
  </si>
  <si>
    <t>COND_EXIT_HIVE1_HALL_1</t>
  </si>
  <si>
    <t>KeyStruct_Default</t>
  </si>
  <si>
    <t>(NOT)EVENT_HIVE1_AD_BOARD_OBSERVED_1</t>
  </si>
  <si>
    <t>COMMIT_EVENT</t>
  </si>
  <si>
    <t>INTERACTION_CROSS_DOOR</t>
  </si>
  <si>
    <t>COMMIT_EVENT_DELEGATE</t>
  </si>
  <si>
    <t>ACTION_DIALOGUE_EXIT_HIVE1_HALL_1</t>
  </si>
  <si>
    <t>GameEventMasterClass.CommitEventService</t>
  </si>
  <si>
    <t>Activates/Deactivates an event</t>
  </si>
  <si>
    <t>ITEM_PHARMACY_DOOR</t>
  </si>
  <si>
    <t>NAME_PHARMACY</t>
  </si>
  <si>
    <t>COND_EXIT_HIVE1_HALL_2</t>
  </si>
  <si>
    <t>(NOT)EVENT_HIVE1_USED_BASIN</t>
  </si>
  <si>
    <t>MOUSE_PROPERTIES</t>
  </si>
  <si>
    <t>MousePropertiesStruct</t>
  </si>
  <si>
    <t>ACTION_DIALOGUE_EXIT_HIVE1_HALL_2</t>
  </si>
  <si>
    <t>MouseProperties_Default</t>
  </si>
  <si>
    <t>COMMIT_MEMENTO_NOTIF</t>
  </si>
  <si>
    <t>COMMIT_MEMENTO_NOTIF_DELEGATE</t>
  </si>
  <si>
    <t>ITEM_PHARMACY_NPC_QUEUE</t>
  </si>
  <si>
    <t>GameMenuClass.CommitMementoNotifService</t>
  </si>
  <si>
    <t>NAME_QUEUE_PEOPLE</t>
  </si>
  <si>
    <t>Tells Memento Manager (Menu) a new memento has been unlocked</t>
  </si>
  <si>
    <t>SPRITE_NPC_PHARMACY_QUEUE</t>
  </si>
  <si>
    <t>COND_EXIT_HIVE1_HALL_3</t>
  </si>
  <si>
    <t>(NOT)EVENT_HIVE1_USED_PERFUME</t>
  </si>
  <si>
    <t>ACTION_DIALOGUE_EXIT_HIVE1_HALL_3</t>
  </si>
  <si>
    <t>PLAYER_SELECTED</t>
  </si>
  <si>
    <t>ITEM_PHARMACY_NPC_OWNER</t>
  </si>
  <si>
    <t>NAME_PHARMACIST</t>
  </si>
  <si>
    <t>IS_MEMENTO_UNLOCKED</t>
  </si>
  <si>
    <t>SPRITE_NPC_PHARMACY_OWNER</t>
  </si>
  <si>
    <t>IS_MEMENTO_UNLOCKED_DELEGATE</t>
  </si>
  <si>
    <t>GameEventMasterClass.IsMementoUnlockedService</t>
  </si>
  <si>
    <t>Tells if a memento is unlocked</t>
  </si>
  <si>
    <t>COND_TRY_TALK_PHARMACIST</t>
  </si>
  <si>
    <t>COND_USE_HIVE1_BASIN_NO_SOAP</t>
  </si>
  <si>
    <t>ACTION_DIALOGUE_USE_BASIN_NO_SOAP</t>
  </si>
  <si>
    <t>ITEM_CITY1_UMBRELLA</t>
  </si>
  <si>
    <t>NAME_UMBRELLA</t>
  </si>
  <si>
    <t>PICKABLE_ITEM_CHOSEN</t>
  </si>
  <si>
    <t>SPRITE_CITY1_MANYO_UMBRELLA</t>
  </si>
  <si>
    <t>MEMENTO_PARENT_WATCHED</t>
  </si>
  <si>
    <t>MEMENTO_PARENT_WATCHED_DELEGATE</t>
  </si>
  <si>
    <t>GameEventMasterClass.MementoParentWatchedService</t>
  </si>
  <si>
    <t>SPRITE_PICKABLE_UMBRELLA</t>
  </si>
  <si>
    <t>If a Memento has been analyzed</t>
  </si>
  <si>
    <t>COND_TAKE_UMBRELLA_MORNING, COND_TAKE_UMBRELLA_NIGHT</t>
  </si>
  <si>
    <t>COND_USE_HIVE1_BASIN_W_SOAP</t>
  </si>
  <si>
    <t>INTERACTION_USE</t>
  </si>
  <si>
    <t>ACTION_DIALOGUE_USE_BASIN_W_SOAP, ACTION_EVENT_USED_BASIN</t>
  </si>
  <si>
    <t>ITEM_ELMANYO_DOOR</t>
  </si>
  <si>
    <t>NAME_ELMANYO</t>
  </si>
  <si>
    <t>USER_INPUT_INTERACTION</t>
  </si>
  <si>
    <t>INTERACT_ITEM</t>
  </si>
  <si>
    <t>UserInputInteraction</t>
  </si>
  <si>
    <t>INTERACT_ITEM_DELEGATE</t>
  </si>
  <si>
    <t>ItemMasterClass.InteractItemService</t>
  </si>
  <si>
    <t>Makes player interact with usage data</t>
  </si>
  <si>
    <t>UserInputInteraction.INPUT_INTERACTION_TAKE</t>
  </si>
  <si>
    <t>COND_USE_HIVE1_BASIN_W_SOAP_REPEAT</t>
  </si>
  <si>
    <t>EVENT_HIVE1_USED_BASIN</t>
  </si>
  <si>
    <t>ACTION_DIALOGUE_USE_BASIN_W_SOAP_REPEAT</t>
  </si>
  <si>
    <t>ITEM_ELMANYO_OWNER</t>
  </si>
  <si>
    <t>NAME_OWNER</t>
  </si>
  <si>
    <t>SPRITE_MANYO_OWNER</t>
  </si>
  <si>
    <t>ACTION_TO_ITEM</t>
  </si>
  <si>
    <t>ACTION_TO_ITEM_DELEGATE</t>
  </si>
  <si>
    <t>ItemMasterClass.ActionToItemService</t>
  </si>
  <si>
    <t>BUSY_STATE</t>
  </si>
  <si>
    <t>Applies an unchain event to an item such as spawn or setsprite</t>
  </si>
  <si>
    <t>BusyState</t>
  </si>
  <si>
    <t>COND_TALK_MANYO_OWNER</t>
  </si>
  <si>
    <t>BusyState.GAME_NOT_BUSY</t>
  </si>
  <si>
    <t>(NOT)EVENT_SOAP_PICKABLE_TAKEN</t>
  </si>
  <si>
    <t>ACTION_OBTAIN_SOAP, ACTION_EVENT_SOAP_PICKABLE_TAKEN</t>
  </si>
  <si>
    <t>ITEM_STUFFED_DEER</t>
  </si>
  <si>
    <t>NAME_STUFFED_DEER</t>
  </si>
  <si>
    <t>ITEM_REACHED_WAYPOINT</t>
  </si>
  <si>
    <t>ITEM_REACHED_WAYPOINT_DELEGATE</t>
  </si>
  <si>
    <t>LevelMasterClass.ItemReachedWaypointService</t>
  </si>
  <si>
    <t>Tells LevelMaster that player reached Waypoint to start action in case</t>
  </si>
  <si>
    <t>COND_TALK_DEER</t>
  </si>
  <si>
    <t>COND_USE_HIVE1_PERFUME</t>
  </si>
  <si>
    <t>CHAPTER_SHOW_NR</t>
  </si>
  <si>
    <t>(NOT)EVENT_HIVE1_USED_PERFUME, EVENT_HIVE1_USED_BASIN</t>
  </si>
  <si>
    <t>int</t>
  </si>
  <si>
    <t>ACTION_DIALOGUE_USE_PERFUME, ACTION_EVENT_USED_PERFUME</t>
  </si>
  <si>
    <t>ITEM_ELMANYO_OWNER_NIGHT</t>
  </si>
  <si>
    <t>USE_ITEM</t>
  </si>
  <si>
    <t>USE_ITEM_DELEGATE</t>
  </si>
  <si>
    <t>ItemMasterClass.UseItemService</t>
  </si>
  <si>
    <t>Uses an item with something</t>
  </si>
  <si>
    <t>COND_USE_HIVE1_PERFUME_NOT_1</t>
  </si>
  <si>
    <t>(NOT)EVENT_HIVE1_USED_PERFUME, (NOT)EVENT_HIVE1_USED_BASIN</t>
  </si>
  <si>
    <t>ACTION_DIALOGUE_USE_PERFUME_NOT_1</t>
  </si>
  <si>
    <t>MAP_ACTIVE</t>
  </si>
  <si>
    <t>ITEM_ELMANYO_CROWD</t>
  </si>
  <si>
    <t>bool</t>
  </si>
  <si>
    <t>NAME_CROWD</t>
  </si>
  <si>
    <t>false</t>
  </si>
  <si>
    <t>PEEK_ITEM</t>
  </si>
  <si>
    <t>PEEK_ITEM_DELEGATE</t>
  </si>
  <si>
    <t>ItemMasterClass.PeekItemService</t>
  </si>
  <si>
    <t>Peeks if item can be used or not</t>
  </si>
  <si>
    <t>COND_USE_HIVE1_PERFUME_NOT_2</t>
  </si>
  <si>
    <t>EVENT_HIVE1_USED_PERFUME</t>
  </si>
  <si>
    <t>ITEM_HIVE1_POOR_MAN_WC</t>
  </si>
  <si>
    <t>ACTION_DIALOGUE_USE_PERFUME_NOT_2</t>
  </si>
  <si>
    <t>NAME_POOR_MAN_WC</t>
  </si>
  <si>
    <t>SPRITE_HIVE1_POOR_MAN_STEADY</t>
  </si>
  <si>
    <t>CANCEL_PICKABLE_ITEM</t>
  </si>
  <si>
    <t>CANCEL_PICKABLE_ITEM_DELEGATE</t>
  </si>
  <si>
    <t>GameMenuClass.CancelPickableItemService</t>
  </si>
  <si>
    <t>Cancels selected item</t>
  </si>
  <si>
    <t>LAST_VARMAP_VAL</t>
  </si>
  <si>
    <t>COND_OBSERVE_ITEM_HIVE1_POOR_MAN_WC, COND_TALK_POOR_MAN_WC</t>
  </si>
  <si>
    <t>COND_USE_CARDS_REME</t>
  </si>
  <si>
    <t>ITEM_HIVE1_ROACH_HEAD</t>
  </si>
  <si>
    <t>NAME_ROACH</t>
  </si>
  <si>
    <t>ACTION_DIALOGUE_USE_CARDS_REME</t>
  </si>
  <si>
    <t>SPRITE_HIVE1_ROACH_HEAD</t>
  </si>
  <si>
    <t>KEY_SUBSCRIPTION</t>
  </si>
  <si>
    <t>KEY_SUBSCRIPTION_DELEGATE</t>
  </si>
  <si>
    <t>InputMasterClass.KeySubscriptionService</t>
  </si>
  <si>
    <t>Subscribe to determined key events to avoid polling</t>
  </si>
  <si>
    <t>COND_OBSERVE_ITEM_HIVE1_ROACH, COND_TAKE_HIVE1_ROACH_HEAD</t>
  </si>
  <si>
    <t>COND_USE_HIVE1_BED</t>
  </si>
  <si>
    <t>ITEM_HIVE1_PIPE</t>
  </si>
  <si>
    <t>NAME_PIPE</t>
  </si>
  <si>
    <t>LOCK_PLAYER</t>
  </si>
  <si>
    <t>ACTION_DECISION_SLEEP</t>
  </si>
  <si>
    <t>LOCK_PLAYER_DELEGATE</t>
  </si>
  <si>
    <t>PlayerMasterClass.LockPlayerService</t>
  </si>
  <si>
    <t>Locks player so it cannot act until an action over it has been done (or removes lock)</t>
  </si>
  <si>
    <t>COND_OBSERVE_ITEM_HIVE1_PIPE, COND_OBSERVE_ITEM_HIVE1_PIPE_2</t>
  </si>
  <si>
    <t>ITEM_HIVE1_VALVE_BOX</t>
  </si>
  <si>
    <t>NAME_VALVE_BOX</t>
  </si>
  <si>
    <t>(NOT)EVENT_ITEM_EXTRAPERLO_INVITATION_PICKABLE_TAKEN</t>
  </si>
  <si>
    <t>CHANGE_GAME_MODE</t>
  </si>
  <si>
    <t>CHANGE_GAME_MODE_DELEGATE</t>
  </si>
  <si>
    <t>GameMasterClass.ChangeGameModeService</t>
  </si>
  <si>
    <t>Asks Game Master to set game mode</t>
  </si>
  <si>
    <t>ACTION_DIALOGUE_NOT_GO_SOUTH_NEIGH</t>
  </si>
  <si>
    <t>COND_OBSERVE_ITEM_HIVE1_VALVE_BOX, COND_OBSERVE_ITEM_HIVE1_VALVE_BOX_2, COND_TAKE_VALVE_BOX_1, COND_TAKE_VALVE_BOX_MORNING, COND_USE_SHOELACE_VALVE_BOX</t>
  </si>
  <si>
    <t>ITEM_HIVE1_BACKALLEY_PIPE</t>
  </si>
  <si>
    <t>SHOW_DIALOGUE</t>
  </si>
  <si>
    <t>SHOW_DIALOGUE_DELEGATE</t>
  </si>
  <si>
    <t>DialogMasterClass.ShowDialogueService</t>
  </si>
  <si>
    <t>(NOT)EVENT_PHARMACY_EMPTY</t>
  </si>
  <si>
    <t>Second part of start dialogue. Tells Game Menu to prepare menu elements</t>
  </si>
  <si>
    <t>ACTION_DIALOGUE_TRY_TALK_PHARMACIST</t>
  </si>
  <si>
    <t>COND_OBSERVE_ITEM_HIVE1_BACKALLEY_PIPE, COND_OBSERVE_ITEM_HIVE1_BACKALLEY_PIPE_2</t>
  </si>
  <si>
    <t>DIALOGUE_SELECT_OPTION</t>
  </si>
  <si>
    <t>DIALOGUE_SELECT_OPTION_DELEGATE</t>
  </si>
  <si>
    <t>ITEM_HIVE1_SHOELACE</t>
  </si>
  <si>
    <t>DialogMasterClass.DialogueSelectOptionService</t>
  </si>
  <si>
    <t>Option selection in multi option dialogue</t>
  </si>
  <si>
    <t>NAME_SHOELACE</t>
  </si>
  <si>
    <t>SPRITE_HIVE1_SHOELACE</t>
  </si>
  <si>
    <t>SPRITE_SHOELACE_PICKABLE</t>
  </si>
  <si>
    <t>ACTION_DIALOGUE_TALK_DEER</t>
  </si>
  <si>
    <t>COND_OBSERVE_ITEM_HIVE1_SHOELACE, COND_TAKE_ITEM_HIVE1_SHOELACE, COND_TAKE_ITEM_HIVE1_SHOELACE_NOT, COND_TAKE_ITEM_HIVE1_SHOELACE_NOT_2</t>
  </si>
  <si>
    <t>ZOOM_SUBSCRIPTION</t>
  </si>
  <si>
    <t>ZOOM_SUBSCRIPTION_DELEGATE</t>
  </si>
  <si>
    <t>GraphicsMasterClass.ZoomSubscriptionService</t>
  </si>
  <si>
    <t>Subscribe to zoom changes</t>
  </si>
  <si>
    <t>ITEM_HIVE1_VALVE</t>
  </si>
  <si>
    <t>NAME_VALVE</t>
  </si>
  <si>
    <t>SPRITE_HIVE1_VALVE_BOX_OPENED</t>
  </si>
  <si>
    <t>ACTION_DIALOGUE_TALK_MANYO_OWNER</t>
  </si>
  <si>
    <t>COND_OBSERVE_ITEM_HIVE1_VALVE, COND_TAKE_HIVE1_VALVE, COND_TAKE_HIVE1_VALVE_2</t>
  </si>
  <si>
    <t>SHOW_DECISION</t>
  </si>
  <si>
    <t>SHOW_DECISION_DELEGATE</t>
  </si>
  <si>
    <t>GameMenuClass.ShowDecisionService</t>
  </si>
  <si>
    <t>Shows a set of decisions</t>
  </si>
  <si>
    <t>ITEM_HIVE1_MAN_WC_CURED</t>
  </si>
  <si>
    <t>NAME_ARTURO</t>
  </si>
  <si>
    <t>SPRITE_ARTURO_STEADY</t>
  </si>
  <si>
    <t>COND_TAKE_UMBRELLA_MORNING</t>
  </si>
  <si>
    <t>(NOT)EVENT_UMBRELLA_PICKABLE_TAKEN</t>
  </si>
  <si>
    <t>MOMENT_MORNING</t>
  </si>
  <si>
    <t>ACTION_DIALOGUE_TAKE_UMBRELLA_MORNING</t>
  </si>
  <si>
    <t>COND_OBSERVE_ITEM_HIVE1_MAN_WC_CURED, COND_TALK_ITEM_HIVE1_MAN_WC_CURED</t>
  </si>
  <si>
    <t>CHANGE_DAY_MOMENT</t>
  </si>
  <si>
    <t>CHANGE_DAY_MOMENT_DELEGATE</t>
  </si>
  <si>
    <t>GameMasterClass.ChangeDayMomentService</t>
  </si>
  <si>
    <t>Requests to change moment of day to a given one</t>
  </si>
  <si>
    <t>ITEM_EXTRAPERLO_INVITATION</t>
  </si>
  <si>
    <t>NAME_INVITATION</t>
  </si>
  <si>
    <t>COND_TAKE_UMBRELLA_NIGHT</t>
  </si>
  <si>
    <t>SPRITE_PICKABLE_EXTRAPERLO</t>
  </si>
  <si>
    <t>PREFAB_DETAIL_EXTRAPERLO</t>
  </si>
  <si>
    <t>MOMENT_NIGHT</t>
  </si>
  <si>
    <t>LOAD_ADDITIONAL_PREFAB</t>
  </si>
  <si>
    <t>LOAD_ADDITIONAL_PREFAB_DELEGATE</t>
  </si>
  <si>
    <t>GameMasterClass.LoadAdditionalPrefabService</t>
  </si>
  <si>
    <t>Loads/Unloads a set of names and Phrases</t>
  </si>
  <si>
    <t>SPRITE_ID</t>
  </si>
  <si>
    <t>ACTION_DIALOGUE_TAKE_UMBRELLA_NIGHT, ACTION_OBTAIN_UMBRELLA, ACTION_EVENT_UMBRELLA_PICKABLE_TAKEN</t>
  </si>
  <si>
    <t>PATH</t>
  </si>
  <si>
    <t>ATLAS</t>
  </si>
  <si>
    <t>ITEM_EXTRAPERLO_INVITATION_DETAIL</t>
  </si>
  <si>
    <t>NAME_ANNOTATION</t>
  </si>
  <si>
    <t>COND_OBSERVE_ITEM_HIVE1_POOR_MAN_WC</t>
  </si>
  <si>
    <t>LOAD_ADDITIONAL_SOUND</t>
  </si>
  <si>
    <t>LOAD_ADDITIONAL_SOUND_DELEGATE</t>
  </si>
  <si>
    <t>GameMasterClass.LoadAdditionalSoundService</t>
  </si>
  <si>
    <t>COND_OBSERVE_ITEM_EXTRAPERLO_INVITATION_DETAIL_1, COND_OBSERVE_ITEM_EXTRAPERLO_INVITATION_DETAIL_2</t>
  </si>
  <si>
    <t>ACTION_DIALOGUE_OBSERVE_POOR_MAN_WC</t>
  </si>
  <si>
    <t>SPRITE_ATLAS_UI_0</t>
  </si>
  <si>
    <t>SPRITE_CURSOR_NORMAL</t>
  </si>
  <si>
    <t>ITEM_PHARMACY_INKWELL</t>
  </si>
  <si>
    <t>NAME_INKWELL</t>
  </si>
  <si>
    <t>SPRITE_PHARMACY_INKWELL_NORMAL</t>
  </si>
  <si>
    <t>SPRITE_CURSOR_USING</t>
  </si>
  <si>
    <t>COND_TALK_POOR_MAN_WC</t>
  </si>
  <si>
    <t>SPRITE_CURSOR_DRAG</t>
  </si>
  <si>
    <t>COND_OBSERVE_ITEM_PHARMACY_INKWELL, COND_TAKE_INKWELL_NOT_1, COND_TAKE_INKWELL_NOT_2, COND_TAKE_INKWELL_NOT_3, COND_USE_UMBRELLA_INKWELL</t>
  </si>
  <si>
    <t>PLAY_SOUND</t>
  </si>
  <si>
    <t>ACTION_DIALOGUE_TALK_POOR_MAN_WC</t>
  </si>
  <si>
    <t>PLAY_SOUND_DELEGATE</t>
  </si>
  <si>
    <t>SoundMasterClass.PlaySoundService</t>
  </si>
  <si>
    <t>SPRITE_INVENTORY</t>
  </si>
  <si>
    <t>Plays a sound and (optionally) callback is called</t>
  </si>
  <si>
    <t>ITEM_PHARMACY_INK</t>
  </si>
  <si>
    <t>SPRITE_UI_TAKE</t>
  </si>
  <si>
    <t>NAME_INK</t>
  </si>
  <si>
    <t>SPRITE_ACTION_TAKE</t>
  </si>
  <si>
    <t>SPRITE_PHARMACY_INKWELL_WASTED</t>
  </si>
  <si>
    <t>SPRITE_UI_TALK</t>
  </si>
  <si>
    <t>SPRITE_ACTION_TALK</t>
  </si>
  <si>
    <t>COND_OBSERVE_ITEM_HIVE1_ROACH</t>
  </si>
  <si>
    <t>COND_OBSERVE_ITEM_PHARMACY_INK, COND_USE_INVITATION_INK, COND_USE_INVITATION_INK_2</t>
  </si>
  <si>
    <t>STOP_SOUND</t>
  </si>
  <si>
    <t>SPRITE_UI_OBSERVE</t>
  </si>
  <si>
    <t>STOP_SOUND_DELEGATE</t>
  </si>
  <si>
    <t>SPRITE_ACTION_OBSERVE</t>
  </si>
  <si>
    <t>SoundMasterClass.StopSoundService</t>
  </si>
  <si>
    <t>ACTION_DIALOGUE_OBSERVE_HIVE1_ROACH</t>
  </si>
  <si>
    <t>Stops first match of sound with given ID which is being played</t>
  </si>
  <si>
    <t>SPRITE_UI_MOUSE_MOVE</t>
  </si>
  <si>
    <t>SPRITE_MOUSE_MOVE</t>
  </si>
  <si>
    <t>ITEM_NPC_FIK</t>
  </si>
  <si>
    <t>NAME_FIK</t>
  </si>
  <si>
    <t>SPRITE_FIK_STANDING</t>
  </si>
  <si>
    <t>SPRITE_UI_CURSOR_DOOR</t>
  </si>
  <si>
    <t>SPRITE_CURSOR_DOOR</t>
  </si>
  <si>
    <t>BACKGROUND_HIVE1_ROOM1</t>
  </si>
  <si>
    <t>COND_TALK_FIK</t>
  </si>
  <si>
    <t>SPRITE_ATLAS_HIVE1_0</t>
  </si>
  <si>
    <t>COND_OBSERVE_ITEM_HIVE1_PIPE</t>
  </si>
  <si>
    <t>(NOT)EVENT_POOR_MAN_WC_NEED_WATER</t>
  </si>
  <si>
    <t>START_ANIMATION</t>
  </si>
  <si>
    <t>SPRITE_HIVE1_CHEST_CLOSED</t>
  </si>
  <si>
    <t>ACTION_DIALOGUE_OBSERVE_HIVE1_PIPE</t>
  </si>
  <si>
    <t>START_ANIMATION_DELEGATE</t>
  </si>
  <si>
    <t>DialogMasterClass.StartAnimationService</t>
  </si>
  <si>
    <t>Starts an animation in background or main mode</t>
  </si>
  <si>
    <t>ITEM_DOOR_EXTRAPERLO</t>
  </si>
  <si>
    <t>SPRITE_ITEM_CHEST_OPENED</t>
  </si>
  <si>
    <t>SPRITE_HIVE1_CHEST_OPENED</t>
  </si>
  <si>
    <t>SPRITE_HIVE1_CHEST_CARDS</t>
  </si>
  <si>
    <t>COND_TRY_CROSS_EXTRAPERLO_DOOR</t>
  </si>
  <si>
    <t>SPRITE_PICKABLE_CARDS</t>
  </si>
  <si>
    <t>COND_OBSERVE_ITEM_HIVE1_PIPE_2</t>
  </si>
  <si>
    <t>SPRITE_ATLAS_PICKABLE_0</t>
  </si>
  <si>
    <t>EVENT_POOR_MAN_WC_NEED_WATER</t>
  </si>
  <si>
    <t>SPRITE_ITEM_DECO_BED_LAYER</t>
  </si>
  <si>
    <t>ACTION_DIALOGUE_OBSERVE_HIVE1_PIPE_2, ACTION_EVENT_PIPE_OBSERVATION_1</t>
  </si>
  <si>
    <t>SPRITE_HIVE1_BED_LAYER</t>
  </si>
  <si>
    <t>ITEM_FOREGROUND_EXTRP_WALL</t>
  </si>
  <si>
    <t>ITEM_PERFORM_ANIMATION</t>
  </si>
  <si>
    <t>ITEM_PERFORM_ANIMATION_DELEGATE</t>
  </si>
  <si>
    <t>ItemMasterClass.PerformAnimationService</t>
  </si>
  <si>
    <t>Makes an item start an animation</t>
  </si>
  <si>
    <t>SPRITE_FOREGROUND_EXTRAPERLO_WALL</t>
  </si>
  <si>
    <t>SPRITE_HIVE1_WARDROBE_OPENED</t>
  </si>
  <si>
    <t>BACKGROUND_HIVE1_CORRIDOR1</t>
  </si>
  <si>
    <t>SPRITE_ATLAS_HIVE1_1</t>
  </si>
  <si>
    <t>COND_TAKE_HIVE1_ROACH_HEAD</t>
  </si>
  <si>
    <t>SPRITE_HIVE1_REME_IDLE</t>
  </si>
  <si>
    <t>PERFORM_ACTION</t>
  </si>
  <si>
    <t>PERFORM_ACTION_DELEGATE</t>
  </si>
  <si>
    <t>ACTION_DIALOGUE_TAKE_HIVE1_ROACH_HEAD, ACTION_EVENT_COCKROACH_SCARED</t>
  </si>
  <si>
    <t>GameEventMasterClass.PerformActionService</t>
  </si>
  <si>
    <t>BACKGROUND_HIVE1_HALL1</t>
  </si>
  <si>
    <t>ITEM_HIVE1_WATER_FLOWING</t>
  </si>
  <si>
    <t>Performs a named action</t>
  </si>
  <si>
    <t>SPRITE_ATLAS_HIVE1_2</t>
  </si>
  <si>
    <t>NAME_WATER_FLOWING</t>
  </si>
  <si>
    <t>SPRITE_WATER_FLOW_BACKALLEY, SPRITE_WATER_FLOW_BACKALLEY_NIGHT</t>
  </si>
  <si>
    <t>SPRITE_WATER_FLOW_BACKALLEY</t>
  </si>
  <si>
    <t>BACKGROUND_HIVE1_WC</t>
  </si>
  <si>
    <t>SPRITE_ATLAS_HIVE1_3</t>
  </si>
  <si>
    <t>SPRITE_MEMENTO_JOB</t>
  </si>
  <si>
    <t>COND_OBSERVE_ITEM_HIVE1_VALVE_BOX</t>
  </si>
  <si>
    <t>(NOT)EVENT_PIPE_OBSERVATION_2</t>
  </si>
  <si>
    <t>ITEM_DOOR_EXTRAPERLO_REAL</t>
  </si>
  <si>
    <t>ACTION_DIALOGUE_OBSERVE_VALVE_BOX</t>
  </si>
  <si>
    <t>BACKGROUND_HIVE1_CORRIDOR1_N</t>
  </si>
  <si>
    <t>BACKGROUND_HIVE1_CORRIDOR1_NIGHT</t>
  </si>
  <si>
    <t>SPRITE_EXTRAPERLO_DOOR_OPENED</t>
  </si>
  <si>
    <t>SPRITE_ATLAS_HIVE1_4</t>
  </si>
  <si>
    <t>IS_DIALOG_ACTIVE</t>
  </si>
  <si>
    <t>IS_DIALOG_ACTIVE_DELEGATE</t>
  </si>
  <si>
    <t>BACKGROUND_HIVE1_HALL1_N</t>
  </si>
  <si>
    <t>DialogMasterClass.IsDialogActiveService</t>
  </si>
  <si>
    <t>Returns if a dialog (Background or not) is active</t>
  </si>
  <si>
    <t>BACKGROUND_HIVE1_HALL1_NIGHT</t>
  </si>
  <si>
    <t>SPRITE_ATLAS_HIVE1_5</t>
  </si>
  <si>
    <t>COND_OBSERVE_ITEM_HIVE1_BACKALLEY_PIPE</t>
  </si>
  <si>
    <t>BACKGROUND_HIVE1_WC_N</t>
  </si>
  <si>
    <t>(NOT)EVENT_PIPE_OBSERVATION_1</t>
  </si>
  <si>
    <t>BACKGROUND_HIVE1_WC_NIGHT</t>
  </si>
  <si>
    <t>SPRITE_ATLAS_HIVE1_6</t>
  </si>
  <si>
    <t>ITEM_NPC_GERMAN</t>
  </si>
  <si>
    <t>NAME_GERMAN</t>
  </si>
  <si>
    <t>ACTION_DIALOGUE_OBSERVE_BACKALLEY_PIPE</t>
  </si>
  <si>
    <t>BACKGROUND_CITY1_STREET1</t>
  </si>
  <si>
    <t>SPRITE_GERMAN_WAITING</t>
  </si>
  <si>
    <t>SPRITE_ATLAS_CITY1_1</t>
  </si>
  <si>
    <t>NOTIFY_ENDED_ACTION</t>
  </si>
  <si>
    <t>NOTIFY_ENDED_ACTION_DELEGATE</t>
  </si>
  <si>
    <t>GameEventMasterClass.NotifyEndedActionService</t>
  </si>
  <si>
    <t>Notifies Event manager a Dialog / Animation action has been performed</t>
  </si>
  <si>
    <t>BACKGROUND_CITY1_STREET1_N</t>
  </si>
  <si>
    <t>BACKGROUND_CITY1_STREET1_NIGHT</t>
  </si>
  <si>
    <t>SPRITE_ATLAS_CITY1_2</t>
  </si>
  <si>
    <t>BACKGROUND_CITY1_STREET2</t>
  </si>
  <si>
    <t>SPRITE_ATLAS_CITY2_1</t>
  </si>
  <si>
    <t>COND_OBSERVE_ITEM_HIVE1_BACKALLEY_PIPE_2</t>
  </si>
  <si>
    <t>EVENT_PIPE_OBSERVATION_1</t>
  </si>
  <si>
    <t>ITEM_NPC_WAITER</t>
  </si>
  <si>
    <t>BACKGROUND_CITY1_STREET2_N</t>
  </si>
  <si>
    <t>NAME_WAITER</t>
  </si>
  <si>
    <t>BACKGROUND_CITY1_STREET2_NIGHT</t>
  </si>
  <si>
    <t>SPRITE_ATLAS_CITY2_2</t>
  </si>
  <si>
    <t>ACTION_DIALOGUE_OBSERVE_BACKALLEY_PIPE_2, ACTION_EVENT_PIPE_OBSERVATION_2</t>
  </si>
  <si>
    <t>SPRITE_WAITER_STEADY</t>
  </si>
  <si>
    <t>BACKGROUND_PHARMACY1</t>
  </si>
  <si>
    <t>SPRITE_ATLAS_PHARMACY1_1</t>
  </si>
  <si>
    <t>TAKE_LOADING_SNAPSHOT</t>
  </si>
  <si>
    <t>COND_TALK_WAITER_NO_INVITATION, COND_USE_OLD_INVITATION_W_WAITER, COND_USE_NEW_INVITATION_W_WAITER, COND_TALK_WAITER_W_INVITATION</t>
  </si>
  <si>
    <t>TAKE_LOADING_SNAPSHOT_DELEGATE</t>
  </si>
  <si>
    <t>GraphicsMasterClass.TakeLoadingSnapshotService</t>
  </si>
  <si>
    <t>Takes snapshot to be used in fading while loading next scene</t>
  </si>
  <si>
    <t>SPRITE_PHARMACY_QUEUE_1</t>
  </si>
  <si>
    <t>SPRITE_PHARMACY_OWNER</t>
  </si>
  <si>
    <t>COND_OBSERVE_ITEM_HIVE1_VALVE_BOX_2</t>
  </si>
  <si>
    <t>ITEM_NPC_UNKNOWN_WOMEN</t>
  </si>
  <si>
    <t>EVENT_PIPE_OBSERVATION_2</t>
  </si>
  <si>
    <t>NAME_UNKNOWN_GIRLS</t>
  </si>
  <si>
    <t>BACKGROUND_CITY1_MANYO</t>
  </si>
  <si>
    <t>SPRITE_UNKNOWN_WOMEN_STEADY</t>
  </si>
  <si>
    <t>SPRITE_ATLAS_MANYO_0</t>
  </si>
  <si>
    <t>ACTION_DIALOGUE_OBSERVE_VALVE_BOX_2</t>
  </si>
  <si>
    <t>BACKGROUND_CITY1_MANYO_NIGHT</t>
  </si>
  <si>
    <t>EXECUTE_EXIT_ROOM_CONDS</t>
  </si>
  <si>
    <t>EXECUTE_EXIT_ROOM_CONDS_DELEGATE</t>
  </si>
  <si>
    <t>COND_TALK_UNKNOWN_WOMEN, COND_TAKE_UNKNOWN_WOMEN</t>
  </si>
  <si>
    <t>GameEventMasterClass.ExecuteExitRoomCondsService</t>
  </si>
  <si>
    <t>SPRITE_ATLAS_MANYO_1</t>
  </si>
  <si>
    <t>Executes exit room unchainers before leaving room</t>
  </si>
  <si>
    <t>ITEM_NPC_ARTURO_EXTRAPERLO</t>
  </si>
  <si>
    <t>COND_TAKE_VALVE_BOX_1</t>
  </si>
  <si>
    <t>ACTION_DIALOGUE_TAKE_VALVE_BOX_1, ACTION_EVENT_VALVE_BOX_NEED_OPEN</t>
  </si>
  <si>
    <t>COND_OBSERVE_ITEM_NPC_ARTURO_EXTRAPERLO, COND_TALK_ARTURO_DRUNK, COND_TALK_ITEM_NPC_ARTURO_EXTRAPERLO</t>
  </si>
  <si>
    <t>SPRITE_MEMENTO_RECIPE</t>
  </si>
  <si>
    <t>ACTIVATE_FORCED_ZOOM_MODE</t>
  </si>
  <si>
    <t>ACTIVATE_FORCED_ZOOM_MODE_DELEGATE</t>
  </si>
  <si>
    <t>GraphicsMasterClass.ActivateForcedZoomMode</t>
  </si>
  <si>
    <t>Service for GraphicsMaste to make zoom into a region of interest</t>
  </si>
  <si>
    <t>ITEM_NPC_CLOWN</t>
  </si>
  <si>
    <t>NAME_CLOWN</t>
  </si>
  <si>
    <t>COND_TAKE_VALVE_BOX_MORNING</t>
  </si>
  <si>
    <t>SPRITE_CLOWN_STEADY</t>
  </si>
  <si>
    <t>ACTION_DIALOGUE_TAKE_VALVE_BOX_MORNING</t>
  </si>
  <si>
    <t>COND_TALK_CLOWN_DRUNK, COND_TALK_ITEM_NPC_CLOWN</t>
  </si>
  <si>
    <t>BACKGROUND_BACKALLEY</t>
  </si>
  <si>
    <t>BACKGROUND_HIVE1_BACKALLEY</t>
  </si>
  <si>
    <t>GET_ITEM_SPRITE_BOUNDARIES</t>
  </si>
  <si>
    <t>SPRITE_ATLAS_HIVE1_7</t>
  </si>
  <si>
    <t>GET_ITEM_SPRITE_BOUNDARIES_DELEGATE</t>
  </si>
  <si>
    <t>ItemMasterClass.GetItemBoundariesService</t>
  </si>
  <si>
    <t>Gets world boundaries of given item</t>
  </si>
  <si>
    <t>BACKGROUND_BACKALLEY_NIGHT</t>
  </si>
  <si>
    <t>BACKGROUND_HIVE1_BACKALLEY_NIGHT</t>
  </si>
  <si>
    <t>ITEM_NPC_SILVANA_EXTRAPERLO</t>
  </si>
  <si>
    <t>SPRITE_ATLAS_HIVE1_8</t>
  </si>
  <si>
    <t>NAME_SILVANA</t>
  </si>
  <si>
    <t>SPRITE_SILVANA_STEADY_READING</t>
  </si>
  <si>
    <t>COND_OBSERVE_ITEM_HIVE1_SHOELACE</t>
  </si>
  <si>
    <t>COND_TALK_SILVANA_DRUNK, COND_TALK_ITEM_NPC_SILVANA_EXTRAPERLO, COND_TALK_SILVANA_OLIVE</t>
  </si>
  <si>
    <t>ACTION_DIALOGUE_OBSERVE_SHOEALCE</t>
  </si>
  <si>
    <t>SPRITE_PICKABLE_SHOELACE</t>
  </si>
  <si>
    <t>START_CARD_GAME</t>
  </si>
  <si>
    <t>START_CARD_GAME_DELEGATE</t>
  </si>
  <si>
    <t>CardMasterClass.StartCardGameService</t>
  </si>
  <si>
    <t>ITEM_EXTRAPERLO_INVITATION_FOLDED</t>
  </si>
  <si>
    <t>Tells Card Master to prepare a game with given parameters</t>
  </si>
  <si>
    <t>SPRITE_PICKABLE_EXTRAPERLO_FOLDED</t>
  </si>
  <si>
    <t>COND_TAKE_ITEM_HIVE1_SHOELACE_NOT</t>
  </si>
  <si>
    <t>(NOT)EVENT_VALVE_BOX_NEED_OPEN</t>
  </si>
  <si>
    <t>ACTION_DIALOGUE_TAKE_SHOEALCE_NOT</t>
  </si>
  <si>
    <t>BACKGROUND_CITY1_SOUTH_STREET_1</t>
  </si>
  <si>
    <t>ITEM_EXTRAPERLO_INVITATION_CORNER</t>
  </si>
  <si>
    <t>SPRITE_ATLAS_CITY3_1</t>
  </si>
  <si>
    <t>NAME_CORNER</t>
  </si>
  <si>
    <t>GIVE_UP_CARD_GAME</t>
  </si>
  <si>
    <t>GIVE_UP_CARD_GAME_DELEGATE</t>
  </si>
  <si>
    <t>CardMasterClass.GiveUpCardGameService</t>
  </si>
  <si>
    <t>Tells Card Master to give up match</t>
  </si>
  <si>
    <t>BACKGROUND_CITY1_SOUTH_STREET_1_NIGHT</t>
  </si>
  <si>
    <t>SPRITE_ATLAS_CITY3_2</t>
  </si>
  <si>
    <t>COND_TAKE_ITEM_HIVE1_SHOELACE_NOT_2</t>
  </si>
  <si>
    <t>EVENT_VALVE_BOX_NEED_OPEN</t>
  </si>
  <si>
    <t>COND_OBSERVE_INVITATION_CORNER, COND_TAKE_INVITATION_CORNER</t>
  </si>
  <si>
    <t>BACKGROUND_CITY1_SOUTH_STREET_2</t>
  </si>
  <si>
    <t>SPRITE_ATLAS_CITY4_1</t>
  </si>
  <si>
    <t>ACTION_DIALOGUE_TAKE_SHOEALCE_NOT_2</t>
  </si>
  <si>
    <t>BACKGROUND_CITY1_SOUTH_STREET_2_NIGHT</t>
  </si>
  <si>
    <t>SPRITE_ATLAS_CITY4_2</t>
  </si>
  <si>
    <t>ITEM_OBJECT_OLIVE_BOWL</t>
  </si>
  <si>
    <t>NAME_OLIVE_BOWL</t>
  </si>
  <si>
    <t>SPRITE_ATLAS_EXTRAPERLO1</t>
  </si>
  <si>
    <t>SPRITE_EXTRAPERLO_OLIVE_BOWL</t>
  </si>
  <si>
    <t>LOAD_ROOM_AS_ACTION</t>
  </si>
  <si>
    <t>LOAD_ROOM_AS_ACTION_DELEGATE</t>
  </si>
  <si>
    <t>LevelMasterClass.LoadRoomAsActionService</t>
  </si>
  <si>
    <t>SPRITE_EXTRAPERLO_BAR_FOREGROUND</t>
  </si>
  <si>
    <t>Tells LevelMaster to set waypoints and Load a Room. This emulates crossing door. This is used in cinematics or auto driven events</t>
  </si>
  <si>
    <t>COND_TAKE_ITEM_HIVE1_SHOELACE</t>
  </si>
  <si>
    <t>COND_OBSERVE_ITEM_OBJECT_OLIVE_BOWL, COND_TAKE_OLIVE_FROM_BOWL, COND_TAKE_OLIVE_FROM_BOWL_ALREADY</t>
  </si>
  <si>
    <t>SPRITE_ATLAS_FIK_1</t>
  </si>
  <si>
    <t>ACTION_DIALOGUE_TAKE_SHOEALCE, ACTION_OBTAIN_HIVE1_SHOELACE, ACTION_EVENT_SHOELACE_PICKABLE_TAKEN</t>
  </si>
  <si>
    <t>SPRITE_ATLAS_MAINCHAR_1</t>
  </si>
  <si>
    <t>ITEM_OBJECT_BEER_FULL</t>
  </si>
  <si>
    <t>NAME_BEER_FULL</t>
  </si>
  <si>
    <t>SPRITE_BEER_FULL</t>
  </si>
  <si>
    <t>LABEL_ELEM_HOVER</t>
  </si>
  <si>
    <t>LABEL_ELEM_HOVER_DELEGATE</t>
  </si>
  <si>
    <t>GraphicsMasterClass.LabelElemHoverService</t>
  </si>
  <si>
    <t>Tells Graphics Module to activate or deactivate label with specific info</t>
  </si>
  <si>
    <t>COND_OBSERVE_ITEM_HIVE1_VALVE</t>
  </si>
  <si>
    <t>COND_OBSERVE_ITEM_OBJECT_BEER_FULL, COND_TAKE_BEER_FIRST_ROUND, COND_TAKE_BEER_SECOND_ROUND, COND_TAKE_BEER_THIRD_ROUND</t>
  </si>
  <si>
    <t>ACTION_DIALOGUE_OBSERVE_VALVE</t>
  </si>
  <si>
    <t>ITEM_PICKABLE_OLIVE</t>
  </si>
  <si>
    <t>SPRITE_WATER_FLOW_BACKALLEY_NIGHT</t>
  </si>
  <si>
    <t>NAME_OLIVE</t>
  </si>
  <si>
    <t>SPRITE_PICKABLE_OLIVE</t>
  </si>
  <si>
    <t>SPRITE_ATLAS_GERMAN_1</t>
  </si>
  <si>
    <t>LAST_SERVICE</t>
  </si>
  <si>
    <t>COND_OBSERVE_ITEM_PICKABLE_OLIVE</t>
  </si>
  <si>
    <t>COND_USE_SHOELACE_VALVE_BOX</t>
  </si>
  <si>
    <t>(NOT)EVENT_VALVE_BOX_OPENED</t>
  </si>
  <si>
    <t>Last service</t>
  </si>
  <si>
    <t>SPRITE_ATLAS_WAITER_1</t>
  </si>
  <si>
    <t>ACTION_DIALOGUE_USE_SHOELACE_VALVE_BOX, ACTION_EVENT_VALVE_BOX_OPENED</t>
  </si>
  <si>
    <t>BACKGROUND_CITY1_EXTRAPERLO2</t>
  </si>
  <si>
    <t>ITEM_INNOCENT_PLANT</t>
  </si>
  <si>
    <t>SPRITE_ATLAS_EXTRAPERLO2</t>
  </si>
  <si>
    <t>NAME_INNOCENT_PLANT</t>
  </si>
  <si>
    <t>SPRITE_ATLAS_UNKNOWN_WOMEN_1</t>
  </si>
  <si>
    <t>SPRITE_EXTRAPERLO_COUPLE_TALKING</t>
  </si>
  <si>
    <t>COND_OBSERVE_ITEM_INNOCENT_PLANT, COND_USE_BLADDER_WITH_PLANT</t>
  </si>
  <si>
    <t>SPRITE_ATLAS_EXTRAPERLO_COUPLE</t>
  </si>
  <si>
    <t>COND_TAKE_HIVE1_VALVE</t>
  </si>
  <si>
    <t>(NOT)EVENT_HIVE1_VALVE_ACTIVATED</t>
  </si>
  <si>
    <t>SPRITE_FIRE_DANCING</t>
  </si>
  <si>
    <t>ACTION_DIALOGUE_TAKE_HIVE1_VALVE, ACTION_EVENT_VALVE_ACTIVATED</t>
  </si>
  <si>
    <t>ITEM_PICKABLE_BLADDER</t>
  </si>
  <si>
    <t>SPRITE_ATLAS_ARTURO1</t>
  </si>
  <si>
    <t>NAME_FULL_BLADDER</t>
  </si>
  <si>
    <t>SPRITE_PICKABLE_BLADDER</t>
  </si>
  <si>
    <t>SPRITE_CARD_REVERSE</t>
  </si>
  <si>
    <t>SPRITE_ATLAS_CARDS1</t>
  </si>
  <si>
    <t>SPRITE_CARDS</t>
  </si>
  <si>
    <t>COND_TAKE_HIVE1_VALVE_2</t>
  </si>
  <si>
    <t>COND_OBSERVE_BLADDER</t>
  </si>
  <si>
    <t>EVENT_HIVE1_VALVE_ACTIVATED</t>
  </si>
  <si>
    <t>SPRITE_EXTRAPERLO_TABLE1_STEADY</t>
  </si>
  <si>
    <t>ACTION_DIALOGUE_TAKE_HIVE1_VALVE_2</t>
  </si>
  <si>
    <t>SPRITE_ATLAS_EXTRAPERLO_TABLES</t>
  </si>
  <si>
    <t>ITEM_NPC_SILVANA_EXTRAPERLO_GARD</t>
  </si>
  <si>
    <t>SPRITE_EXTRAPERLO_TABLE2_STEADY</t>
  </si>
  <si>
    <t>SPRITE_SILVANA_STEADY_STANDING</t>
  </si>
  <si>
    <t>COND_OBSERVE_ITEM_HIVE1_MAN_WC_CURED</t>
  </si>
  <si>
    <t>ACTION_DIALOGUE_OBSERVE_MAN_WC_CURED</t>
  </si>
  <si>
    <t>ITEM_NPC_SILVANA_EXTRAPERLO_GARD_SEAT</t>
  </si>
  <si>
    <t>SPRITE_SILVANA_SEATED_GARDEN_STEADY</t>
  </si>
  <si>
    <t>COND_TALK_ITEM_HIVE1_MAN_WC_CURED</t>
  </si>
  <si>
    <t>COND_OK, COND_TALK_ITEM_NPC_SILVANA_EXTRAPERLO_GARD_SEAT</t>
  </si>
  <si>
    <t>ACTION_DIALOGUE_TALK_MAN_WC_CURED</t>
  </si>
  <si>
    <t>BACKGROUND_EXTRAPERLO_GARDEN</t>
  </si>
  <si>
    <t>BACKGROUND_CITY1_EXTRAPERLO_GARDEN</t>
  </si>
  <si>
    <t>SPRITE_ATLAS_EXTRAPERLO_GARDEN</t>
  </si>
  <si>
    <t>ITEM_PAMFRY</t>
  </si>
  <si>
    <t>NAME_CLIENT</t>
  </si>
  <si>
    <t>SPRITE_PAMFRY_SHOUTING</t>
  </si>
  <si>
    <t>COND_OBSERVE_ITEM_EXTRAPERLO_INVITATION_DETAIL_1</t>
  </si>
  <si>
    <t>(NOT)EVENT_INVITATION_REVEALED</t>
  </si>
  <si>
    <t>SPRITE_ATLAS_SILVANA_0</t>
  </si>
  <si>
    <t>ACTION_DIALOGUE_OBSERVE_INVITATION_DETAIL_1, ACTION_EVENT_OBSERVED_INVITATION_RELIEF</t>
  </si>
  <si>
    <t>ITEM_FIK_EXTRAPERLO_GARDEN</t>
  </si>
  <si>
    <t>SPRITE_ATLAS_PAMFRY1</t>
  </si>
  <si>
    <t>BACKGROUND_DREAM_1_CORRIDOR</t>
  </si>
  <si>
    <t>SPRITE_ATLAS_DREAM1_1</t>
  </si>
  <si>
    <t>COND_OBSERVE_ITEM_EXTRAPERLO_INVITATION_DETAIL_2</t>
  </si>
  <si>
    <t>BACKGROUND_DREAM_1_FRAMEWORK</t>
  </si>
  <si>
    <t>EVENT_INVITATION_REVEALED</t>
  </si>
  <si>
    <t>SPRITE_ATLAS_DREAM1_2</t>
  </si>
  <si>
    <t>ACTION_DIALOGUE_OBSERVE_INVITATION_DETAIL_2, ACTION_EVENT_INVITATION_UNDERSTOOD_PHRASE</t>
  </si>
  <si>
    <t>BACKGROUND_DREAM_1_KITCHEN</t>
  </si>
  <si>
    <t>SPRITE_ATLAS_DREAM1_3</t>
  </si>
  <si>
    <t>ITEM_MAINCHAR_DREAM</t>
  </si>
  <si>
    <t>BACKGROUND_DREAM_1_BEDROOM</t>
  </si>
  <si>
    <t>SPRITE_ATLAS_DREAM1_4</t>
  </si>
  <si>
    <t>PREFAB_MAINCHAR_DREAM</t>
  </si>
  <si>
    <t>SPRITE_SULTAN_STEADY</t>
  </si>
  <si>
    <t>SPRITE_ATLAS_SULTAN_0</t>
  </si>
  <si>
    <t>SPRITE_PILAR_STEADY</t>
  </si>
  <si>
    <t>COND_OBSERVE_ITEM_PHARMACY_INKWELL</t>
  </si>
  <si>
    <t>SPRITE_ATLAS_PILAR_0</t>
  </si>
  <si>
    <t>ITEM_DREAM_RADIO</t>
  </si>
  <si>
    <t>ACTION_DIALOGUE_OBSERVE_PHARMACY_INKWELL</t>
  </si>
  <si>
    <t>BACKGROUND_DREAM_1_BEDROOM_NIGHT</t>
  </si>
  <si>
    <t>NAME_RADIO</t>
  </si>
  <si>
    <t>SPRITE_MAINCHAR_STEADY_BED</t>
  </si>
  <si>
    <t>SPRITE_ATLAS_MAINCHAR_BED</t>
  </si>
  <si>
    <t>COND_OBSERVE_ITEM_DREAM_RADIO, COND_TAKE_DREAM_RADIO_ON, COND_TAKE_DREAM_RADIO_OFF</t>
  </si>
  <si>
    <t>BACKGROUND_DREAM_1_CORRIDOR_NIGHT</t>
  </si>
  <si>
    <t>SPRITE_ATLAS_DREAM1_5</t>
  </si>
  <si>
    <t>COND_OBSERVE_ITEM_PHARMACY_INK</t>
  </si>
  <si>
    <t>SPRITE_ALTER_EGO_STEADY</t>
  </si>
  <si>
    <t>ITEM_CLASSROOM_PORTRAIT</t>
  </si>
  <si>
    <t>SPRITE_ATLAS_ALTER_EGO1</t>
  </si>
  <si>
    <t>SOUND_ID</t>
  </si>
  <si>
    <t>ACTION_DIALOGUE_OBSERVE_PHARMACY_INK</t>
  </si>
  <si>
    <t>Effect</t>
  </si>
  <si>
    <t>NAME_PORTRAIT</t>
  </si>
  <si>
    <t>BACKGROUND_DREAM_1_KITCHEN_NIGHT</t>
  </si>
  <si>
    <t>SPRITE_ATLAS_DREAM1_6</t>
  </si>
  <si>
    <t>SPRITE_MAINCHAR_SEATED_STEADY</t>
  </si>
  <si>
    <t>COND_OBSERVE_ITEM_CLASSROOM_PORTRAIT</t>
  </si>
  <si>
    <t>SOUND_NONE</t>
  </si>
  <si>
    <t>SPRITE_ATLAS_MAINCHAR_SEATED</t>
  </si>
  <si>
    <t>EFFECT_NONE</t>
  </si>
  <si>
    <t>SPRITE_PICKABLE_FIG</t>
  </si>
  <si>
    <t>COND_TAKE_INKWELL_NOT_1</t>
  </si>
  <si>
    <t>MUSIC_GARDEN</t>
  </si>
  <si>
    <t>(NOT)EVENT_OBSERVED_INVITATION_RELIEF</t>
  </si>
  <si>
    <t>ITEM_DREAM_CLOCK</t>
  </si>
  <si>
    <t>BACKGROUND_STATION_1</t>
  </si>
  <si>
    <t>NAME_CLOCK</t>
  </si>
  <si>
    <t>SPRITE_ATLAS_TRAIN1_1</t>
  </si>
  <si>
    <t>ACTION_DIALOGUE_TAKE_INKWELL_NOT_1</t>
  </si>
  <si>
    <t>SOUND_OBSERVE_ITEM_EXTRAPERLO_INVITATION_DETAIL</t>
  </si>
  <si>
    <t>SOUND_OBSERVE_ITEM_EXTRAPERLO_INVITATION_DETAIL_SPANISH</t>
  </si>
  <si>
    <t>BACKGROUND_STATION_1_NIGHT</t>
  </si>
  <si>
    <t>COND_OBSERVE_ITEM_DREAM_CLOCK</t>
  </si>
  <si>
    <t>SOUND_OBSERVE_ITEM_SHOELACE</t>
  </si>
  <si>
    <t>BACKGROUND_MAP_1</t>
  </si>
  <si>
    <t>SOUND_OBSERVE_ITEM_SHOELACE_SPANISH</t>
  </si>
  <si>
    <t>SPRITE_ATLAS_MAP</t>
  </si>
  <si>
    <t>SOUND_FART_1</t>
  </si>
  <si>
    <t>SPRITE_PINPOINT_MAP</t>
  </si>
  <si>
    <t>COND_TAKE_INKWELL_NOT_2</t>
  </si>
  <si>
    <t>ITEM_NPC_SULTAN</t>
  </si>
  <si>
    <t>EVENT_OBSERVED_INVITATION_RELIEF</t>
  </si>
  <si>
    <t>NAME_SULTAN</t>
  </si>
  <si>
    <t>ACTION_DIALOGUE_TAKE_INKWELL_NOT_2, ACTION_EVENT_INKWELL_NOT_TOUCH_WARN</t>
  </si>
  <si>
    <t>SOUND_POOR_MAN_BCKG_1</t>
  </si>
  <si>
    <t>SPRITE_LAST</t>
  </si>
  <si>
    <t>COND_OBSERVE_ITEM_NPC_SULTAN, COND_TALK_SULTAN_DREAM_1, COND_USE_FIG_SULTAN</t>
  </si>
  <si>
    <t>SOUND_POOR_MAN_BCKG_2</t>
  </si>
  <si>
    <t>SOUND_POOR_MAN_BCKG_3</t>
  </si>
  <si>
    <t>ITEM_NPC_PILAR_DREAM_1</t>
  </si>
  <si>
    <t>COND_TAKE_INKWELL_NOT_3</t>
  </si>
  <si>
    <t>NAME_PILAR</t>
  </si>
  <si>
    <t>MUSIC_PHARMACY</t>
  </si>
  <si>
    <t>ACTION_DIALOGUE_TAKE_INKWELL_NOT_3, ACTION_EVENT_INKWELL_NOT_TOUCH_WARN</t>
  </si>
  <si>
    <t>COND_OBSERVE_ITEM_NPC_PILAR_DREAM_1, COND_TALK_ITEM_NPC_PILAR_DREAM_1</t>
  </si>
  <si>
    <t>MUSIC_SOUTH_NEIGH</t>
  </si>
  <si>
    <t>MUSIC_MANYO</t>
  </si>
  <si>
    <t>COND_USE_UMBRELLA_INKWELL</t>
  </si>
  <si>
    <t>EVENT_INKWELL_NOT_TOUCH_WARN</t>
  </si>
  <si>
    <t>NAME_ALTER_EGO1</t>
  </si>
  <si>
    <t>SOUND_AMBIENCE_MANYO_NIGHT</t>
  </si>
  <si>
    <t>ACTION_DIALOGUE_USE_UMBRELLA_INKWELL</t>
  </si>
  <si>
    <t>COND_TALK_ITEM_NPC_ALTER_EGO_1, COND_OBSERVE_ITEM_NPC_ALTER_EGO_1</t>
  </si>
  <si>
    <t>SOUND_AMBIENCE_CITY_DAY</t>
  </si>
  <si>
    <t>SOUND_AMBIENCE_CITY_NIGHT</t>
  </si>
  <si>
    <t>ITEM_DOOR_DREAM_1_EXIT</t>
  </si>
  <si>
    <t>COND_USE_INVITATION_INK</t>
  </si>
  <si>
    <t>MUSIC_INN</t>
  </si>
  <si>
    <t>ACTION_DIALOGUE_USE_INVITATION_INK, ACTION_EVENT_INVITATION_REVEALED</t>
  </si>
  <si>
    <t>COND_DOG_DID_NOT_EAT</t>
  </si>
  <si>
    <t>SOUND_FIK_INTRO_1</t>
  </si>
  <si>
    <t>SOUND_FIK_INTRO_1_SPANISH</t>
  </si>
  <si>
    <t>SOUND_FIK_INTRO_2</t>
  </si>
  <si>
    <t>ITEM_BLANK</t>
  </si>
  <si>
    <t>SOUND_FIK_INTRO_2_SPANISH</t>
  </si>
  <si>
    <t>DIALOG_ID</t>
  </si>
  <si>
    <t>COND_USE_INVITATION_INK_2</t>
  </si>
  <si>
    <t>Options</t>
  </si>
  <si>
    <t>SOUND_FIK_1_OP_0_0</t>
  </si>
  <si>
    <t>SOUND_FIK_1_OP_0_0_SPANISH</t>
  </si>
  <si>
    <t>ACTION_DIALOGUE_USE_INVITATION_INK_2</t>
  </si>
  <si>
    <t>DIALOG_NONE</t>
  </si>
  <si>
    <t>SOUND_FIK_1_OP_0_1</t>
  </si>
  <si>
    <t>DIALOG_OPTION_NONE</t>
  </si>
  <si>
    <t>SOUND_FIK_1_OP_0_1_SPANISH</t>
  </si>
  <si>
    <t>SOUND_FIK_1_OP_1_0</t>
  </si>
  <si>
    <t>SOUND_FIK_1_OP_1_0_SPANISH</t>
  </si>
  <si>
    <t>ITEM_PICKABLE_FIG</t>
  </si>
  <si>
    <t>SOUND_FIK_1_OP_1_1</t>
  </si>
  <si>
    <t>DIALOG_SIMPLE</t>
  </si>
  <si>
    <t>(NOT)EVENT_EXTRAPERLO_SAID_PHRASE</t>
  </si>
  <si>
    <t>DIALOG_OPTION_SIMPLE</t>
  </si>
  <si>
    <t>SOUND_FIK_1_OP_1_1_SPANISH</t>
  </si>
  <si>
    <t>ACTION_TALK_FIK</t>
  </si>
  <si>
    <t>COND_OBSERVE_ITEM_FIG, COND_TAKE_ITEM_FIG</t>
  </si>
  <si>
    <t>SOUND_FIK_1_OP_1_2</t>
  </si>
  <si>
    <t>SOUND_FIK_1_OP_1_2_SPANISH</t>
  </si>
  <si>
    <t>DIALOG_REME_INTRO</t>
  </si>
  <si>
    <t>ITEM_PLAYER_MAIN, ITEM_HIVE1_NPC_REME</t>
  </si>
  <si>
    <t>DIALOG_OPTION_REME_INTRO</t>
  </si>
  <si>
    <t>SOUND_FIK_1_OP_1_3</t>
  </si>
  <si>
    <t>ITEM_PINPOINT_MAP</t>
  </si>
  <si>
    <t>SOUND_FIK_1_OP_1_3_SPANISH</t>
  </si>
  <si>
    <t>NAME_PINPOINT_MAP</t>
  </si>
  <si>
    <t>DIALOG_REME</t>
  </si>
  <si>
    <t>SOUND_FIK_1_OP_2_0</t>
  </si>
  <si>
    <t>DIALOG_OPTION_REME_1, DIALOG_OPTION_REME_2, DIALOG_OPTION_REME_3</t>
  </si>
  <si>
    <t>SOUND_FIK_1_OP_2_0_SPANISH</t>
  </si>
  <si>
    <t>PREFAB_PINPOINT_MAP</t>
  </si>
  <si>
    <t>ACTION_TALK_FIK_NOT_CROSS</t>
  </si>
  <si>
    <t>SOUND_FIK_1_OP_2_1</t>
  </si>
  <si>
    <t>DIALOG_REME_CARDS</t>
  </si>
  <si>
    <t>SOUND_FIK_1_OP_2_1_SPANISH</t>
  </si>
  <si>
    <t>DIALOG_OPTION_REME_CARDS</t>
  </si>
  <si>
    <t>SOUND_FIK_1_OP_3_0</t>
  </si>
  <si>
    <t>SOUND_FIK_1_OP_3_0_SPANISH</t>
  </si>
  <si>
    <t>ITEM_MAP_POINT_PERIPH_NEIGH</t>
  </si>
  <si>
    <t>DIALOG_TRY_TALK_PHARMACIST_1</t>
  </si>
  <si>
    <t>ITEM_PLAYER_MAIN, ITEM_PHARMACY_NPC_OWNER</t>
  </si>
  <si>
    <t>DIALOG_OPTION_TRY_TALK_PHARMACIST</t>
  </si>
  <si>
    <t>ITEM_FAMILY_TYPE_MAP_POINT</t>
  </si>
  <si>
    <t>SOUND_FIK_2_OP_0_0</t>
  </si>
  <si>
    <t>COND_TALK_WAITER_NO_INVITATION</t>
  </si>
  <si>
    <t>(NOT)EVENT_EXTRAPERLO_SHOWN_NEW_INVITATION</t>
  </si>
  <si>
    <t>SOUND_FIK_2_OP_0_0_SPANISH</t>
  </si>
  <si>
    <t>DIALOG_TRY_TALK_PHARMACIST_2</t>
  </si>
  <si>
    <t>ACTION_TALK_WAITER_NO_INVITATION</t>
  </si>
  <si>
    <t>DIALOG_OPTION_PHARMACIST_BUSY</t>
  </si>
  <si>
    <t>SOUND_FIK_2_OP_0_1</t>
  </si>
  <si>
    <t>SOUND_FIK_2_OP_0_1_SPANISH</t>
  </si>
  <si>
    <t>DIALOG_MANYO_OWNER_INTRO</t>
  </si>
  <si>
    <t>ITEM_PLAYER_MAIN, ITEM_ELMANYO_OWNER</t>
  </si>
  <si>
    <t>SOUND_FIK_2_OP_1_0</t>
  </si>
  <si>
    <t>DIALOG_OPTION_MANYO_ONWER_INTRO</t>
  </si>
  <si>
    <t>ITEM_MAP_POINT_CITY_CENTER</t>
  </si>
  <si>
    <t>SOUND_FIK_2_OP_1_0_SPANISH</t>
  </si>
  <si>
    <t>SOUND_FIK_2_OP_1_1</t>
  </si>
  <si>
    <t>COND_USE_OLD_INVITATION_W_WAITER</t>
  </si>
  <si>
    <t>SOUND_FIK_2_OP_1_1_SPANISH</t>
  </si>
  <si>
    <t>DIALOG_MANYO_OWNER</t>
  </si>
  <si>
    <t>DIALOG_OPTION_MANYO_WORK_NOTE, DIALOG_OPTION_MANYO_WORKS_CITY, DIALOG_OPTION_MANYO_MENU_DAY, DIALOG_OPTION_MANYO_CROWD, DIALOG_OPTION_MANYO_BYE</t>
  </si>
  <si>
    <t>SOUND_FIK_2_OP_2_0</t>
  </si>
  <si>
    <t>ACTION_TALK_WAITER_OLD_INVITATION</t>
  </si>
  <si>
    <t>SOUND_FIK_2_OP_2_0_SPANISH</t>
  </si>
  <si>
    <t>DIALOG_MANYO_UMBRELLA</t>
  </si>
  <si>
    <t>DIALOG_OPTION_MANYO_UMBRELLA</t>
  </si>
  <si>
    <t>SOUND_FIK_2_OP_2_1</t>
  </si>
  <si>
    <t>SOUND_FIK_2_OP_2_1_SPANISH</t>
  </si>
  <si>
    <t>ITEM_MAP_POINT_SOUTH_NEIGH</t>
  </si>
  <si>
    <t>SOUND_FIK_2_OP_3_0</t>
  </si>
  <si>
    <t>DIALOG_MANYO_BCKG_CROWD</t>
  </si>
  <si>
    <t>SOUND_FIK_2_OP_3_0_SPANISH</t>
  </si>
  <si>
    <t>DIALOG_OPTION_MANYO_BCKG_CROWD</t>
  </si>
  <si>
    <t>COND_TALK_UNKNOWN_WOMEN</t>
  </si>
  <si>
    <t>ACTION_TALK_UNKNOWN_WOMEN</t>
  </si>
  <si>
    <t>SOUND_FIK_2_OP_3_1</t>
  </si>
  <si>
    <t>DIALOG_HIVE1_BCKG_POOR_MAN_WC</t>
  </si>
  <si>
    <t>SOUND_FIK_2_OP_3_1_SPANISH</t>
  </si>
  <si>
    <t>DIALOG_HIVE1_BCKG_POOR_MAN_WC_OPTIONS</t>
  </si>
  <si>
    <t>SOUND_FIK_NOT_CROSS</t>
  </si>
  <si>
    <t>SOUND_FIK_NOT_CROSS_SPANISH</t>
  </si>
  <si>
    <t>DIALOG_HIVE1_POOR_MAN_WC</t>
  </si>
  <si>
    <t>ITEM_PLAYER_MAIN, ITEM_HIVE1_POOR_MAN_WC</t>
  </si>
  <si>
    <t>DIALOG_HIVE1_POOR_MAN_WC_OPTION_0, DIALOG_HIVE1_POOR_MAN_WC_OPTION_1, DIALOG_HIVE1_POOR_MAN_WC_OPTION_2, DIALOG_HIVE1_POOR_MAN_WC_OPTION_3</t>
  </si>
  <si>
    <t>SOUND_MAINCHAR_NONSENSE</t>
  </si>
  <si>
    <t>SOUND_MAINCHAR_NONSENSE_SPANISH</t>
  </si>
  <si>
    <t>COND_TAKE_UNKNOWN_WOMEN</t>
  </si>
  <si>
    <t>ITEM_LAST</t>
  </si>
  <si>
    <t>NAME_NPC_LAST</t>
  </si>
  <si>
    <t>DIALOG_HIVE1_POOR_MAN_WC_INTRO</t>
  </si>
  <si>
    <t>SOUND_MAINCHAR_NONSENSE_OBSERVE</t>
  </si>
  <si>
    <t>ACTION_TAKE_UNKNOWN_WOMEN</t>
  </si>
  <si>
    <t>DIALOG_HIVE1_POOR_MAN_WC_OPTION_INTRO</t>
  </si>
  <si>
    <t>SOUND_MAINCHAR_NONSENSE_OBSERVE_SPANISH</t>
  </si>
  <si>
    <t>SOUND_MAINCHAR_NONSENSE_TALK</t>
  </si>
  <si>
    <t>DIALOG_ARTURO_HALL_INN</t>
  </si>
  <si>
    <t>SOUND_MAINCHAR_NONSENSE_TALK_SPANISH</t>
  </si>
  <si>
    <t>ITEM_PLAYER_MAIN, ITEM_HIVE1_MAN_WC_CURED</t>
  </si>
  <si>
    <t>DIALOG_ARTURO_HALL_INN_OPTION_0, DIALOG_ARTURO_HALL_INN_OPTION_1, DIALOG_ARTURO_HALL_INN_OPTION_2</t>
  </si>
  <si>
    <t>SOUND_PHRASE_DIALOG_MANYO_BCKG_CROWD_1</t>
  </si>
  <si>
    <t>SOUND_PHRASE_DIALOG_MANYO_BCKG_CROWD_1_SPANISH</t>
  </si>
  <si>
    <t>COND_OBSERVE_ITEM_NPC_ARTURO_EXTRAPERLO</t>
  </si>
  <si>
    <t>DIALOG_ARTURO_HALL_INN_INTRO</t>
  </si>
  <si>
    <t>DIALOG_ARTURO_HALL_INN_OPTION_INTRO</t>
  </si>
  <si>
    <t>SOUND_PHRASE_DIALOG_MANYO_BCKG_CROWD_2</t>
  </si>
  <si>
    <t>SOUND_PHRASE_DIALOG_MANYO_BCKG_CROWD_2_SPANISH</t>
  </si>
  <si>
    <t>ACTION_DIALOGUE_OBSERVE_ITEM_NPC_ARTURO_EXTRAPERLO</t>
  </si>
  <si>
    <t>DIALOG_PHARMACIST_NOT_TAKE_INKWELL</t>
  </si>
  <si>
    <t>SOUND_PHRASE_DIALOG_MANYO_BCKG_CROWD_3</t>
  </si>
  <si>
    <t>DIALOG_PHARMACIST_NOT_TAKE_INKWELL_OPTION_INTRO</t>
  </si>
  <si>
    <t>SOUND_PHRASE_DIALOG_MANYO_BCKG_CROWD_3_SPANISH</t>
  </si>
  <si>
    <t>DIALOG_USE_UMBRELLA_WITH_INKWELL</t>
  </si>
  <si>
    <t>DIALOG_OPTION_USE_UMBRELLA_WITH_INKWELL</t>
  </si>
  <si>
    <t>SOUND_AMBIENCE_WATER_FLOW</t>
  </si>
  <si>
    <t>COND_TALK_ITEM_NPC_ARTURO_EXTRAPERLO</t>
  </si>
  <si>
    <t>ACTION_TALK_DIALOG_ARTURO_EXTRAPERLO</t>
  </si>
  <si>
    <t>DIALOG_USE_UMBRELLA_WITH_INKWELL_REACT</t>
  </si>
  <si>
    <t>SOUND_AMBIENCE_INSIDE_PUB</t>
  </si>
  <si>
    <t>DIALOG_OPTION_USE_UMBRELLA_WITH_INKWELL_REACT</t>
  </si>
  <si>
    <t>SOUND_AMBIENCE_OUTSIDE_PUB</t>
  </si>
  <si>
    <t>DIALOG_FIK_1</t>
  </si>
  <si>
    <t>ITEM_PLAYER_MAIN, ITEM_NPC_FIK</t>
  </si>
  <si>
    <t>DIALOG_FIK_1_OPTION_0, DIALOG_FIK_1_OPTION_1, DIALOG_FIK_1_OPTION_2, DIALOG_FIK_1_OPTION_3</t>
  </si>
  <si>
    <t>COND_TALK_ITEM_NPC_CLOWN</t>
  </si>
  <si>
    <t>SOUND_GERMAN_INTRO</t>
  </si>
  <si>
    <t>DIALOG_FIK_1_INTRO</t>
  </si>
  <si>
    <t>DIALOG_FIK_1_OPTION_INTRO</t>
  </si>
  <si>
    <t>ACTION_TALK_DIALOG_CLOWN_EXTRAPERLO</t>
  </si>
  <si>
    <t>SOUND_GERMAN_1_OP_0_0</t>
  </si>
  <si>
    <t>SOUND_GERMAN_1_OP_0_0_SPANISH</t>
  </si>
  <si>
    <t>DIALOG_FIK_2</t>
  </si>
  <si>
    <t>DIALOG_FIK_2_OPTION_0, DIALOG_FIK_2_OPTION_1, DIALOG_FIK_2_OPTION_2, DIALOG_FIK_2_OPTION_3</t>
  </si>
  <si>
    <t>SOUND_GERMAN_1_OP_0_1</t>
  </si>
  <si>
    <t>SOUND_GERMAN_1_OP_0_1_SPANISH</t>
  </si>
  <si>
    <t>COND_TALK_ITEM_NPC_SILVANA_EXTRAPERLO</t>
  </si>
  <si>
    <t>DIALOG_FIK_NOT_CROSS_DOOR</t>
  </si>
  <si>
    <t>(NOT)EVENT_DRUNK_STATE, (NOT)EVENT_OLIVE_OFFERED</t>
  </si>
  <si>
    <t>SOUND_GERMAN_1_OP_1_0</t>
  </si>
  <si>
    <t>DIALOG_FIK_NOT_CROSS_OPTION_0</t>
  </si>
  <si>
    <t>SOUND_GERMAN_1_OP_1_0_SPANISH</t>
  </si>
  <si>
    <t>ACTION_ANIMATE_SILVANA_CLOSING_BOOK_1, ACTION_ANIMATE_SILVANA_CLOSING_BOOK_2, ACTION_TALK_DIALOG_SILVANA_EXTRAPERLO</t>
  </si>
  <si>
    <t>SOUND_GERMAN_1_OP_1_1</t>
  </si>
  <si>
    <t>DIALOG_WAITER_1_INTRO</t>
  </si>
  <si>
    <t>ITEM_PLAYER_MAIN, ITEM_NPC_WAITER</t>
  </si>
  <si>
    <t>SOUND_GERMAN_1_OP_1_1_SPANISH</t>
  </si>
  <si>
    <t>DIALOG_WAITER_OPTION_INTRO_1</t>
  </si>
  <si>
    <t>SOUND_GERMAN_1_OP_1_2</t>
  </si>
  <si>
    <t>SOUND_GERMAN_1_OP_1_2_SPANISH</t>
  </si>
  <si>
    <t>DIALOG_WAITER_2_INTRO</t>
  </si>
  <si>
    <t>DIALOG_WAITER_OPTION_INTRO_2</t>
  </si>
  <si>
    <t>COND_OBSERVE_INVITATION_CORNER</t>
  </si>
  <si>
    <t>SOUND_GERMAN_SHOUTS_COCAI</t>
  </si>
  <si>
    <t>ACTION_DIALOG_OBSERVE_INVITATION_CORNER</t>
  </si>
  <si>
    <t>DIALOG_WAITER_USE_OLD_INVITATION</t>
  </si>
  <si>
    <t>DECISION_ID</t>
  </si>
  <si>
    <t>OPTIONS</t>
  </si>
  <si>
    <t>DIALOG_WAITER_OPTION_USE_OLD_INVITATION</t>
  </si>
  <si>
    <t>SOUND_WAITER_INTRO_1_0</t>
  </si>
  <si>
    <t>SOUND_WAITER_INTRO_1_0_SPANISH</t>
  </si>
  <si>
    <t>DIALOG_WAITER_USE_NEW_INVITATION</t>
  </si>
  <si>
    <t>DECISION_NONE</t>
  </si>
  <si>
    <t>DECISION_OPTION_NONE</t>
  </si>
  <si>
    <t>DIALOG_WAITER_OPTION_USE_NEW_INVITATION</t>
  </si>
  <si>
    <t>SOUND_WAITER_INTRO_1_1</t>
  </si>
  <si>
    <t>SOUND_WAITER_INTRO_1_1_SPANISH</t>
  </si>
  <si>
    <t>COND_TAKE_INVITATION_CORNER</t>
  </si>
  <si>
    <t>EVENT_EXTRAPERLO_SHOWN_OLD_INVITATION, (NOT)EVENT_EXTRAPERLO_INV_FOLDED_CORNERS</t>
  </si>
  <si>
    <t>DECISION_SLEEP_1</t>
  </si>
  <si>
    <t>SOUND_WAITER_INTRO_1_2</t>
  </si>
  <si>
    <t>DIALOG_UNKNOWN_GIRLS_1</t>
  </si>
  <si>
    <t>DECISION_OPTION_NOT_SLEEP, DECISION_OPTION_SLEEP_DAY, DECISION_OPTION_SLEEP_NIGHT</t>
  </si>
  <si>
    <t>ITEM_PLAYER_MAIN, ITEM_NPC_UNKNOWN_WOMEN</t>
  </si>
  <si>
    <t>SOUND_WAITER_INTRO_1_2_SPANISH</t>
  </si>
  <si>
    <t>DIALOG_UNKNOWN_GIRLS_OPTION_INTRO_1</t>
  </si>
  <si>
    <t>ACTION_LOSE_INVALID_EXTRAPERLO_INVITATION, ACTION_EARN_EXTRAPERLO_INVITATION_FOLDED, ACTION_EVENT_FOLDED_INVITATION, ACTION_DIALOG_MANIPULATE_INVITATION_CORNER</t>
  </si>
  <si>
    <t>SOUND_WAITER_INTRO_1_3</t>
  </si>
  <si>
    <t>DECISION_ID_LAST</t>
  </si>
  <si>
    <t>DECISION_OPTION_LAST</t>
  </si>
  <si>
    <t>SOUND_WAITER_INTRO_1_3_SPANISH</t>
  </si>
  <si>
    <t>DIALOG_ARTURO_EXTRAPERLO</t>
  </si>
  <si>
    <t>ITEM_PLAYER_MAIN, ITEM_NPC_ARTURO_EXTRAPERLO</t>
  </si>
  <si>
    <t>DIALOG_ARTURO_EXTRAPERLO_OPTION_0, DIALOG_ARTURO_EXTRAPERLO_OPTION_1, DIALOG_ARTURO_EXTRAPERLO_OPTION_2, DIALOG_FIK_1_OPTION_3</t>
  </si>
  <si>
    <t>DECISION_OPTION_ID</t>
  </si>
  <si>
    <t>Phrase</t>
  </si>
  <si>
    <t>SOUND_WAITER_INTRO_2_0</t>
  </si>
  <si>
    <t>ActionsTriggered</t>
  </si>
  <si>
    <t>DIALOG_ARTURO_EXTRAPERLO_INTRO</t>
  </si>
  <si>
    <t>PHRASE_NONE</t>
  </si>
  <si>
    <t>DIALOG_ARTURO_EXTRAPERLO_OPTION_INTRO</t>
  </si>
  <si>
    <t>SOUND_WAITER_USE_INVITATION_1</t>
  </si>
  <si>
    <t>COND_USE_NEW_INVITATION_W_WAITER</t>
  </si>
  <si>
    <t>SOUND_WAITER_USE_INVITATION_1_SPANISH</t>
  </si>
  <si>
    <t>ACTION_DIALOGUE_WAITER_USE_NEW_INVITATION, ACTION_EVENT_SHOWN_NEW_INVITATION, ACTION_LOSE_NEW_EXTRAPERLO_INVITATION</t>
  </si>
  <si>
    <t>DECISION_OPTION_NOT_SLEEP</t>
  </si>
  <si>
    <t>DIALOG_CLOWN_EXTRAPERLO</t>
  </si>
  <si>
    <t>SOUND_WAITER_USE_INVITATION_2</t>
  </si>
  <si>
    <t>PHRASE_DECISION_NOT_SLEEP</t>
  </si>
  <si>
    <t>ITEM_PLAYER_MAIN, ITEM_NPC_CLOWN</t>
  </si>
  <si>
    <t>DIALOG_CLOWN_EXTRAPERLO_OPTION_0, DIALOG_CLOWN_EXTRAPERLO_OPTION_1, DIALOG_CLOWN_EXTRAPERLO_OPTION_2, DIALOG_CLOWN_EXTRAPERLO_OPTION_3, DIALOG_FIK_1_OPTION_3</t>
  </si>
  <si>
    <t>SOUND_WAITER_USE_INVITATION_2_SPANISH</t>
  </si>
  <si>
    <t>DECISION_OPTION_SLEEP_DAY</t>
  </si>
  <si>
    <t>PHRASE_DECISION_SLEEP_DAY</t>
  </si>
  <si>
    <t>SOUND_WAITER_USE_INVITATION_3</t>
  </si>
  <si>
    <t>ACTION_DAY_MOMENT_DAY</t>
  </si>
  <si>
    <t>DIALOG_CLOWN_EXTRAPERLO_INTRO</t>
  </si>
  <si>
    <t>SOUND_WAITER_USE_INVITATION_3_SPANISH</t>
  </si>
  <si>
    <t>DIALOG_CLOWN_EXTRAPERLO_OPTION_INTRO</t>
  </si>
  <si>
    <t>DECISION_OPTION_SLEEP_NIGHT</t>
  </si>
  <si>
    <t>PHRASE_DECISION_SLEEP_NIGHT</t>
  </si>
  <si>
    <t>ACTION_DAY_MOMENT_NIGHT</t>
  </si>
  <si>
    <t>COND_TALK_WAITER_W_INVITATION</t>
  </si>
  <si>
    <t>SOUND_UNKNOWN_WOMEN_INTRO_1_0</t>
  </si>
  <si>
    <t>EVENT_EXTRAPERLO_SHOWN_NEW_INVITATION</t>
  </si>
  <si>
    <t>DIALOG_SILVANA_EXTRAPERLO</t>
  </si>
  <si>
    <t>SOUND_UNKNOWN_WOMEN_INTRO_1_0_SPANISH</t>
  </si>
  <si>
    <t>ITEM_PLAYER_MAIN, ITEM_NPC_SILVANA_EXTRAPERLO, ITEM_NPC_CLOWN</t>
  </si>
  <si>
    <t>DIALOG_SILVANA_EXTRAPERLO_OPTION_0, DIALOG_SILVANA_EXTRAPERLO_OPTION_1, DIALOG_SILVANA_EXTRAPERLO_OPTION_2</t>
  </si>
  <si>
    <t>ACTION_TALK_DIALOG_WAITER_W_INVITATION</t>
  </si>
  <si>
    <t>SOUND_UNKNOWN_WOMEN_INTRO_1_1</t>
  </si>
  <si>
    <t>SOUND_UNKNOWN_WOMEN_INTRO_1_1_SPANISH</t>
  </si>
  <si>
    <t>DIALOG_SILVANA_EXTRAPERLO_INTRO</t>
  </si>
  <si>
    <t>DIALOG_SILVANA_EXTRAPERLO_OPTION_INTRO</t>
  </si>
  <si>
    <t>SOUND_TAKE_UNKNOWN_WOMEN</t>
  </si>
  <si>
    <t>SOUND_TAKE_UNKNOWN_WOMEN_SPANISH</t>
  </si>
  <si>
    <t>DIALOG_WAITER_W_INVITATION</t>
  </si>
  <si>
    <t>COND_OBSERVE_ITEM_OBJECT_OLIVE_BOWL</t>
  </si>
  <si>
    <t>DIALOG_WAITER_W_INVITATION_OPTION_0, DIALOG_WAITER_W_INVITATION_OPTION_1, DIALOG_WAITER_OPTION_TERRACE, DIALOG_WAITER_W_INVITATION_OPTION_2</t>
  </si>
  <si>
    <t>SOUND_OBSERVE_EXTRAPERLO_ARTURO</t>
  </si>
  <si>
    <t>SOUND_OBSERVE_EXTRAPERLO_ARTURO_SPANISH</t>
  </si>
  <si>
    <t>ACTION_DIALOGUE_OBSERVE_ITEM_OBJECT_OLIVE_BOWL</t>
  </si>
  <si>
    <t>DIALOG_WAITER_W_INVITATION_INTRO</t>
  </si>
  <si>
    <t>SOUND_ARTURO_EXTRAPERLO_INTRO_1</t>
  </si>
  <si>
    <t>DIALOG_WAITER_W_INVITATION_OPTION_INTRO</t>
  </si>
  <si>
    <t>SOUND_ARTURO_EXTRAPERLO_INTRO_1_SPANISH</t>
  </si>
  <si>
    <t>SOUND_ARTURO_EXTRAPERLO_OP_0_0</t>
  </si>
  <si>
    <t>DIALOG_CLOWN_DRUNK</t>
  </si>
  <si>
    <t>DIALOG_CLOWN_DRUNK_OPTION_0</t>
  </si>
  <si>
    <t>SOUND_ARTURO_EXTRAPERLO_OP_0_0_SPANISH</t>
  </si>
  <si>
    <t>COND_TAKE_OLIVE_FROM_BOWL</t>
  </si>
  <si>
    <t>(NOT)EVENT_TOOK_OLIVE_FROM_BOWL</t>
  </si>
  <si>
    <t>SOUND_ARTURO_EXTRAPERLO_OP_0_1</t>
  </si>
  <si>
    <t>DIALOG_ARTURO_DRUNK_INTRO</t>
  </si>
  <si>
    <t>SOUND_ARTURO_EXTRAPERLO_OP_0_1_SPANISH</t>
  </si>
  <si>
    <t>ACTION_ANIMATE_MAINCHAR_TAKE_OLIVE, ACTION_EVENT_TOOK_OLIVE_FROM_BOWL, ACTION_OBTAIN_ITEM_PICKABLE_OLIVE</t>
  </si>
  <si>
    <t>SOUND_ARTURO_EXTRAPERLO_OP_0_2</t>
  </si>
  <si>
    <t>NAME_ID</t>
  </si>
  <si>
    <t>SOUND_ARTURO_EXTRAPERLO_OP_0_2_SPANISH</t>
  </si>
  <si>
    <t>Name_English</t>
  </si>
  <si>
    <t>Name_Spanish</t>
  </si>
  <si>
    <t>DIALOG_ARTURO_DRUNK</t>
  </si>
  <si>
    <t>DIALOG_ARTURO_DRUNK_OPTION_0, DIALOG_ARTURO_DRUNK_OPTION_1</t>
  </si>
  <si>
    <t>SOUND_ARTURO_EXTRAPERLO_OP_0_3</t>
  </si>
  <si>
    <t>SOUND_ARTURO_EXTRAPERLO_OP_0_3_SPANISH</t>
  </si>
  <si>
    <t>COND_TAKE_OLIVE_FROM_BOWL_ALREADY</t>
  </si>
  <si>
    <t>DIALOG_SILVANA_DRUNK</t>
  </si>
  <si>
    <t>ITEM_PLAYER_MAIN, ITEM_NPC_SILVANA_EXTRAPERLO</t>
  </si>
  <si>
    <t>SOUND_ARTURO_EXTRAPERLO_OP_1_0</t>
  </si>
  <si>
    <t>DIALOG_SILVANA_DRUNK_OPTION_0, DIALOG_SILVANA_DRUNK_OPTION_1</t>
  </si>
  <si>
    <t>SOUND_ARTURO_EXTRAPERLO_OP_1_0_SPANISH</t>
  </si>
  <si>
    <t>Constantino</t>
  </si>
  <si>
    <t>ACTION_DIALOGUE_DONT_WANT_MORE</t>
  </si>
  <si>
    <t>SOUND_ARTURO_EXTRAPERLO_OP_1_1</t>
  </si>
  <si>
    <t>NAME_INTERACTION_TALK</t>
  </si>
  <si>
    <t>DIALOG_SILVANA_OLIVE</t>
  </si>
  <si>
    <t>Talk</t>
  </si>
  <si>
    <t>SOUND_ARTURO_EXTRAPERLO_OP_1_1_SPANISH</t>
  </si>
  <si>
    <t>Hablar</t>
  </si>
  <si>
    <t>DIALOG_SILVANA_OLIVE_OPTION_0</t>
  </si>
  <si>
    <t>NAME_INTERACTION_OBSERVE</t>
  </si>
  <si>
    <t>Observe</t>
  </si>
  <si>
    <t>SOUND_ARTURO_EXTRAPERLO_OP_1_2</t>
  </si>
  <si>
    <t>Observar</t>
  </si>
  <si>
    <t>SOUND_ARTURO_EXTRAPERLO_OP_1_2_SPANISH</t>
  </si>
  <si>
    <t>DIALOG_MAINCHAR_PEE</t>
  </si>
  <si>
    <t>DIALOG_MAINCHAR_PEE_OPTION_0</t>
  </si>
  <si>
    <t>NAME_INTERACTION_TAKE</t>
  </si>
  <si>
    <t>COND_OBSERVE_ITEM_OBJECT_BEER_FULL</t>
  </si>
  <si>
    <t>Take</t>
  </si>
  <si>
    <t>Tomar</t>
  </si>
  <si>
    <t>SOUND_ARTURO_EXTRAPERLO_OP_1_3</t>
  </si>
  <si>
    <t>SOUND_ARTURO_EXTRAPERLO_OP_1_3_SPANISH</t>
  </si>
  <si>
    <t>ACTION_DIALOGUE_OBSERVE_ITEM_OBJECT_BEER_FULL</t>
  </si>
  <si>
    <t>DIALOG_SILVANA_OBSERVE_PEE</t>
  </si>
  <si>
    <t>Secretary desk</t>
  </si>
  <si>
    <t>Cajonera</t>
  </si>
  <si>
    <t>DIALOG_SILVANA_OBSERVED_PEE_OPTION_0</t>
  </si>
  <si>
    <t>SOUND_ARTURO_EXTRAPERLO_OP_1_4</t>
  </si>
  <si>
    <t>SOUND_ARTURO_EXTRAPERLO_OP_1_4_SPANISH</t>
  </si>
  <si>
    <t>DIALOG_SILVANA_GARDEN_1</t>
  </si>
  <si>
    <t>Remedios</t>
  </si>
  <si>
    <t>ITEM_PLAYER_MAIN, ITEM_NPC_SILVANA_EXTRAPERLO_GARD</t>
  </si>
  <si>
    <t>DIALOG_SILVANA_GARDEN_1_OPTION_0</t>
  </si>
  <si>
    <t>SOUND_ARTURO_EXTRAPERLO_OP_2_0</t>
  </si>
  <si>
    <t>SOUND_ARTURO_EXTRAPERLO_OP_2_0_SPANISH</t>
  </si>
  <si>
    <t>COND_TAKE_BEER_FIRST_ROUND</t>
  </si>
  <si>
    <t>Perfum</t>
  </si>
  <si>
    <t>EVENT_BEER_JAR_READY, (NOT)EVENT_BEER_FIRST_ROUND</t>
  </si>
  <si>
    <t>Perfume</t>
  </si>
  <si>
    <t>DIALOG_SILVANA_GARDEN_2</t>
  </si>
  <si>
    <t>ITEM_PLAYER_MAIN, ITEM_NPC_SILVANA_EXTRAPERLO_GARD_SEAT</t>
  </si>
  <si>
    <t>DIALOG_SILVANA_GARDEN_2_OPTION_0, DIALOG_SILVANA_GARDEN_2_OPTION_1, DIALOG_SILVANA_GARDEN_2_OPTION_2, DIALOG_SILVANA_GARDEN_2_OPTION_3, DIALOG_SILVANA_GARDEN_2_OPTION_4</t>
  </si>
  <si>
    <t>SOUND_ARTURO_EXTRAPERLO_OP_2_1</t>
  </si>
  <si>
    <t>ACTION_DESPAWN_ITEM_OBJECT_BEER_FULL, ACTION_EVENT_REMOVE_BEER_PLACED, ACTION_ANIMATE_MAINCHAR_DRINK_BEER, ACTION_EVENT_DRINK_FIRST_BEER_ROUND, ACTION_EVENT_DRUNK_STATE</t>
  </si>
  <si>
    <t>Card set</t>
  </si>
  <si>
    <t>Baraja naipes</t>
  </si>
  <si>
    <t>SOUND_ARTURO_EXTRAPERLO_OP_2_1_SPANISH</t>
  </si>
  <si>
    <t>DIALOG_SILVANA_GARDEN_2_INTRO</t>
  </si>
  <si>
    <t>SOUND_ARTURO_EXTRAPERLO_OP_2_2</t>
  </si>
  <si>
    <t>NAME_ITEM_MATCHES</t>
  </si>
  <si>
    <t>Matches</t>
  </si>
  <si>
    <t>SOUND_ARTURO_EXTRAPERLO_OP_2_2_SPANISH</t>
  </si>
  <si>
    <t>Cerillas</t>
  </si>
  <si>
    <t>DIALOG_SILVANA_GARDEN_2_OPTION_INTRO</t>
  </si>
  <si>
    <t>NAME_ITEM_DOPP</t>
  </si>
  <si>
    <t>Dopp kit</t>
  </si>
  <si>
    <t>SOUND_ARTURO_EXTRAPERLO_OP_2_3</t>
  </si>
  <si>
    <t>Bolsa de aseo</t>
  </si>
  <si>
    <t>COND_TAKE_BEER_SECOND_ROUND</t>
  </si>
  <si>
    <t>SOUND_ARTURO_EXTRAPERLO_OP_2_3_SPANISH</t>
  </si>
  <si>
    <t>EVENT_BEER_JAR_READY, (NOT)EVENT_BEER_SECOND_ROUND</t>
  </si>
  <si>
    <t>DIALOG_PAMFRY_1</t>
  </si>
  <si>
    <t>ITEM_PAMFRY, ITEM_FIK_EXTRAPERLO_GARDEN</t>
  </si>
  <si>
    <t>SOUND_ARTURO_EXTRAPERLO_OP_2_4</t>
  </si>
  <si>
    <t>DIALOG_PAMFRY_1_OPTION_0</t>
  </si>
  <si>
    <t>Wardrobe</t>
  </si>
  <si>
    <t>SOUND_ARTURO_EXTRAPERLO_OP_2_4_SPANISH</t>
  </si>
  <si>
    <t>Armario</t>
  </si>
  <si>
    <t>ACTION_DIALOGUE_SIMPLE_SECOND_BEER_COMMENT, ACTION_DESPAWN_ITEM_OBJECT_BEER_FULL, ACTION_EVENT_REMOVE_BEER_PLACED, ACTION_ANIMATE_MAINCHAR_DRINK_BEER, ACTION_EVENT_DRINK_SECOND_BEER_ROUND</t>
  </si>
  <si>
    <t>SOUND_ARTURO_EXTRAPERLO_OP_2_5</t>
  </si>
  <si>
    <t>SOUND_ARTURO_EXTRAPERLO_OP_2_5_SPANISH</t>
  </si>
  <si>
    <t>Cross</t>
  </si>
  <si>
    <t>DIALOG_FIK_SHOOTING</t>
  </si>
  <si>
    <t>Cruzar</t>
  </si>
  <si>
    <t>SOUND_ARTURO_EXTRAPERLO_OP_2_6</t>
  </si>
  <si>
    <t>DIALOG_FIK_SHOOTING_OPTION_0</t>
  </si>
  <si>
    <t>SOUND_ARTURO_EXTRAPERLO_OP_2_6_SPANISH</t>
  </si>
  <si>
    <t>NAME_MEMENTO_FIND_JOB_1</t>
  </si>
  <si>
    <t>Find job</t>
  </si>
  <si>
    <t>Encontrar trabajo</t>
  </si>
  <si>
    <t>SOUND_ARTURO_EXTRAPERLO_OP_2_7</t>
  </si>
  <si>
    <t>DIALOG_GERMAN_SHOUTING_GARDEN</t>
  </si>
  <si>
    <t>SOUND_ARTURO_EXTRAPERLO_OP_2_7_SPANISH</t>
  </si>
  <si>
    <t>COND_TAKE_BEER_THIRD_ROUND</t>
  </si>
  <si>
    <t>DIALOG_GERMAN_SHOUTING_GARDEN_OPTION_0</t>
  </si>
  <si>
    <t>EVENT_BEER_JAR_READY, (NOT)EVENT_BEER_THIRD_ROUND</t>
  </si>
  <si>
    <t>Ad board</t>
  </si>
  <si>
    <t>Tablón de anuncios</t>
  </si>
  <si>
    <t>SOUND_CARD_PLACE_1</t>
  </si>
  <si>
    <t>ACTION_DESPAWN_ITEM_OBJECT_BEER_FULL, ACTION_EVENT_REMOVE_BEER_PLACED, ACTION_ANIMATE_MAINCHAR_DRINK_BEER, ACTION_EVENT_DRINK_THIRD_BEER_ROUND, ACTION_DIALOGUE_SIMPLE_AFTER_THIRD_BEER_COMMENT</t>
  </si>
  <si>
    <t>DIALOG_SILVANA_ASKING_BILL</t>
  </si>
  <si>
    <t>Basin</t>
  </si>
  <si>
    <t>DIALOG_SILVANA_ASKING_BILL_OPTION_0</t>
  </si>
  <si>
    <t>Lavabo</t>
  </si>
  <si>
    <t>SOUND_CARD_PLACE_2</t>
  </si>
  <si>
    <t>DIALOG_MAINCHAR_RECAP_EXTRAPERLO</t>
  </si>
  <si>
    <t>Soap</t>
  </si>
  <si>
    <t>DIALOG_MAINCHAR_RECAP_EXTRAPERLO_OPTION_0</t>
  </si>
  <si>
    <t>Jabón</t>
  </si>
  <si>
    <t>SOUND_CARD_PLACE_3</t>
  </si>
  <si>
    <t>COND_TALK_CLOWN_DRUNK</t>
  </si>
  <si>
    <t>EVENT_DRUNK_STATE, EVENT_BEER_THIRD_ROUND</t>
  </si>
  <si>
    <t>Bed</t>
  </si>
  <si>
    <t>DIALOG_SULTAN_1</t>
  </si>
  <si>
    <t>SOUND_CARD_TAKEBACK</t>
  </si>
  <si>
    <t>ITEM_MAINCHAR_DREAM, ITEM_NPC_SULTAN</t>
  </si>
  <si>
    <t>Cama</t>
  </si>
  <si>
    <t>ACTION_DIALOGUE_CLOWN_DRUNK</t>
  </si>
  <si>
    <t>DIALOG_SULTAN_OPTION_0</t>
  </si>
  <si>
    <t>SOUND_CARDS1_MAINCHAR_TAUNT1</t>
  </si>
  <si>
    <t>South neighborhood</t>
  </si>
  <si>
    <t>DIALOG_PILAR_DREAM_1</t>
  </si>
  <si>
    <t>SOUND_CARDS1_MAINCHAR_TAUNT_1_SPANISH</t>
  </si>
  <si>
    <t>Barrio sur</t>
  </si>
  <si>
    <t>ITEM_MAINCHAR_DREAM, ITEM_NPC_PILAR_DREAM_1</t>
  </si>
  <si>
    <t>DIALOG_PILAR_DREAM_1_OPTION_0</t>
  </si>
  <si>
    <t>SOUND_CARDS1_MAINCHAR_TAUNT2</t>
  </si>
  <si>
    <t>City center</t>
  </si>
  <si>
    <t>SOUND_CARDS1_MAINCHAR_TAUNT_2_SPANISH</t>
  </si>
  <si>
    <t>Centro de la ciudad</t>
  </si>
  <si>
    <t>COND_TALK_ARTURO_DRUNK</t>
  </si>
  <si>
    <t>DIALOG_PILAR_BED_DREAM_1</t>
  </si>
  <si>
    <t>DIALOG_PILAR_BED_DREAM_1_OPTION_0</t>
  </si>
  <si>
    <t>SOUND_CARDS1_MAINCHAR_TAUNT3</t>
  </si>
  <si>
    <t>ACTION_DIALOGUE_ARTURO_DRUNK</t>
  </si>
  <si>
    <t>SOUND_CARDS1_MAINCHAR_TAUNT_3_SPANISH</t>
  </si>
  <si>
    <t>City periphery</t>
  </si>
  <si>
    <t>Barrio periferia</t>
  </si>
  <si>
    <t>DIALOG_ALTER_EGO_DREAM_1_OPTION_0</t>
  </si>
  <si>
    <t>SOUND_CARDS1_MAINCHAR_TAUNT4</t>
  </si>
  <si>
    <t>SOUND_CARDS1_MAINCHAR_TAUNT_4_SPANISH</t>
  </si>
  <si>
    <t>Pharmacy</t>
  </si>
  <si>
    <t>Botica</t>
  </si>
  <si>
    <t>DIALOG_LAST</t>
  </si>
  <si>
    <t>SOUND_CARDS1_MAINCHAR_TAUNT5</t>
  </si>
  <si>
    <t>SOUND_CARDS1_MAINCHAR_TAUNT_5_SPANISH</t>
  </si>
  <si>
    <t>Client queue</t>
  </si>
  <si>
    <t>Cola de clientes</t>
  </si>
  <si>
    <t>DIALOG_OPTION_ID</t>
  </si>
  <si>
    <t>SOUND_CARDS1_TAUNT_ARTURO_1</t>
  </si>
  <si>
    <t>NeededMomentOfDay</t>
  </si>
  <si>
    <t>SOUND_CARDS1_TAUNT_ARTURO_1_SPANISH</t>
  </si>
  <si>
    <t>Pharmacist</t>
  </si>
  <si>
    <t>DialogTriggered</t>
  </si>
  <si>
    <t>Boticario</t>
  </si>
  <si>
    <t>IsRandomized</t>
  </si>
  <si>
    <t>ACTION_DIALOGUE_OBSERVE_ITEM_PICKABLE_OLIVE</t>
  </si>
  <si>
    <t>Phrases</t>
  </si>
  <si>
    <t>SOUND_CARDS1_TAUNT_ARTURO_2</t>
  </si>
  <si>
    <t>SOUND_CARDS1_TAUNT_ARTURO_2_SPANISH</t>
  </si>
  <si>
    <t>Umbrella</t>
  </si>
  <si>
    <t>Paraguas</t>
  </si>
  <si>
    <t>SOUND_CARDS1_TAUNT_ARTURO_3</t>
  </si>
  <si>
    <t>SOUND_CARDS1_TAUNT_ARTURO_3_SPANISH</t>
  </si>
  <si>
    <t>Restaurant El Maño</t>
  </si>
  <si>
    <t>Restaurante El Maño</t>
  </si>
  <si>
    <t>SOUND_CARDS1_TAUNT_ARTURO_4</t>
  </si>
  <si>
    <t>SOUND_CARDS1_TAUNT_ARTURO_4_SPANISH</t>
  </si>
  <si>
    <t>COND_TALK_SILVANA_DRUNK</t>
  </si>
  <si>
    <t>EVENT_DRUNK_STATE, (NOT)EVENT_OLIVE_OFFERED</t>
  </si>
  <si>
    <t>Owner</t>
  </si>
  <si>
    <t>Propietario</t>
  </si>
  <si>
    <t>SOUND_CARDS1_TAUNT_ARTURO_5</t>
  </si>
  <si>
    <t>ACTION_ANIMATE_SILVANA_CLOSING_BOOK_1, ACTION_ANIMATE_SILVANA_CLOSING_BOOK_2, ACTION_TALK_DIALOG_SILVANA_DRUNK</t>
  </si>
  <si>
    <t>SOUND_CARDS1_TAUNT_ARTURO_5_SPANISH</t>
  </si>
  <si>
    <t>Stuffed deer</t>
  </si>
  <si>
    <t>SOUND_CARDS1_TAUNT_ARTURO_6</t>
  </si>
  <si>
    <t>Ciervo disecado</t>
  </si>
  <si>
    <t>SOUND_CARDS1_TAUNT_ARTURO_6_SPANISH</t>
  </si>
  <si>
    <t>NAME_MEMENTO_RECIPE_MISSION</t>
  </si>
  <si>
    <t>New recipe for El Maño</t>
  </si>
  <si>
    <t>Nueva receta para El Maño</t>
  </si>
  <si>
    <t>MUSIC_CARDS</t>
  </si>
  <si>
    <t>COND_TALK_SILVANA_OLIVE</t>
  </si>
  <si>
    <t>Crowd</t>
  </si>
  <si>
    <t>Gentío</t>
  </si>
  <si>
    <t>SOUND_CARDS1_MAINCHAR_WIN</t>
  </si>
  <si>
    <t>ACTION_ANIMATE_SILVANA_CLOSING_BOOK_1, ACTION_ANIMATE_SILVANA_CLOSING_BOOK_2, ACTION_TALK_DIALOG_SILVANA_OLIVE</t>
  </si>
  <si>
    <t>SOUND_CARDS1_MAINCHAR_TAUNT_WIN_SPANISH</t>
  </si>
  <si>
    <t>Poor man in WC</t>
  </si>
  <si>
    <t>Pobre hombre en letrina</t>
  </si>
  <si>
    <t>PHRASE_DIALOG_REME_INTRO_1, PHRASE_DIALOG_REME_INTRO_2, PHRASE_DIALOG_REME_INTRO_3</t>
  </si>
  <si>
    <t>SOUND_CARDS1_TAUNT_ARTURO_WIN</t>
  </si>
  <si>
    <t>NAME_MEMENTO_PARENT_POOR_MAN_WC</t>
  </si>
  <si>
    <t>SOUND_CARDS1_TAUNT_ARTURO_WIN_SPANISH</t>
  </si>
  <si>
    <t>Un pobre hombre en la letrina</t>
  </si>
  <si>
    <t>SOUND_PHRASE_DIALOG_CLOWN_EXTRAPERLO_OPTION_1_0</t>
  </si>
  <si>
    <t>Cockroach</t>
  </si>
  <si>
    <t>SOUND_CLOWN_OP0_0_SPANISH</t>
  </si>
  <si>
    <t>Cucaracha</t>
  </si>
  <si>
    <t>DIALOG_OPTION_REME_1</t>
  </si>
  <si>
    <t>COND_OBSERVE_ITEM_INNOCENT_PLANT</t>
  </si>
  <si>
    <t>SOUND_PHRASE_DIALOG_CLOWN_EXTRAPERLO_OPTION_1_1</t>
  </si>
  <si>
    <t>Pipe</t>
  </si>
  <si>
    <t>ACTION_DIALOGUE_OBSERVE_ITEM_INNOCENT_PLANT</t>
  </si>
  <si>
    <t>PHRASE_DIALOG_REME_1_1, PHRASE_DIALOG_REME_1_2, PHRASE_DIALOG_REME_1_3</t>
  </si>
  <si>
    <t>Tubería</t>
  </si>
  <si>
    <t>SOUND_CLOWN_OP0_1_SPANISH</t>
  </si>
  <si>
    <t>Valve box</t>
  </si>
  <si>
    <t>Caja de válvula</t>
  </si>
  <si>
    <t>SOUND_PHRASE_DIALOG_CLOWN_EXTRAPERLO_OPTION_1_2</t>
  </si>
  <si>
    <t>SOUND_CLOWN_OP0_2_SPANISH</t>
  </si>
  <si>
    <t>Shoelace</t>
  </si>
  <si>
    <t>Cordón de bota</t>
  </si>
  <si>
    <t>DIALOG_OPTION_REME_2</t>
  </si>
  <si>
    <t>SOUND_PHRASE_DIALOG_CLOWN_EXTRAPERLO_OPTION_1_3</t>
  </si>
  <si>
    <t>SOUND_CLOWN_OP0_3_SPANISH</t>
  </si>
  <si>
    <t>Valve</t>
  </si>
  <si>
    <t>Válvula</t>
  </si>
  <si>
    <t>PHRASE_DIALOG_REME_2_1</t>
  </si>
  <si>
    <t>SOUND_PHRASE_DIALOG_CLOWN_EXTRAPERLO_OPTION_1_4</t>
  </si>
  <si>
    <t>SOUND_CLOWN_OP0_4_SPANISH</t>
  </si>
  <si>
    <t>ACTION_DIALOGUE_OBSERVE_BLADDER</t>
  </si>
  <si>
    <t>Arturo Minglanilla</t>
  </si>
  <si>
    <t>SOUND_PHRASE_DIALOG_CLOWN_EXTRAPERLO_OPTION_2_0</t>
  </si>
  <si>
    <t>SOUND_CLOWN_OP1_0_SPANISH</t>
  </si>
  <si>
    <t>DIALOG_OPTION_REME_3</t>
  </si>
  <si>
    <t>Invitation</t>
  </si>
  <si>
    <t>Invitación</t>
  </si>
  <si>
    <t>SOUND_PHRASE_DIALOG_CLOWN_EXTRAPERLO_OPTION_2_1</t>
  </si>
  <si>
    <t>ACTION_ANIMATE_REME_TEST, ACTION_DIALOGUE_OBSERVE_SHOEALCE</t>
  </si>
  <si>
    <t>SOUND_CLOWN_OP1_1_SPANISH</t>
  </si>
  <si>
    <t>PHRASE_DIALOG_REME_3_TEST</t>
  </si>
  <si>
    <t>Annotation</t>
  </si>
  <si>
    <t>SOUND_PHRASE_DIALOG_CLOWN_EXTRAPERLO_OPTION_3_0</t>
  </si>
  <si>
    <t>Anotación</t>
  </si>
  <si>
    <t>SOUND_CLOWN_OP2_0_SPANISH</t>
  </si>
  <si>
    <t>COND_USE_BLADDER_WITH_PLANT</t>
  </si>
  <si>
    <t>Inkwell</t>
  </si>
  <si>
    <t>SOUND_PHRASE_DIALOG_CLOWN_EXTRAPERLO_OPTION_3_2</t>
  </si>
  <si>
    <t>Bote de tinta</t>
  </si>
  <si>
    <t>SOUND_CLOWN_OP2_1_SPANISH</t>
  </si>
  <si>
    <t>ACTION_LOSE_FULL_BLADDER, ACTION_ZOOM_PEE_ZONE, ACTION_EVENT_USED_ORINE_FLOWER, ACTION_DIALOGUE_ABOUT_PEE_PLANT</t>
  </si>
  <si>
    <t>SOUND_PHRASE_DIALOG_CLOWN_EXTRAPERLO_OPTION_3_4</t>
  </si>
  <si>
    <t>Tinta</t>
  </si>
  <si>
    <t>SOUND_CLOWN_OP2_2_SPANISH</t>
  </si>
  <si>
    <t>SOUND_PHRASE_DIALOG_CLOWN_EXTRAPERLO_OPTION_3_5</t>
  </si>
  <si>
    <t>Fik</t>
  </si>
  <si>
    <t>SOUND_CLOWN_OP2_3_SPANISH</t>
  </si>
  <si>
    <t>PHRASE_USE_CARDS_REME_1, PHRASE_USE_CARDS_REME_2</t>
  </si>
  <si>
    <t>SOUND_PHRASE_DIALOG_CLOWN_EXTRAPERLO_OPTION_3_6</t>
  </si>
  <si>
    <t>Water flowing</t>
  </si>
  <si>
    <t>SOUND_CLOWN_OP2_4_SPANISH</t>
  </si>
  <si>
    <t>Agua cayendo</t>
  </si>
  <si>
    <t>SOUND_PHRASE_DIALOG_CLOWN_EXTRAPERLO_OPTION_3_7</t>
  </si>
  <si>
    <t>COND_TALK_ITEM_NPC_SILVANA_EXTRAPERLO_GARD_SEAT</t>
  </si>
  <si>
    <t>SOUND_CLOWN_OP2_5_SPANISH</t>
  </si>
  <si>
    <t>Neighbor</t>
  </si>
  <si>
    <t>Vecino</t>
  </si>
  <si>
    <t>SOUND_PHRASE_DIALOG_CLOWN_EXTRAPERLO_OPTION_3_8</t>
  </si>
  <si>
    <t>ACTION_TALK_DIALOG_SILVANA_GARDEN_2</t>
  </si>
  <si>
    <t>PHRASE_TRY_TALK_PHARMACIST_BUSY</t>
  </si>
  <si>
    <t>SOUND_CLOWN_OP2_6_SPANISH</t>
  </si>
  <si>
    <t>Waiter</t>
  </si>
  <si>
    <t>Camarero</t>
  </si>
  <si>
    <t>SOUND_PHRASE_DIALOG_CLOWN_EXTRAPERLO_OPTION_3_9</t>
  </si>
  <si>
    <t>SOUND_CLOWN_OP2_7_SPANISH</t>
  </si>
  <si>
    <t>Unknown women</t>
  </si>
  <si>
    <t>Señoras desconocidas</t>
  </si>
  <si>
    <t>SOUND_PHRASE_DIALOG_CLOWN_EXTRAPERLO_OPTION_4_0</t>
  </si>
  <si>
    <t>Clown</t>
  </si>
  <si>
    <t>SOUND_CLOWN_OP3_0_SPANISH</t>
  </si>
  <si>
    <t>Payaso</t>
  </si>
  <si>
    <t>COND_USE_BED_PENDING_DREAM_1</t>
  </si>
  <si>
    <t>EVENT_PENDING_DREAM_1</t>
  </si>
  <si>
    <t>PHRASE_PHARMACIST_BUSY_1, PHRASE_PHARMACIST_BUSY_2</t>
  </si>
  <si>
    <t>SOUND_PHRASE_DIALOG_CLOWN_EXTRAPERLO_OPTION_4_1</t>
  </si>
  <si>
    <t>ACTION_SET_GAME_ANIMATION_MODE, ACTION_ANIMATE_MAINCHAR_SIT_BED, ACTION_ZOOM_LAMP_BED, ACTION_SCENE_CHAPTER_SHOW_1</t>
  </si>
  <si>
    <t>SOUND_CLOWN_OP3_1_SPANISH</t>
  </si>
  <si>
    <t>Silvana</t>
  </si>
  <si>
    <t>SOUND_PHRASE_DIALOG_CLOWN_EXTRAPERLO_OPTION_4_2</t>
  </si>
  <si>
    <t>SOUND_CLOWN_OP3_2_SPANISH</t>
  </si>
  <si>
    <t>Corner</t>
  </si>
  <si>
    <t>Esquina</t>
  </si>
  <si>
    <t>PHRASE_DIALOG_MANYO_INTRO_1, PHRASE_DIALOG_MANYO_INTRO_2</t>
  </si>
  <si>
    <t>SOUND_PHRASE_DIALOG_CLOWN_EXTRAPERLO_OPTION_4_3</t>
  </si>
  <si>
    <t>SOUND_CLOWN_OP3_3_SPANISH</t>
  </si>
  <si>
    <t>COND_OBSERVE_ITEM_DREAM_RADIO</t>
  </si>
  <si>
    <t>Olives</t>
  </si>
  <si>
    <t>Olivas</t>
  </si>
  <si>
    <t>SOUND_PHRASE_DIALOG_CLOWN_EXTRAPERLO_INTRO</t>
  </si>
  <si>
    <t>ACTION_DIALOGUE_OBSERVE_ITEM_DREAM_RADIO</t>
  </si>
  <si>
    <t>SOUND_CLOWN_INTRO_SPANISH</t>
  </si>
  <si>
    <t>DIALOG_OPTION_MANYO_WORK_NOTE</t>
  </si>
  <si>
    <t>ACTION_EVENT_MANYO_REFUSED_WORK</t>
  </si>
  <si>
    <t>Beer</t>
  </si>
  <si>
    <t>Cerveza</t>
  </si>
  <si>
    <t>SOUND_PHRASE_DIALOG_SILVANA_EXTRAPERLO_OPTION_0_0</t>
  </si>
  <si>
    <t>PHRASE_DIALOG_MANYO_WORK_NOTE_1, PHRASE_DIALOG_MANYO_WORK_NOTE_2, PHRASE_DIALOG_MANYO_WORK_NOTE_3, PHRASE_DIALOG_MANYO_WORK_NOTE_4</t>
  </si>
  <si>
    <t>SOUND_SILVANA_OP_0_0_SPANISH</t>
  </si>
  <si>
    <t>Oliva</t>
  </si>
  <si>
    <t>SOUND_PHRASE_DIALOG_SILVANA_EXTRAPERLO_OPTION_0_1</t>
  </si>
  <si>
    <t>SOUND_SILVANA_OP_0_1_SPANISH</t>
  </si>
  <si>
    <t>DIALOG_OPTION_MANYO_WORKS_CITY</t>
  </si>
  <si>
    <t>COND_TAKE_DREAM_RADIO_ON</t>
  </si>
  <si>
    <t>EVENT_MANYO_REFUSED_WORK</t>
  </si>
  <si>
    <t>(NOT)EVENT_EPHIMERAL_ON</t>
  </si>
  <si>
    <t>A plant whcih did nothing wrong</t>
  </si>
  <si>
    <t>SOUND_PHRASE_DIALOG_SILVANA_EXTRAPERLO_OPTION_0_2</t>
  </si>
  <si>
    <t>Una planta que no ha hecho nada malo</t>
  </si>
  <si>
    <t>SOUND_SILVANA_OP_0_2_SPANISH</t>
  </si>
  <si>
    <t>PHRASE_DIALOG_MANYO_WORKS_CITY_1, PHRASE_DIALOG_MANYO_WORKS_CITY_2</t>
  </si>
  <si>
    <t>ACTION_EVENT_EPHIMERAL_ON, ACTION_SOUND_RADIO_DREAM_1</t>
  </si>
  <si>
    <t>SOUND_PHRASE_DIALOG_SILVANA_EXTRAPERLO_OPTION_0_3</t>
  </si>
  <si>
    <t>Full bladder</t>
  </si>
  <si>
    <t>Vegiga llena</t>
  </si>
  <si>
    <t>SOUND_SILVANA_OP_0_3_SPANISH</t>
  </si>
  <si>
    <t>DIALOG_OPTION_MANYO_MENU_DAY</t>
  </si>
  <si>
    <t>SOUND_PHRASE_DIALOG_SILVANA_EXTRAPERLO_OPTION_1_0</t>
  </si>
  <si>
    <t>Client</t>
  </si>
  <si>
    <t>SOUND_SILVANA_OP_1_0_SPANISH</t>
  </si>
  <si>
    <t>Cliente</t>
  </si>
  <si>
    <t>COND_TAKE_DREAM_RADIO_OFF</t>
  </si>
  <si>
    <t>PHRASE_DIALOG_MANYO_MENU_DAY_1, PHRASE_DIALOG_MANYO_MENU_DAY_2, PHRASE_DIALOG_MANYO_MENU_DAY_3, PHRASE_DIALOG_MANYO_MENU_DAY_4, PHRASE_DIALOG_MANYO_MENU_DAY_5, PHRASE_DIALOG_MANYO_MENU_DAY_6</t>
  </si>
  <si>
    <t>EVENT_EPHIMERAL_ON</t>
  </si>
  <si>
    <t>SOUND_PHRASE_DIALOG_SILVANA_EXTRAPERLO_OPTION_1_1</t>
  </si>
  <si>
    <t>Radio</t>
  </si>
  <si>
    <t>SOUND_SILVANA_OP_1_1_SPANISH</t>
  </si>
  <si>
    <t>ACTION_EVENT_EPHIMERAL_OFF, ACTION_SOUND_STOP_RADIO_DREAM_1</t>
  </si>
  <si>
    <t>SOUND_PHRASE_DIALOG_SILVANA_EXTRAPERLO_INTRO_0</t>
  </si>
  <si>
    <t>NAME_DENIAL</t>
  </si>
  <si>
    <t>Home</t>
  </si>
  <si>
    <t>SOUND_SILVANA_INTRO1_SPANISH</t>
  </si>
  <si>
    <t>Hogar</t>
  </si>
  <si>
    <t>DIALOG_OPTION_MANYO_CROWD</t>
  </si>
  <si>
    <t>SOUND_PHRASE_DIALOG_SILVANA_EXTRAPERLO_INTRO_1</t>
  </si>
  <si>
    <t>ACTION_EVENT_MANYO_LOOK_FOR_RECIPE_MISSION, ACTION_MEMENTO_RECEIPT_MISSION</t>
  </si>
  <si>
    <t>SOUND_SILVANA_INTRO2_SPANISH</t>
  </si>
  <si>
    <t>Portrait</t>
  </si>
  <si>
    <t>Retrato</t>
  </si>
  <si>
    <t>PHRASE_DIALOG_MANYO_CROWD_1, PHRASE_DIALOG_MANYO_CROWD_2, PHRASE_DIALOG_MANYO_CROWD_3, PHRASE_DIALOG_MANYO_CROWD_4, PHRASE_DIALOG_MANYO_CROWD_5</t>
  </si>
  <si>
    <t>SOUND_CLOWN_LAUGHING</t>
  </si>
  <si>
    <t>Clock</t>
  </si>
  <si>
    <t>Reloj</t>
  </si>
  <si>
    <t>SOUND_OBSERVE_INVITATION_CORNER</t>
  </si>
  <si>
    <t>DIALOG_OPTION_MANYO_BYE</t>
  </si>
  <si>
    <t>ACTION_DIALOGUE_OBSERVE_ITEM_CLASSROOM_PORTRAIT</t>
  </si>
  <si>
    <t>SOUND_OBSERVE_INVITATION_CORNER_SPANISH</t>
  </si>
  <si>
    <t>Sultan</t>
  </si>
  <si>
    <t>PHRASE_DIALOG_MANYO_BYE_1</t>
  </si>
  <si>
    <t>SOUND_MANIPULATE_INVITATION_CORNER</t>
  </si>
  <si>
    <t>SOUND_MANIPULATE_INVITATION_CORNER_SPANISH</t>
  </si>
  <si>
    <t>Pilar</t>
  </si>
  <si>
    <t>SOUND_WAITER_USE_NEW_INVITATION_1</t>
  </si>
  <si>
    <t>SOUND_WAITER_USE_NEW_INVITATION_1_SPANISH</t>
  </si>
  <si>
    <t>???</t>
  </si>
  <si>
    <t>SOUND_WAITER_USE_NEW_INVITATION_2</t>
  </si>
  <si>
    <t>PHRASE_DIALOG_MANYO_UMBRELLA_NOT_1</t>
  </si>
  <si>
    <t>SOUND_WAITER_USE_NEW_INVITATION_2_SPANISH</t>
  </si>
  <si>
    <t>ACTION_DIALOGUE_OBSERVE_ITEM_DREAM_CLOCK</t>
  </si>
  <si>
    <t>Fig</t>
  </si>
  <si>
    <t>Higo</t>
  </si>
  <si>
    <t>SOUND_PHRASE_DIALOG_WAITER_W_INVITATION_OPTION_0_0</t>
  </si>
  <si>
    <t>SOUND_WAITER_1_OP_0_0_SPANISH</t>
  </si>
  <si>
    <t>Actual position</t>
  </si>
  <si>
    <t>Posición actual</t>
  </si>
  <si>
    <t>SOUND_PHRASE_DIALOG_WAITER_W_INVITATION_OPTION_0_1</t>
  </si>
  <si>
    <t>SOUND_WAITER_1_OP_0_1_SPANISH</t>
  </si>
  <si>
    <t>PHRASE_DIALOG_MANYO_BCKG_CROWD_1, PHRASE_DIALOG_MANYO_BCKG_CROWD_2, PHRASE_DIALOG_MANYO_BCKG_CROWD_3</t>
  </si>
  <si>
    <t>COND_OBSERVE_ITEM_NPC_SULTAN</t>
  </si>
  <si>
    <t>Last</t>
  </si>
  <si>
    <t>Ultimo</t>
  </si>
  <si>
    <t>SOUND_PHRASE_DIALOG_WAITER_W_INVITATION_OPTION_1_0</t>
  </si>
  <si>
    <t>SOUND_WAITER_1_OP_1_0_SPANISH</t>
  </si>
  <si>
    <t>ACTION_DIALOGUE_OBSERVE_ITEM_NPC_SULTAN</t>
  </si>
  <si>
    <t>SOUND_PHRASE_DIALOG_WAITER_W_INVITATION_OPTION_1_1</t>
  </si>
  <si>
    <t>SOUND_WAITER_1_OP_1_1_SPANISH</t>
  </si>
  <si>
    <t>PHRASE_DIALOG_HIVE1_BCKG_POOR_MAN_WC_OPTION_0_0, PHRASE_DIALOG_HIVE1_BCKG_POOR_MAN_WC_OPTION_1_0, PHRASE_DIALOG_HIVE1_BCKG_POOR_MAN_WC_OPTION_2_0, PHRASE_DIALOG_HIVE1_BCKG_POOR_MAN_WC_OPTION_3_0</t>
  </si>
  <si>
    <t>SOUND_PHRASE_DIALOG_WAITER_W_INVITATION_OPTION_2_0</t>
  </si>
  <si>
    <t>SOUND_WAITER_1_OP_2_0_SPANISH</t>
  </si>
  <si>
    <t>COND_OBSERVE_ITEM_NPC_PILAR_DREAM_1</t>
  </si>
  <si>
    <t>DIALOG_HIVE1_POOR_MAN_WC_OPTION_0</t>
  </si>
  <si>
    <t>ACTION_DIALOGUE_OBSERVE_ITEM_NPC_PILAR_DREAM_1</t>
  </si>
  <si>
    <t>SOUND_PHRASE_DIALOG_WAITER_W_INVITATION_INTRO_0</t>
  </si>
  <si>
    <t>SOUND_WAITER_INTRO_2_0_SPANISH</t>
  </si>
  <si>
    <t>PHRASE_DIALOG_HIVE1_POOR_MAN_WC_OPTION_0_0, PHRASE_DIALOG_HIVE1_POOR_MAN_WC_OPTION_0_1, PHRASE_DIALOG_HIVE1_POOR_MAN_WC_OPTION_0_2, PHRASE_DIALOG_HIVE1_POOR_MAN_WC_OPTION_0_3</t>
  </si>
  <si>
    <t>SOUND_PHRASE_DIALOG_WAITER_W_INVITATION_INTRO_1</t>
  </si>
  <si>
    <t>SOUND_WAITER_INTRO_2_1_SPANISH</t>
  </si>
  <si>
    <t>DIALOG_HIVE1_POOR_MAN_WC_OPTION_1</t>
  </si>
  <si>
    <t>SOUND_DISH_PLACED</t>
  </si>
  <si>
    <t>COND_TALK_SULTAN_DREAM_1</t>
  </si>
  <si>
    <t>(NOT)EVENT_SULTAN_ATE_FOOD</t>
  </si>
  <si>
    <t>PHRASE_DIALOG_HIVE1_POOR_MAN_WC_OPTION_1_0, PHRASE_DIALOG_HIVE1_POOR_MAN_WC_OPTION_1_1</t>
  </si>
  <si>
    <t>ACTION_DIALOGUE_SULTAN_1</t>
  </si>
  <si>
    <t>SOUND_OBSERVE_OLIVE_BOWL</t>
  </si>
  <si>
    <t>SOUND_OBSERVE_OLIVE_BOWL_SPANISH</t>
  </si>
  <si>
    <t>SOUND_OBSERVE_BEER</t>
  </si>
  <si>
    <t>DIALOG_HIVE1_POOR_MAN_WC_OPTION_2</t>
  </si>
  <si>
    <t>SOUND_OBSERVE_BEER_SPANISH</t>
  </si>
  <si>
    <t>ACTION_EVENT_POOR_MAN_WC_NEEDS_WATER, ACTION_MEMENTO_POOR_MAN_WC_1</t>
  </si>
  <si>
    <t>COND_TALK_ITEM_NPC_PILAR_DREAM_1</t>
  </si>
  <si>
    <t>PHRASE_DIALOG_HIVE1_POOR_MAN_WC_OPTION_2_0, PHRASE_DIALOG_HIVE1_POOR_MAN_WC_OPTION_2_1, PHRASE_DIALOG_HIVE1_POOR_MAN_WC_OPTION_2_2, PHRASE_DIALOG_HIVE1_POOR_MAN_WC_OPTION_2_3, PHRASE_DIALOG_HIVE1_POOR_MAN_WC_OPTION_2_4</t>
  </si>
  <si>
    <t>PHRASE_ID</t>
  </si>
  <si>
    <t>SOUND_MAINCHAR_SECOND_BEER_COMMENT</t>
  </si>
  <si>
    <t>TalkerIndex</t>
  </si>
  <si>
    <t>Sound</t>
  </si>
  <si>
    <t>SOUND_MAINCHAR_SECOND_BEER_COMMENT_SPANISH</t>
  </si>
  <si>
    <t>AnimationTriggerTalker1</t>
  </si>
  <si>
    <t>AnimationTriggerTalker2</t>
  </si>
  <si>
    <t>ACTION_TALK_DIALOG_PILAR_DREAM_1</t>
  </si>
  <si>
    <t>AnimationTriggerTalker3</t>
  </si>
  <si>
    <t>Text_English</t>
  </si>
  <si>
    <t>Text_Spanish</t>
  </si>
  <si>
    <t>SOUND_MAINCHAR_AFTER_THIRD_BEER_COMMENT</t>
  </si>
  <si>
    <t>DIALOG_HIVE1_POOR_MAN_WC_OPTION_3</t>
  </si>
  <si>
    <t>SOUND_MAINCHAR_AFTER_THIRD_BEER_COMMENT_SPANISH</t>
  </si>
  <si>
    <t>PHRASE_DIALOG_HIVE1_POOR_MAN_WC_OPTION_3_0</t>
  </si>
  <si>
    <t>SOUND_CLOWN_INTRO_DRUNK</t>
  </si>
  <si>
    <t>SOUND_CLOWN_INTRO_DRUNK_SPANISH</t>
  </si>
  <si>
    <t>ANIMATION_TRIGGER_ZERO</t>
  </si>
  <si>
    <t>SOUND_CLOWN_INTRO_DRUNK_PART_2</t>
  </si>
  <si>
    <t>SOUND_CLOWN_INTRO_DRUNK_PART_2_SPANISH</t>
  </si>
  <si>
    <t>ACTION_DIALOG_SULTAN_DID_NOT_EAT</t>
  </si>
  <si>
    <t>SOUND_ARTURO_EXTRAPERLO_DRUNK_1</t>
  </si>
  <si>
    <t>PHRASE_NONSENSE</t>
  </si>
  <si>
    <t>PHRASE_DIALOG_HIVE1_POOR_MAN_WC_INTRO_0, PHRASE_DIALOG_HIVE1_POOR_MAN_WC_INTRO_1, PHRASE_DIALOG_HIVE1_POOR_MAN_WC_INTRO_2</t>
  </si>
  <si>
    <t>SOUND_ARTURO_EXTRAPERLO_DRUNK_1_SPANISH</t>
  </si>
  <si>
    <t>ANIMATION_TRIGGER_TALK_TWO</t>
  </si>
  <si>
    <t>That has no sense!</t>
  </si>
  <si>
    <t>¡Eso no tiene sentido!</t>
  </si>
  <si>
    <t>SOUND_ARTURO_EXTRAPERLO_DRUNK_2</t>
  </si>
  <si>
    <t>SOUND_ARTURO_EXTRAPERLO_DRUNK_2_SPANISH</t>
  </si>
  <si>
    <t>DIALOG_ARTURO_HALL_INN_OPTION_0</t>
  </si>
  <si>
    <t>COND_TALK_ITEM_NPC_ALTER_EGO_1</t>
  </si>
  <si>
    <t>ACTION_EVENT_TALKED_ARTURO_HALL_PUB</t>
  </si>
  <si>
    <t>PHRASE_NONSENSE_OBSERVE</t>
  </si>
  <si>
    <t>SOUND_ARTURO_EXTRAPERLO_DRUNK_OPTION_0_0</t>
  </si>
  <si>
    <t>PHRASE_DIALOG_ARTURO_HALL_INN_OPTION_0_0, PHRASE_DIALOG_ARTURO_HALL_INN_OPTION_0_1, PHRASE_DIALOG_ARTURO_HALL_INN_OPTION_0_2, PHRASE_DIALOG_ARTURO_HALL_INN_OPTION_0_3</t>
  </si>
  <si>
    <t>SOUND_ARTURO_EXTRAPERLO_DRUNK_OPTION_0_0_SPANISH</t>
  </si>
  <si>
    <t>ACTION_TALK_DIALOG_ALTER_EGO_DREAM_1</t>
  </si>
  <si>
    <t>That has nothing outstanding</t>
  </si>
  <si>
    <t>No tiene nada del otro mundo</t>
  </si>
  <si>
    <t>SOUND_MAINCHAR_GOOD_NIGHT_DRUNK</t>
  </si>
  <si>
    <t>SOUND_MAINCHAR_GOOD_NIGHT_DRUNK_SPANISH</t>
  </si>
  <si>
    <t>DIALOG_ARTURO_HALL_INN_OPTION_1</t>
  </si>
  <si>
    <t>EVENT_TALKED_ARTURO_HALL_PUB</t>
  </si>
  <si>
    <t>PHRASE_NONSENSE_TALK</t>
  </si>
  <si>
    <t>ACTION_EVENT_TALKED_ARTURO_HALL_COMPLETED, ACTION_EVENT_INVITATION_PICKABLE_TAKEN, ACTION_OBTAIN_EXTRAPERLO_INVITATION</t>
  </si>
  <si>
    <t>SOUND_CARDS2_MAINCHAR_TAUNT1</t>
  </si>
  <si>
    <t>SOUND_CARDS2_MAINCHAR_TAUNT_1_SPANISH</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</si>
  <si>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</si>
  <si>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COND_OBSERVE_ITEM_NPC_ALTER_EGO_1</t>
  </si>
  <si>
    <t>Nothing to tell</t>
  </si>
  <si>
    <t>Nada que decir</t>
  </si>
  <si>
    <t>ACTION_DIALOG_OBSERVE_ALTER_EGO_DREAM_1</t>
  </si>
  <si>
    <t>SOUND_CARDS2_MAINCHAR_TAUNT2</t>
  </si>
  <si>
    <t>SOUND_CARDS2_MAINCHAR_TAUNT_2_SPANISH</t>
  </si>
  <si>
    <t>PHRASE_NONSENSE_NOT_THOUGHT</t>
  </si>
  <si>
    <t>DIALOG_ARTURO_HALL_INN_OPTION_2</t>
  </si>
  <si>
    <t>ANIMATION_TRIGGER_TALK_ONE</t>
  </si>
  <si>
    <t>SOUND_CARDS2_MAINCHAR_TAUNT3</t>
  </si>
  <si>
    <t>PHRASE_DIALOG_ARTURO_HALL_INN_OPTION_2_0</t>
  </si>
  <si>
    <t>I see no reason for doing that</t>
  </si>
  <si>
    <t>SOUND_CARDS2_MAINCHAR_TAUNT_3_SPANISH</t>
  </si>
  <si>
    <t>No veo razón para hacer eso</t>
  </si>
  <si>
    <t>COND_OBSERVE_ITEM_FIG</t>
  </si>
  <si>
    <t>SOUND_CARDS2_MAINCHAR_TAUNT4</t>
  </si>
  <si>
    <t>SOUND_CARDS2_MAINCHAR_TAUNT_4_SPANISH</t>
  </si>
  <si>
    <t>PHRASE_NONSENSE_COMBI</t>
  </si>
  <si>
    <t>ACTION_DIALOGUE_OBSERVE_ITEM_FIG</t>
  </si>
  <si>
    <t>SOUND_CARDS2_MAINCHAR_TAUNT5</t>
  </si>
  <si>
    <t>I don't get it - Too complicated</t>
  </si>
  <si>
    <t>PHRASE_DIALOG_ARTURO_HALL_INN_INTRO_0, PHRASE_DIALOG_ARTURO_HALL_INN_INTRO_1</t>
  </si>
  <si>
    <t>No lo pillo - Es demasiado complicado</t>
  </si>
  <si>
    <t>SOUND_CARDS2_MAINCHAR_TAUNT_5_SPANISH</t>
  </si>
  <si>
    <t>SOUND_MAINCHAR_DONT_WANT_MORE</t>
  </si>
  <si>
    <t>SOUND_MAINCHAR_DONT_WANT_MORE_SPANISH</t>
  </si>
  <si>
    <t>PHRASE_ALREADY_COMBI</t>
  </si>
  <si>
    <t>COND_TAKE_ITEM_FIG</t>
  </si>
  <si>
    <t>SOUND_OBSERVE_ITEM_OLIVE</t>
  </si>
  <si>
    <t>SOUND_OBSERVE_ITEM_OLIVE_SPANISH</t>
  </si>
  <si>
    <t>PHRASE_DIALOG_PHARMACIST_NOT_TAKE_INKWELL_INTRO</t>
  </si>
  <si>
    <t>I already thought that</t>
  </si>
  <si>
    <t>Ya le di una vuelta a aquello</t>
  </si>
  <si>
    <t>ACTION_OBTAIN_ITEM_FIG, ACTION_EVENT_FIG_PICKABLE_OBTAINED</t>
  </si>
  <si>
    <t>SOUND_PHRASE_DIALOG_SILVANA_DRUNK_OPTION_0_0</t>
  </si>
  <si>
    <t>SOUND_SILVANA_DRUNK_OP0_0_SPANISH</t>
  </si>
  <si>
    <t>PHRASE_GREAT_IDEA_COMBI</t>
  </si>
  <si>
    <t>SOUND_PHRASE_DIALOG_SILVANA_DRUNK_OPTION_0_1</t>
  </si>
  <si>
    <t>That is a great idea!</t>
  </si>
  <si>
    <t>SOUND_SILVANA_DRUNK_OP0_1_SPANISH</t>
  </si>
  <si>
    <t>Es una genial idea!</t>
  </si>
  <si>
    <t>ACTION_EVENT_INKWELL_WASTED</t>
  </si>
  <si>
    <t>COND_USE_FIG_SULTAN</t>
  </si>
  <si>
    <t>SOUND_PHRASE_DIALOG_SILVANA_DRUNK_OPTION_0_2</t>
  </si>
  <si>
    <t>PHRASE_DIALOG_USE_UMBRELLA_WITH_INKWELL</t>
  </si>
  <si>
    <t>SOUND_SILVANA_DRUNK_OP0_2_SPANISH</t>
  </si>
  <si>
    <t>PHRASE_DIALOG_REME_INTRO_1</t>
  </si>
  <si>
    <t>ACTION_PLAY_SOUND_DOG_BARKING, ACTION_ANIMATE_SULTAN_BARKING, ACTION_EVENT_SULTAN_ATE_FOOD, ACTION_LOSE_FIG, ACTION_ANIMATE_MAINCHAR_DUCK_OFFERING, ACTION_ANIMATE_SULTAN_EATING, ACTION_DIALOGUE_MAINCHAR_FAREWELL_DREAM_1, ACTION_EVENT_PENDING_RECAP_DREAM_1</t>
  </si>
  <si>
    <t>SOUND_PHRASE_DIALOG_SILVANA_DRUNK_OPTION_0_3</t>
  </si>
  <si>
    <t>Good morning Reme</t>
  </si>
  <si>
    <t>SOUND_SILVANA_DRUNK_OP0_3_SPANISH</t>
  </si>
  <si>
    <t>Buenos días Reme</t>
  </si>
  <si>
    <t>SOUND_PHRASE_DIALOG_SILVANA_DRUNK_OPTION_0_4</t>
  </si>
  <si>
    <t>SOUND_SILVANA_DRUNK_OP0_4_SPANISH</t>
  </si>
  <si>
    <t>PHRASE_DIALOG_USE_UMBRELLA_WITH_INKWELL_OWNER, PHRASE_DIALOG_USE_UMBRELLA_WITH_INKWELL_OWNER_2</t>
  </si>
  <si>
    <t>PHRASE_DIALOG_REME_INTRO_2</t>
  </si>
  <si>
    <t>ANIMATION_TRIGGER_STEADY_ONE</t>
  </si>
  <si>
    <t>SOUND_PHRASE_DIALOG_SILVANA_OLIVE_OPTION_0_0</t>
  </si>
  <si>
    <t>COND_LAST</t>
  </si>
  <si>
    <t>SOUND_SILVANA_OLIVE_0_0_SPANISH</t>
  </si>
  <si>
    <t>Be careful! It's just cleaned</t>
  </si>
  <si>
    <t>Me vas a pisar lo fregado!</t>
  </si>
  <si>
    <t>SOUND_PHRASE_DIALOG_SILVANA_OLIVE_OPTION_0_1</t>
  </si>
  <si>
    <t>DIALOG_FIK_1_OPTION_0</t>
  </si>
  <si>
    <t>SOUND_SILVANA_OLIVE_0_1_SPANISH</t>
  </si>
  <si>
    <t>PHRASE_DIALOG_REME_INTRO_3</t>
  </si>
  <si>
    <t>PHRASE_DIALOG_FIK_1_OPTION_0_0, PHRASE_DIALOG_FIK_1_OPTION_0_1</t>
  </si>
  <si>
    <t>SOUND_PHRASE_DIALOG_SILVANA_OLIVE_OPTION_0_2</t>
  </si>
  <si>
    <t>SOUND_SILVANA_OLIVE_0_2_SPANISH</t>
  </si>
  <si>
    <t>(Oh... pretty clean)</t>
  </si>
  <si>
    <t>(Limpísimo está)</t>
  </si>
  <si>
    <t>UNCHAIN_ID</t>
  </si>
  <si>
    <t>OnlyByRequest</t>
  </si>
  <si>
    <t>SOUND_PHRASE_DIALOG_SILVANA_OLIVE_OPTION_0_3</t>
  </si>
  <si>
    <t>Repeat (reloaded several times in same Scene)</t>
  </si>
  <si>
    <t>IsOneShot (not linked to scene items)</t>
  </si>
  <si>
    <t>DIALOG_FIK_1_OPTION_1</t>
  </si>
  <si>
    <t>SOUND_SILVANA_OLIVE_0_3_SPANISH</t>
  </si>
  <si>
    <t>IgnoreIfEvent</t>
  </si>
  <si>
    <t>PHRASE_DIALOG_REME_1_1</t>
  </si>
  <si>
    <t>SOUND_WAITER_1_OP_3_0</t>
  </si>
  <si>
    <t>PHRASE_DIALOG_FIK_1_OPTION_1_0, PHRASE_DIALOG_FIK_1_OPTION_1_1, PHRASE_DIALOG_FIK_1_OPTION_1_2, PHRASE_DIALOG_FIK_1_OPTION_1_3</t>
  </si>
  <si>
    <t>SOUND_WAITER_1_OP_3_0_SPANISH</t>
  </si>
  <si>
    <t>UNCHAIN_NONE</t>
  </si>
  <si>
    <t>Do you know if WC is usable today?</t>
  </si>
  <si>
    <t>Sabes si el aseo está usable hoy?</t>
  </si>
  <si>
    <t>SOUND_WAITER_1_OP_3_1</t>
  </si>
  <si>
    <t>SOUND_WAITER_1_OP_3_1_SPANISH</t>
  </si>
  <si>
    <t>DIALOG_FIK_1_OPTION_2</t>
  </si>
  <si>
    <t>SOUND_WAITER_1_OP_3_2</t>
  </si>
  <si>
    <t>PHRASE_DIALOG_REME_1_2</t>
  </si>
  <si>
    <t>SOUND_WAITER_1_OP_3_2_SPANISH</t>
  </si>
  <si>
    <t>PHRASE_DIALOG_FIK_1_OPTION_2_0, PHRASE_DIALOG_FIK_1_OPTION_2_1, PHRASE_DIALOG_FIK_1_OPTION_2_2</t>
  </si>
  <si>
    <t>It always works. It's you and all the scum living here who think you are highborn</t>
  </si>
  <si>
    <t>SOUND_WAITER_1_OP_3_3</t>
  </si>
  <si>
    <t>Claro que funciona. Tú y toda la morralla que vivís aquí os pensáis que sois marqueses</t>
  </si>
  <si>
    <t>SOUND_WAITER_1_OP_3_3_SPANISH</t>
  </si>
  <si>
    <t>SOUND_WAITER_1_OP_3_4</t>
  </si>
  <si>
    <t>DIALOG_FIK_1_OPTION_3</t>
  </si>
  <si>
    <t>UNCHAIN_ROOM1_INITIAL_MEMENTO_1</t>
  </si>
  <si>
    <t>PHRASE_DIALOG_REME_1_3</t>
  </si>
  <si>
    <t>SOUND_WAITER_1_OP_3_4_SPANISH</t>
  </si>
  <si>
    <t>EVENT_FIRST</t>
  </si>
  <si>
    <t>It's downstairs as always! Be fast. Now there is nobody using it</t>
  </si>
  <si>
    <t>PHRASE_DIALOG_FIK_1_OPTION_3_0</t>
  </si>
  <si>
    <t>SOUND_MAINCHAR_NEED_ORINE</t>
  </si>
  <si>
    <t>Está en el piso de abajo como siempre! Sé rápido. Ahora mismo no hay nadie usándolo</t>
  </si>
  <si>
    <t>ACTION_EVENT_INITIAL_MEMENTO, ACTION_MEMENTO_INITIAL_MEMENTO</t>
  </si>
  <si>
    <t>SOUND_MAINCHAR_NEED_ORINE_SPANISH</t>
  </si>
  <si>
    <t>SOUND_OBSERVE_INNOCENT_PLANT</t>
  </si>
  <si>
    <t>SOUND_OBSERVE_INNOCENT_PLANT_SPANISH</t>
  </si>
  <si>
    <t>UNCHAIN_HIVE1_OPEN_CHEST_2</t>
  </si>
  <si>
    <t>Well! Have a nice day Reme!</t>
  </si>
  <si>
    <t>SOUND_OBSERVE_BLADDER</t>
  </si>
  <si>
    <t>Bueno! Que tengas un florido día Reme!</t>
  </si>
  <si>
    <t>PHRASE_DIALOG_FIK_1_INTRO_0, PHRASE_DIALOG_FIK_1_INTRO_1</t>
  </si>
  <si>
    <t>SOUND_OBSERVE_BLADDER_SPANISH</t>
  </si>
  <si>
    <t>ACTION_SET_SPRITE_CHEST_OPENED, ACTION_SPAWN_HIVE1_PERFUME</t>
  </si>
  <si>
    <t>SOUND_MAINCHAR_ABOUT_PEE_PLANT</t>
  </si>
  <si>
    <t>SOUND_MAINCHAR_ABOUT_PEE_PLANT_SPANISH</t>
  </si>
  <si>
    <t>DIALOG_FIK_2_OPTION_0</t>
  </si>
  <si>
    <t>Dance for me. Reme!</t>
  </si>
  <si>
    <t>Baila Baila para mí!</t>
  </si>
  <si>
    <t>SOUND_PEE</t>
  </si>
  <si>
    <t>PHRASE_DIALOG_FIK_2_OPTION_0_0, PHRASE_DIALOG_FIK_2_OPTION_0_1</t>
  </si>
  <si>
    <t>UNCHAIN_HIVE1_CLOSE_CHEST_2</t>
  </si>
  <si>
    <t>SOUND_SILVANA_OBSERVED_PEE</t>
  </si>
  <si>
    <t>PHRASE_MEMENTO_FIND_JOB_1</t>
  </si>
  <si>
    <t>SOUND_SILVANA_OBSERVED_PEE_SPANISH</t>
  </si>
  <si>
    <t>ACTION_SET_SPRITE_CHEST_CLOSED, ACTION_DESPAWN_HIVE1_PERFUME</t>
  </si>
  <si>
    <t>DIALOG_FIK_2_OPTION_1</t>
  </si>
  <si>
    <t>I moved to find a job. It is important to find something as soon as possible</t>
  </si>
  <si>
    <t>SOUND_SILVANA_GARDEN_CONV1_0_0</t>
  </si>
  <si>
    <t>Me trasladé aquí para encontrar trabajo. Es importante encontrar algo tan pronto como sea</t>
  </si>
  <si>
    <t>PHRASE_DIALOG_FIK_2_OPTION_1_0, PHRASE_DIALOG_FIK_2_OPTION_1_1</t>
  </si>
  <si>
    <t>SOUND_SILVANA_GARDEN_CONV1_0_0_SPANISH</t>
  </si>
  <si>
    <t>UNCHAIN_CARDS_PICKABLE_TAKE_1</t>
  </si>
  <si>
    <t>SOUND_SILVANA_GARDEN_CONV1_0_1</t>
  </si>
  <si>
    <t>SOUND_SILVANA_GARDEN_CONV1_0_1_SPANISH</t>
  </si>
  <si>
    <t>PHRASE_OBSERVE_HIVE1_AD_BOARD_1</t>
  </si>
  <si>
    <t>EVENT_CARDS_PICKABLE_TAKEN</t>
  </si>
  <si>
    <t>DIALOG_FIK_2_OPTION_2</t>
  </si>
  <si>
    <t>ACTION_DESTROY_HIVE1_CARDS</t>
  </si>
  <si>
    <t>SOUND_SILVANA_GARDEN_CONV1_0_2</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</si>
  <si>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</si>
  <si>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</si>
  <si>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SOUND_SILVANA_GARDEN_CONV1_0_2_SPANISH</t>
  </si>
  <si>
    <t>PHRASE_DIALOG_FIK_2_OPTION_2_0, PHRASE_DIALOG_FIK_2_OPTION_2_1</t>
  </si>
  <si>
    <t>SOUND_SILVANA_GARDEN_CONV1_0_3</t>
  </si>
  <si>
    <t>SOUND_SILVANA_GARDEN_CONV1_0_3_SPANISH</t>
  </si>
  <si>
    <t>PHRASE_NOT_EXIT_HIVE1_HALL_1</t>
  </si>
  <si>
    <t>UNCHAIN_HIVE1_OPEN_WARDROBE_1</t>
  </si>
  <si>
    <t>DIALOG_FIK_2_OPTION_3</t>
  </si>
  <si>
    <t>EVENT_INVITATION_UNDERSTOOD_PHRASE</t>
  </si>
  <si>
    <t>SOUND_SILVANA_GARDEN_CONV1_0_4</t>
  </si>
  <si>
    <t>ACTION_EVENT_EXTRAPERLO_SAID_PHRASE</t>
  </si>
  <si>
    <t>First I need to know WHERE to go</t>
  </si>
  <si>
    <t>Primero necesitaría saber a dónde voy</t>
  </si>
  <si>
    <t>SOUND_SILVANA_GARDEN_CONV1_0_4_SPANISH</t>
  </si>
  <si>
    <t>ACTION_SPAWN_HIVE1_WARDROBE_OPENED, ACTION_DESPAWN_HIVE1_WARDROBE</t>
  </si>
  <si>
    <t>PHRASE_DIALOG_FIK_2_OPTION_3_0, PHRASE_DIALOG_FIK_2_OPTION_3_1</t>
  </si>
  <si>
    <t>SOUND_PHRASE_DIALOG_SILVANA_GARDEN_2_OPTION_0_0</t>
  </si>
  <si>
    <t>SOUND_SILVANA_GARDEN_CONV2_0_0_SPANISH</t>
  </si>
  <si>
    <t>PHRASE_NOT_EXIT_HIVE1_HALL_2</t>
  </si>
  <si>
    <t>SOUND_PHRASE_DIALOG_SILVANA_GARDEN_2_OPTION_0_1</t>
  </si>
  <si>
    <t>UNCHAIN_HIVE1_OPEN_WARDROBE_2</t>
  </si>
  <si>
    <t>I need to give a good first impression. Cannot go in this way</t>
  </si>
  <si>
    <t>SOUND_SILVANA_GARDEN_CONV2_0_1_SPANISH</t>
  </si>
  <si>
    <t>Debo dar una buena impresión. No puedo ir así</t>
  </si>
  <si>
    <t>EVENT_SOAP_PICKABLE_TAKEN</t>
  </si>
  <si>
    <t>PHRASE_DIALOG_FIK_NOT_CROSS</t>
  </si>
  <si>
    <t>ACTION_SPAWN_SOAP</t>
  </si>
  <si>
    <t>SOUND_PHRASE_DIALOG_SILVANA_GARDEN_2_OPTION_0_2</t>
  </si>
  <si>
    <t>SOUND_SILVANA_GARDEN_CONV2_0_2_SPANISH</t>
  </si>
  <si>
    <t>PHRASE_TAKE_HIVE1_BASIN_NO_SOAP</t>
  </si>
  <si>
    <t>SOUND_PHRASE_DIALOG_SILVANA_GARDEN_2_OPTION_0_3</t>
  </si>
  <si>
    <t>SOUND_SILVANA_GARDEN_CONV2_0_3_SPANISH</t>
  </si>
  <si>
    <t>Self cleaning only with water is a mess</t>
  </si>
  <si>
    <t>Lavarse solo con agua es una guarrada</t>
  </si>
  <si>
    <t>UNCHAIN_HIVE1_CLOSE_WARDROBE_1</t>
  </si>
  <si>
    <t>SOUND_PHRASE_DIALOG_SILVANA_GARDEN_2_OPTION_0_4</t>
  </si>
  <si>
    <t>PHRASE_DIALOG_WAITER_INTRO_1_0, PHRASE_DIALOG_WAITER_INTRO_1_1, PHRASE_DIALOG_WAITER_INTRO_1_2, PHRASE_DIALOG_WAITER_INTRO_1_3</t>
  </si>
  <si>
    <t>SOUND_SILVANA_GARDEN_CONV2_0_4_SPANISH</t>
  </si>
  <si>
    <t>PHRASE_TAKE_HIVE1_BASIN_SOAP</t>
  </si>
  <si>
    <t>SOUND_PHRASE_DIALOG_SILVANA_GARDEN_2_OPTION_0_5</t>
  </si>
  <si>
    <t>ACTION_SPAWN_HIVE1_WARDROBE, ACTION_DESPAWN_HIVE1_WARDROBE_OPENED</t>
  </si>
  <si>
    <t>SOUND_SILVANA_GARDEN_CONV2_0_5_SPANISH</t>
  </si>
  <si>
    <t>Now that's actually self cleaning</t>
  </si>
  <si>
    <t>Ahora esto sí que es asearse</t>
  </si>
  <si>
    <t>SOUND_PHRASE_DIALOG_SILVANA_GARDEN_2_OPTION_0_6</t>
  </si>
  <si>
    <t>SOUND_SILVANA_GARDEN_CONV2_0_6_SPANISH</t>
  </si>
  <si>
    <t>UNCHAIN_HIVE1_CLOSE_WARDROBE_2</t>
  </si>
  <si>
    <t>PHRASE_USE_HIVE1_PERFUME</t>
  </si>
  <si>
    <t>SOUND_PHRASE_DIALOG_SILVANA_GARDEN_2_OPTION_0_7</t>
  </si>
  <si>
    <t>SOUND_SILVANA_GARDEN_CONV2_0_7_SPANISH</t>
  </si>
  <si>
    <t>ACTION_DESPAWN_SOAP</t>
  </si>
  <si>
    <t>Now that's actually good smelling! My father gifted it to me</t>
  </si>
  <si>
    <t>SOUND_PHRASE_DIALOG_SILVANA_GARDEN_2_OPTION_0_8</t>
  </si>
  <si>
    <t>Esto sí que es oler bien! Mi padre me lo regaló</t>
  </si>
  <si>
    <t>ACTION_EVENT_SHOWN_OLD_INVITATION</t>
  </si>
  <si>
    <t>SOUND_SILVANA_GARDEN_CONV2_0_8_SPANISH</t>
  </si>
  <si>
    <t>PHRASE_DIALOG_WAITER_USE_OLD_INV_0, PHRASE_DIALOG_WAITER_USE_OLD_INV_1, PHRASE_DIALOG_WAITER_USE_OLD_INV_2</t>
  </si>
  <si>
    <t>SOUND_PHRASE_DIALOG_SILVANA_GARDEN_2_OPTION_0_9</t>
  </si>
  <si>
    <t>PHRASE_USE_HIVE1_PERFUME_NOT_1</t>
  </si>
  <si>
    <t>SOUND_SILVANA_GARDEN_CONV2_0_9_SPANISH</t>
  </si>
  <si>
    <t>UNCHAIN_SOAP_PICKABLE_TAKE_1</t>
  </si>
  <si>
    <t>SOUND_PHRASE_DIALOG_SILVANA_GARDEN_2_OPTION_0_10</t>
  </si>
  <si>
    <t>Using perfume not being washed is a pig fact. Not my style</t>
  </si>
  <si>
    <t>SOUND_SILVANA_GARDEN_CONV2_0_10_SPANISH</t>
  </si>
  <si>
    <t>Echarse perfume sin estar limpio es muy cerdo. No es mi estilo</t>
  </si>
  <si>
    <t>ACTION_DESTROY_SOAP</t>
  </si>
  <si>
    <t>PHRASE_DIALOG_WAITER_USE_NEW_INV_0, PHRASE_DIALOG_WAITER_USE_NEW_INV_1</t>
  </si>
  <si>
    <t>SOUND_PHRASE_DIALOG_SILVANA_GARDEN_2_OPTION_0_11</t>
  </si>
  <si>
    <t>SOUND_SILVANA_GARDEN_CONV2_0_11_SPANISH</t>
  </si>
  <si>
    <t>PHRASE_USE_HIVE1_PERFUME_NOT_2</t>
  </si>
  <si>
    <t>SOUND_PHRASE_DIALOG_SILVANA_GARDEN_2_OPTION_0_12</t>
  </si>
  <si>
    <t>SOUND_SILVANA_GARDEN_CONV2_0_12_SPANISH</t>
  </si>
  <si>
    <t>UNCHAIN_REME_DAY</t>
  </si>
  <si>
    <t>It's a matter of making it last as long as possible. I already used it</t>
  </si>
  <si>
    <t>Lo suyo es que el perfume me dure. Ya me he echado</t>
  </si>
  <si>
    <t>SOUND_PHRASE_DIALOG_SILVANA_GARDEN_2_OPTION_0_13</t>
  </si>
  <si>
    <t>PHRASE_DIALOG_UNKNOWN_GIRLS_INTRO_1_0, PHRASE_DIALOG_UNKNOWN_GIRLS_INTRO_1_1, PHRASE_DIALOG_UNKNOWN_GIRLS_INTRO_1_2</t>
  </si>
  <si>
    <t>SOUND_SILVANA_GARDEN_CONV2_0_13_SPANISH</t>
  </si>
  <si>
    <t>ACTION_SPAWN_REME_DAY</t>
  </si>
  <si>
    <t>PHRASE_USE_CARDS_REME_1</t>
  </si>
  <si>
    <t>SOUND_PHRASE_DIALOG_SILVANA_GARDEN_2_OPTION_0_14</t>
  </si>
  <si>
    <t>SOUND_SILVANA_GARDEN_CONV2_0_14_SPANISH</t>
  </si>
  <si>
    <t>Do you want to play with cards?</t>
  </si>
  <si>
    <t>DIALOG_ARTURO_EXTRAPERLO_OPTION_0</t>
  </si>
  <si>
    <t>Quiere usted jugar una partidilla de cartas?</t>
  </si>
  <si>
    <t>SOUND_PHRASE_DIALOG_SILVANA_GARDEN_2_OPTION_0_15</t>
  </si>
  <si>
    <t>SOUND_SILVANA_GARDEN_CONV2_0_15_SPANISH</t>
  </si>
  <si>
    <t>UNCHAIN_PHARMACY_DOOR_AVAIL</t>
  </si>
  <si>
    <t>PHRASE_DIALOG_ARTURO_EXTRAPERLO_OPTION_0_0, PHRASE_DIALOG_ARTURO_EXTRAPERLO_OPTION_0_1, PHRASE_DIALOG_ARTURO_EXTRAPERLO_OPTION_0_2, PHRASE_DIALOG_ARTURO_EXTRAPERLO_OPTION_0_3</t>
  </si>
  <si>
    <t>PHRASE_USE_CARDS_REME_2</t>
  </si>
  <si>
    <t>SOUND_PHRASE_DIALOG_SILVANA_GARDEN_2_OPTION_0_16</t>
  </si>
  <si>
    <t>ACTION_SPAWN_PHARMACY_DOOR</t>
  </si>
  <si>
    <t>SOUND_SILVANA_GARDEN_CONV2_0_16_SPANISH</t>
  </si>
  <si>
    <t>WHO did you think I am? Card games is pure evil</t>
  </si>
  <si>
    <t>QUIEN se ha creido que soy? Los juegos de naipes son el mismísimo demonio</t>
  </si>
  <si>
    <t>SOUND_PHRASE_DIALOG_SILVANA_GARDEN_2_OPTION_0_17</t>
  </si>
  <si>
    <t>DIALOG_ARTURO_EXTRAPERLO_OPTION_1</t>
  </si>
  <si>
    <t>SOUND_SILVANA_GARDEN_CONV2_0_17_SPANISH</t>
  </si>
  <si>
    <t>ACTION_START_TEST_CARD_GAME</t>
  </si>
  <si>
    <t>PHRASE_DIALOG_ARTURO_EXTRAPERLO_OPTION_1_0, PHRASE_DIALOG_ARTURO_EXTRAPERLO_OPTION_1_1, PHRASE_DIALOG_ARTURO_EXTRAPERLO_OPTION_1_2, PHRASE_DIALOG_ARTURO_EXTRAPERLO_OPTION_1_3, PHRASE_DIALOG_ARTURO_EXTRAPERLO_OPTION_1_4</t>
  </si>
  <si>
    <t>UNCHAIN_MANYO_OWNER</t>
  </si>
  <si>
    <t>SOUND_PHRASE_DIALOG_SILVANA_GARDEN_2_OPTION_0_18</t>
  </si>
  <si>
    <t>SOUND_SILVANA_GARDEN_CONV2_0_18_SPANISH</t>
  </si>
  <si>
    <t>Don't sleep</t>
  </si>
  <si>
    <t>ACTION_SPAWN_MANYO_OWNER_DAY</t>
  </si>
  <si>
    <t>No dormir</t>
  </si>
  <si>
    <t>SOUND_PHRASE_DIALOG_SILVANA_GARDEN_2_OPTION_1_0</t>
  </si>
  <si>
    <t>SOUND_SILVANA_GARDEN_CONV2_1_0_SPANISH</t>
  </si>
  <si>
    <t>DIALOG_ARTURO_EXTRAPERLO_OPTION_2</t>
  </si>
  <si>
    <t>EVENT_EXTRAPERLO_WON_CARDS_ARTURO</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</si>
  <si>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</si>
  <si>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SOUND_PHRASE_DIALOG_SILVANA_GARDEN_2_OPTION_1_1</t>
  </si>
  <si>
    <t>SOUND_SILVANA_GARDEN_CONV2_1_1_SPANISH</t>
  </si>
  <si>
    <t>Sleep until next morning</t>
  </si>
  <si>
    <t>UNCHAIN_MANYO_OWNER_NIGHT</t>
  </si>
  <si>
    <t>Dormir hasta la mañana siguiente</t>
  </si>
  <si>
    <t>SOUND_PHRASE_DIALOG_SILVANA_GARDEN_2_OPTION_1_2</t>
  </si>
  <si>
    <t>SOUND_SILVANA_GARDEN_CONV2_1_2_SPANISH</t>
  </si>
  <si>
    <t>SOUND_PHRASE_DIALOG_SILVANA_GARDEN_2_OPTION_1_3</t>
  </si>
  <si>
    <t>PHRASE_DIALOG_ARTURO_EXTRAPERLO_INTRO</t>
  </si>
  <si>
    <t>ACTION_SPAWN_MANYO_OWNER_NIGHT</t>
  </si>
  <si>
    <t>SOUND_SILVANA_GARDEN_CONV2_1_3_SPANISH</t>
  </si>
  <si>
    <t>Sleep until night</t>
  </si>
  <si>
    <t>Dormir hasta la noche</t>
  </si>
  <si>
    <t>SOUND_PHRASE_DIALOG_SILVANA_GARDEN_2_OPTION_1_4</t>
  </si>
  <si>
    <t>SOUND_SILVANA_GARDEN_CONV2_1_4_SPANISH</t>
  </si>
  <si>
    <t>DIALOG_CLOWN_EXTRAPERLO_OPTION_0</t>
  </si>
  <si>
    <t>PHRASE_WONT_GO_SOUTH_NEIGH</t>
  </si>
  <si>
    <t>SOUND_PHRASE_DIALOG_SILVANA_GARDEN_2_OPTION_1_5</t>
  </si>
  <si>
    <t>UNCHAIN_UMBRELLA_TAKE_1</t>
  </si>
  <si>
    <t>SOUND_SILVANA_GARDEN_CONV2_1_5_SPANISH</t>
  </si>
  <si>
    <t>That neighborhood is dangerous. Don't need to go there</t>
  </si>
  <si>
    <t>PHRASE_DIALOG_CLOWN_EXTRAPERLO_OPTION_1_0, PHRASE_DIALOG_CLOWN_EXTRAPERLO_OPTION_1_1, PHRASE_DIALOG_CLOWN_EXTRAPERLO_OPTION_1_2, PHRASE_DIALOG_CLOWN_EXTRAPERLO_OPTION_1_3, PHRASE_DIALOG_CLOWN_EXTRAPERLO_OPTION_1_4</t>
  </si>
  <si>
    <t>EVENT_UMBRELLA_PICKABLE_TAKEN</t>
  </si>
  <si>
    <t>Ese barrio es muy peligroso. No necesito pasar por ahí</t>
  </si>
  <si>
    <t>SOUND_PHRASE_DIALOG_SILVANA_GARDEN_2_OPTION_1_6</t>
  </si>
  <si>
    <t>ACTION_DESTROY_UMBRELLA</t>
  </si>
  <si>
    <t>SOUND_SILVANA_GARDEN_CONV2_1_6_SPANISH</t>
  </si>
  <si>
    <t>SOUND_PHRASE_DIALOG_SILVANA_GARDEN_2_OPTION_1_7</t>
  </si>
  <si>
    <t>DIALOG_CLOWN_EXTRAPERLO_OPTION_1</t>
  </si>
  <si>
    <t>SOUND_SILVANA_GARDEN_CONV2_1_7_SPANISH</t>
  </si>
  <si>
    <t>Excuse me sir. It will be only one second</t>
  </si>
  <si>
    <t>UNCHAIN_ITEM_HIVE1_POOR_MAN_WC_SPAWN</t>
  </si>
  <si>
    <t>Disculpe. Solo será un segundo</t>
  </si>
  <si>
    <t>SOUND_PHRASE_DIALOG_SILVANA_GARDEN_2_OPTION_1_8</t>
  </si>
  <si>
    <t>PHRASE_DIALOG_CLOWN_EXTRAPERLO_OPTION_2_0, PHRASE_DIALOG_CLOWN_EXTRAPERLO_OPTION_2_1</t>
  </si>
  <si>
    <t>SOUND_SILVANA_GARDEN_CONV2_1_8_SPANISH</t>
  </si>
  <si>
    <t>EVENT_MANYO_LOOK_FOR_RECIPE_MISSION, (NOT)EVENT_HIVE1_VALVE_ACTIVATED</t>
  </si>
  <si>
    <t>ACTION_SPAWN_HIVE1_POOR_MAN_WC</t>
  </si>
  <si>
    <t>PHRASE_PHARMACIST_BUSY_1</t>
  </si>
  <si>
    <t>SOUND_PHRASE_DIALOG_SILVANA_GARDEN_2_OPTION_1_9</t>
  </si>
  <si>
    <t>SOUND_SILVANA_GARDEN_CONV2_1_9_SPANISH</t>
  </si>
  <si>
    <t>DIALOG_CLOWN_EXTRAPERLO_OPTION_2</t>
  </si>
  <si>
    <t>Young! Don't you see I'm busy?</t>
  </si>
  <si>
    <t>Joven! No ves que estoy ocupado?</t>
  </si>
  <si>
    <t>SOUND_PHRASE_DIALOG_SILVANA_GARDEN_2_OPTION_1_10</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</si>
  <si>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</si>
  <si>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SOUND_SILVANA_GARDEN_CONV2_1_10_SPANISH</t>
  </si>
  <si>
    <t>UNCHAIN_ITEM_HIVE1_ROACH_HEAD_SPAWN</t>
  </si>
  <si>
    <t>PHRASE_PHARMACIST_BUSY_2</t>
  </si>
  <si>
    <t>SOUND_PHRASE_DIALOG_SILVANA_GARDEN_2_OPTION_1_11</t>
  </si>
  <si>
    <t>(NOT)EVENT_COCKROACH_CHEATED</t>
  </si>
  <si>
    <t>SOUND_SILVANA_GARDEN_CONV2_1_11_SPANISH</t>
  </si>
  <si>
    <t>ACTION_SPAWN_HIVE1_ROACH_HEAD</t>
  </si>
  <si>
    <t>SOUND_PHRASE_DIALOG_SILVANA_GARDEN_2_OPTION_2_0</t>
  </si>
  <si>
    <t>Please go to queue if you want something</t>
  </si>
  <si>
    <t>DIALOG_CLOWN_EXTRAPERLO_OPTION_3</t>
  </si>
  <si>
    <t>Por favor. A la cola si quieres algo</t>
  </si>
  <si>
    <t>EVENT_EXTRAPERLO_SILVANA_REFUSED_MAINCHAR</t>
  </si>
  <si>
    <t>SOUND_SILVANA_GARDEN_CONV2_2_0_SPANISH</t>
  </si>
  <si>
    <t>PHRASE_DIALOG_CLOWN_EXTRAPERLO_OPTION_4_0, PHRASE_DIALOG_CLOWN_EXTRAPERLO_OPTION_4_1, PHRASE_DIALOG_CLOWN_EXTRAPERLO_OPTION_4_2, PHRASE_DIALOG_CLOWN_EXTRAPERLO_OPTION_4_3</t>
  </si>
  <si>
    <t>SOUND_PHRASE_DIALOG_SILVANA_GARDEN_2_OPTION_2_1</t>
  </si>
  <si>
    <t>UNCHAIN_ITEM_HIVE1_ROACH_HEAD_DESPAWN</t>
  </si>
  <si>
    <t>SOUND_SILVANA_GARDEN_CONV2_2_1_SPANISH</t>
  </si>
  <si>
    <t>PHRASE_HELLO_DEER</t>
  </si>
  <si>
    <t>EVENT_COCKROACH_SCARED</t>
  </si>
  <si>
    <t>SOUND_PHRASE_DIALOG_SILVANA_GARDEN_2_OPTION_2_2</t>
  </si>
  <si>
    <t>Hello!</t>
  </si>
  <si>
    <t>ACTION_DESPAWN_HIVE1_ROACH_HEAD</t>
  </si>
  <si>
    <t>Hola!</t>
  </si>
  <si>
    <t>SOUND_SILVANA_GARDEN_CONV2_2_2_SPANISH</t>
  </si>
  <si>
    <t>PHRASE_DIALOG_CLOWN_EXTRAPERLO_INTRO</t>
  </si>
  <si>
    <t>SOUND_PHRASE_DIALOG_SILVANA_GARDEN_2_OPTION_2_3</t>
  </si>
  <si>
    <t>SOUND_SILVANA_GARDEN_CONV2_2_3_SPANISH</t>
  </si>
  <si>
    <t>PHRASE_DIALOG_MANYO_INTRO_1</t>
  </si>
  <si>
    <t>UNCHAIN_REBUILD_COCHROACH_SCARED</t>
  </si>
  <si>
    <t>DIALOG_SILVANA_EXTRAPERLO_OPTION_0</t>
  </si>
  <si>
    <t>SOUND_PHRASE_DIALOG_SILVANA_GARDEN_2_OPTION_2_4</t>
  </si>
  <si>
    <t>How is it going sir?</t>
  </si>
  <si>
    <t>ACTION_EVENT_SILVANA_REFUSED_MAINCHAR, ACTION_ANIMATE_SILVANA_OPENING_BOOK_1, ACTION_ANIMATE_SILVANA_OPENING_BOOK_2</t>
  </si>
  <si>
    <t>SOUND_SILVANA_GARDEN_CONV2_2_4_SPANISH</t>
  </si>
  <si>
    <t>Cómo va la cosa señor?</t>
  </si>
  <si>
    <t>EVENT_COCKROACH_SCARED, (NOT)EVENT_COCKROACH_CHEATED</t>
  </si>
  <si>
    <t>PHRASE_DIALOG_SILVANA_EXTRAPERLO_OPTION_0_0, PHRASE_DIALOG_SILVANA_EXTRAPERLO_OPTION_0_0_LAUGH, PHRASE_DIALOG_SILVANA_EXTRAPERLO_OPTION_0_1, PHRASE_DIALOG_SILVANA_EXTRAPERLO_OPTION_0_2, PHRASE_DIALOG_SILVANA_EXTRAPERLO_OPTION_0_3</t>
  </si>
  <si>
    <t>ACTION_EVENT_REBUILD_ROACH_SCARED</t>
  </si>
  <si>
    <t>SOUND_PHRASE_DIALOG_SILVANA_GARDEN_2_OPTION_2_5</t>
  </si>
  <si>
    <t>SOUND_SILVANA_GARDEN_CONV2_2_5_SPANISH</t>
  </si>
  <si>
    <t>PHRASE_DIALOG_MANYO_INTRO_2</t>
  </si>
  <si>
    <t>SOUND_PHRASE_DIALOG_SILVANA_GARDEN_2_OPTION_2_6</t>
  </si>
  <si>
    <t>DIALOG_SILVANA_EXTRAPERLO_OPTION_1</t>
  </si>
  <si>
    <t>Did you do a reservation?</t>
  </si>
  <si>
    <t>SOUND_SILVANA_GARDEN_CONV2_2_6_SPANISH</t>
  </si>
  <si>
    <t>Hizo reserva para hoy?</t>
  </si>
  <si>
    <t>UNCHAIN_ITEM_HIVE1_SHOELACE_TAKE_1</t>
  </si>
  <si>
    <t>ACTION_EVENT_SILVANA_REFUSED_MAINCHAR</t>
  </si>
  <si>
    <t>PHRASE_DIALOG_SILVANA_EXTRAPERLO_OPTION_1_0, PHRASE_DIALOG_SILVANA_EXTRAPERLO_OPTION_1_1</t>
  </si>
  <si>
    <t>SOUND_PHRASE_DIALOG_SILVANA_GARDEN_2_OPTION_2_7</t>
  </si>
  <si>
    <t>EVENT_ITEM_HIVE1_SHOELACE_PICKABLE_TAKEN</t>
  </si>
  <si>
    <t>SOUND_SILVANA_GARDEN_CONV2_2_7_SPANISH</t>
  </si>
  <si>
    <t>ACTION_DESTROY_HIVE1_SHOELACE</t>
  </si>
  <si>
    <t>PHRASE_DIALOG_MANYO_WORK_NOTE_1</t>
  </si>
  <si>
    <t>SOUND_PHRASE_DIALOG_SILVANA_GARDEN_2_OPTION_2_8</t>
  </si>
  <si>
    <t>DIALOG_SILVANA_EXTRAPERLO_OPTION_2</t>
  </si>
  <si>
    <t>SOUND_SILVANA_GARDEN_CONV2_2_8_SPANISH</t>
  </si>
  <si>
    <t>I saw a note out there. You are searching for a cooker. Right?</t>
  </si>
  <si>
    <t>Vi una nota. Estáis buscando un cocinero. Verdad?</t>
  </si>
  <si>
    <t>ACTION_ANIMATE_SILVANA_OPENING_BOOK_1, ACTION_ANIMATE_SILVANA_OPENING_BOOK_2</t>
  </si>
  <si>
    <t>UNCHAIN_ITEM_HIVE1_VALVE_BOX_DESPAWN</t>
  </si>
  <si>
    <t>PHRASE_DIALOG_SILVANA_EXTRAPERLO_OPTION_2_0</t>
  </si>
  <si>
    <t>SOUND_PHRASE_DIALOG_SILVANA_GARDEN_2_OPTION_2_9</t>
  </si>
  <si>
    <t>SOUND_SILVANA_GARDEN_CONV2_2_9_SPANISH</t>
  </si>
  <si>
    <t>EVENT_VALVE_BOX_OPENED</t>
  </si>
  <si>
    <t>PHRASE_DIALOG_MANYO_WORK_NOTE_2</t>
  </si>
  <si>
    <t>ACTION_DESTROY_HIVE1_VALVE_BOX, ACTION_SPAWN_HIVE1_VALVE</t>
  </si>
  <si>
    <t>SOUND_PHRASE_DIALOG_SILVANA_GARDEN_2_OPTION_2_10</t>
  </si>
  <si>
    <t>SOUND_SILVANA_GARDEN_CONV2_2_10_SPANISH</t>
  </si>
  <si>
    <t>Yes. That was six months ago! We have a cooker and things are going on quite good</t>
  </si>
  <si>
    <t>Sí. Eso fue hace seis meses! Tenemos cocinero y las cosas están yendo bastante bien</t>
  </si>
  <si>
    <t>SOUND_PHRASE_DIALOG_SILVANA_GARDEN_2_OPTION_2_11</t>
  </si>
  <si>
    <t>SOUND_SILVANA_GARDEN_CONV2_2_11_SPANISH</t>
  </si>
  <si>
    <t>PHRASE_DIALOG_SILVANA_EXTRAPERLO_INTRO_0, PHRASE_DIALOG_SILVANA_EXTRAPERLO_INTRO_1</t>
  </si>
  <si>
    <t>UNCHAIN_ITEM_HIVE1_MAN_WC_CURED_SPAWN</t>
  </si>
  <si>
    <t>SOUND_PHRASE_DIALOG_SILVANA_GARDEN_2_OPTION_3_0</t>
  </si>
  <si>
    <t>PHRASE_DIALOG_MANYO_WORK_NOTE_3</t>
  </si>
  <si>
    <t>SOUND_SILVANA_GARDEN_CONV2_3_0_SPANISH</t>
  </si>
  <si>
    <t>EVENT_HIVE1_VALVE_ACTIVATED, (NOT)EVENT_TALKED_ARTURO_HALL_INN_COMPLETED</t>
  </si>
  <si>
    <t>ACTION_SPAWN_HIVE1_MAN_WC_CURED</t>
  </si>
  <si>
    <t>I see... Ok. So you are not looking for any worker here</t>
  </si>
  <si>
    <t>SOUND_PHRASE_DIALOG_SILVANA_GARDEN_2_OPTION_3_1</t>
  </si>
  <si>
    <t>Ya veo... Ok. Entonces no estáis buscando a ningún trabajador aquí</t>
  </si>
  <si>
    <t>DIALOG_WAITER_W_INVITATION_OPTION_0</t>
  </si>
  <si>
    <t>SOUND_SILVANA_GARDEN_CONV2_3_1_SPANISH</t>
  </si>
  <si>
    <t>(NOT)EVENT_BEER_JAR_READY, (NOT)EVENT_BEER_THIRD_ROUND</t>
  </si>
  <si>
    <t>ACTION_ANIMATE_WAITER_SERVE_JAR, ACTION_PLAY_SOUND_DISH, ACTION_EVENT_BEER_PLACED</t>
  </si>
  <si>
    <t>PHRASE_DIALOG_WAITER_W_INVITATION_OPTION_0_0, PHRASE_DIALOG_WAITER_W_INVITATION_OPTION_0_1</t>
  </si>
  <si>
    <t>SOUND_PHRASE_DIALOG_SILVANA_GARDEN_2_INTRO_0</t>
  </si>
  <si>
    <t>SOUND_SILVANA_GARDEN_CONV2_INTRO_0_SPANISH</t>
  </si>
  <si>
    <t>PHRASE_DIALOG_MANYO_WORK_NOTE_4</t>
  </si>
  <si>
    <t>UNCHAIN_INK_SPAWN</t>
  </si>
  <si>
    <t>SOUND_PHRASE_DIALOG_SILVANA_GARDEN_2_INTRO_1</t>
  </si>
  <si>
    <t>EVENT_INKWELL_WASTED</t>
  </si>
  <si>
    <t>I'm sorry for you. By the moment is all covered here</t>
  </si>
  <si>
    <t>Lo siento por ti. Por el momento aquí está todo cubierto</t>
  </si>
  <si>
    <t>SOUND_SILVANA_GARDEN_CONV2_INTRO_1_SPANISH</t>
  </si>
  <si>
    <t>DIALOG_WAITER_W_INVITATION_OPTION_1</t>
  </si>
  <si>
    <t>ACTION_DESPAWN_INKWELL, ACTION_SPAWN_INK</t>
  </si>
  <si>
    <t>(NOT)EVENT_WAITER_EXTRAPERLO_GAVE_OLIVES</t>
  </si>
  <si>
    <t>ACTION_ANIMATE_WAITER_SERVE_OLIVES, ACTION_PLAY_SOUND_DISH, ACTION_EVENT_OLIVES_PLACED</t>
  </si>
  <si>
    <t>PHRASE_DIALOG_WAITER_W_INVITATION_OPTION_1_0, PHRASE_DIALOG_WAITER_W_INVITATION_OPTION_1_1</t>
  </si>
  <si>
    <t>SOUND_PHRASE_DIALOG_SILVANA_GARDEN_2_INTRO_2</t>
  </si>
  <si>
    <t>SOUND_SILVANA_GARDEN_CONV2_INTRO_2_SPANISH</t>
  </si>
  <si>
    <t>PHRASE_DIALOG_MANYO_WORKS_CITY_1</t>
  </si>
  <si>
    <t>SOUND_PHRASE_DIALOG_SILVANA_GARDEN_2_OPTION_4_0</t>
  </si>
  <si>
    <t>DIALOG_WAITER_W_INVITATION_OPTION_2</t>
  </si>
  <si>
    <t>UNCHAIN_FIK_SPAWN</t>
  </si>
  <si>
    <t>Do you know about some business here looking for a worker?</t>
  </si>
  <si>
    <t>Conoces de algún negocio por aquí que busquen trabajadores?</t>
  </si>
  <si>
    <t>SOUND_SILVANA_GARDEN_CONV2_4_0_SPANISH</t>
  </si>
  <si>
    <t>PHRASE_DIALOG_WAITER_W_INVITATION_OPTION_2_0</t>
  </si>
  <si>
    <t>ACTION_SPAWN_FIK_1, ACTION_SPWAN_GERMAN_1</t>
  </si>
  <si>
    <t>SOUND_PHRASE_DIALOG_SILVANA_GARDEN_2_OPTION_4_1</t>
  </si>
  <si>
    <t>PHRASE_DIALOG_MANYO_WORKS_CITY_2</t>
  </si>
  <si>
    <t>SOUND_SILVANA_GARDEN_CONV2_4_1_SPANISH</t>
  </si>
  <si>
    <t>By the moment... Just wait. I guess Pharmacist in this street was looking for help</t>
  </si>
  <si>
    <t>Por el momento... Espera. Creo que el boticario de esta calle estaba buscando ayuda</t>
  </si>
  <si>
    <t>SOUND_PHRASE_DIALOG_SILVANA_GARDEN_2_OPTION_4_2</t>
  </si>
  <si>
    <t>PHRASE_DIALOG_WAITER_W_INVITATION_INTRO_0, PHRASE_DIALOG_WAITER_W_INVITATION_INTRO_1</t>
  </si>
  <si>
    <t>SOUND_SILVANA_GARDEN_CONV2_4_2_SPANISH</t>
  </si>
  <si>
    <t>UNCHAIN_MANYO_BCKG_DIALOGUE</t>
  </si>
  <si>
    <t>PHRASE_DIALOG_MANYO_MENU_DAY_1</t>
  </si>
  <si>
    <t>SOUND_PHRASE_DIALOG_SILVANA_GARDEN_2_OPTION_4_3</t>
  </si>
  <si>
    <t>SOUND_SILVANA_GARDEN_CONV2_4_3_SPANISH</t>
  </si>
  <si>
    <t>ACTION_DIALOGUE_MANYO_BCKG</t>
  </si>
  <si>
    <t>PHRASE_DIALOG_CLOWN_DRUNK_INTRO_1, PHRASE_DIALOG_CLOWN_DRUNK_INTRO_2</t>
  </si>
  <si>
    <t>What are you cooking today?</t>
  </si>
  <si>
    <t>Qué cocináis para hoy?</t>
  </si>
  <si>
    <t>SOUND_PHRASE_DIALOG_SILVANA_GARDEN_2_OPTION_4_4</t>
  </si>
  <si>
    <t>SOUND_SILVANA_GARDEN_CONV2_4_4_SPANISH</t>
  </si>
  <si>
    <t>PHRASE_DIALOG_MANYO_MENU_DAY_2</t>
  </si>
  <si>
    <t>UNCHAIN_POOR_MAN_WC_BCKG_DIALOGUE</t>
  </si>
  <si>
    <t>SOUND_PHRASE_DIALOG_SILVANA_GARDEN_2_OPTION_4_5</t>
  </si>
  <si>
    <t>PHRASE_DIALOG_ARTURO_DRUNK_INTRO_1, PHRASE_DIALOG_ARTURO_DRUNK_INTRO_2</t>
  </si>
  <si>
    <t>SOUND_SILVANA_GARDEN_CONV2_4_5_SPANISH</t>
  </si>
  <si>
    <t>How good is you are asking for it!</t>
  </si>
  <si>
    <t>Qué bueno que lo preguntes!</t>
  </si>
  <si>
    <t>ACTION_DIALOGUE_TALK_POOR_MAN_WC_BCKG</t>
  </si>
  <si>
    <t>SOUND_PHRASE_DIALOG_SILVANA_GARDEN_2_OPTION_4_6</t>
  </si>
  <si>
    <t>SOUND_SILVANA_GARDEN_CONV2_4_6_SPANISH</t>
  </si>
  <si>
    <t>DIALOG_ARTURO_DRUNK_OPTION_0</t>
  </si>
  <si>
    <t>PHRASE_DIALOG_MANYO_MENU_DAY_3</t>
  </si>
  <si>
    <t>ACTION_START_DRUNK_TEST_CARD_GAME</t>
  </si>
  <si>
    <t>PHRASE_DIALOG_ARTURO_DRUNK_OPTION_0_0</t>
  </si>
  <si>
    <t>SOUND_PHRASE_DIALOG_PAMFRY_1_OPTION_0_0</t>
  </si>
  <si>
    <t>We have boar from La Mancha with potatoes. Also carrot for dessert</t>
  </si>
  <si>
    <t>SOUND_PAMFRY_0_SPANISH</t>
  </si>
  <si>
    <t>UNCHAIN_EXTRAPERLO_DOOR</t>
  </si>
  <si>
    <t>Tenemos jabalí manchego con patatas. Y de postre zanahoria</t>
  </si>
  <si>
    <t>SOUND_PHRASE_DIALOG_PAMFRY_1_OPTION_0_1</t>
  </si>
  <si>
    <t>DIALOG_ARTURO_DRUNK_OPTION_1</t>
  </si>
  <si>
    <t>SOUND_PAMFRY_1_SPANISH</t>
  </si>
  <si>
    <t>ACTION_SPAWN_EXTRAPERLO_DOOR</t>
  </si>
  <si>
    <t>PHRASE_DIALOG_MANYO_MENU_DAY_4</t>
  </si>
  <si>
    <t>PHRASE_MAINCHAR_GOOD_NIGHT_DRUNK</t>
  </si>
  <si>
    <t>SOUND_PHRASE_DIALOG_PAMFRY_1_OPTION_0_2</t>
  </si>
  <si>
    <t>SOUND_PAMFRY_2_SPANISH</t>
  </si>
  <si>
    <t>Yuuk</t>
  </si>
  <si>
    <t>Puaj</t>
  </si>
  <si>
    <t>SOUND_GUNSHOT</t>
  </si>
  <si>
    <t>UNCHAIN_SHOW_EXTRAPERLO_DOOR_OPENED</t>
  </si>
  <si>
    <t>DIALOG_SILVANA_DRUNK_OPTION_0</t>
  </si>
  <si>
    <t>PHRASE_DIALOG_MANYO_MENU_DAY_5</t>
  </si>
  <si>
    <t>EVENT_EXTRAPERLO_SAID_PHRASE</t>
  </si>
  <si>
    <t>PHRASE_DIALOG_SILVANA_DRUNK_OPTION_0_0, PHRASE_DIALOG_SILVANA_DRUNK_OPTION_0_1, PHRASE_DIALOG_SILVANA_DRUNK_OPTION_0_2, PHRASE_DIALOG_SILVANA_DRUNK_OPTION_0_3, PHRASE_DIALOG_SILVANA_DRUNK_OPTION_0_4</t>
  </si>
  <si>
    <t>ACTION_SPAWN_EXTRAPERLO_WALL, ACTION_DESPAWN_EXTRAPERLO_DOOR, ACTION_SPAWN_EXTRAPERLO_DOOR_REAL</t>
  </si>
  <si>
    <t>SOUND_PHRASE_SILVANA_ASKING_BILL</t>
  </si>
  <si>
    <t>Are you eating here today?</t>
  </si>
  <si>
    <t>Comerás aquí hoy?</t>
  </si>
  <si>
    <t>SOUND_SILVANA_ASKING_BILL_SPANISH</t>
  </si>
  <si>
    <t>DIALOG_SILVANA_DRUNK_OPTION_1</t>
  </si>
  <si>
    <t>SOUND_PHRASE_RECAP_EXTRAPERLO_1</t>
  </si>
  <si>
    <t>PHRASE_DIALOG_MANYO_MENU_DAY_6</t>
  </si>
  <si>
    <t>SOUND_MAINCHAR_RECAP_EXTRAPERLO_GARDEN_1_SPANISH</t>
  </si>
  <si>
    <t>UNCHAIN_SET_SPRITE_WATER_FLOWING_DAY</t>
  </si>
  <si>
    <t>Nope</t>
  </si>
  <si>
    <t>No</t>
  </si>
  <si>
    <t>SOUND_PHRASE_RECAP_EXTRAPERLO_2</t>
  </si>
  <si>
    <t>SOUND_MAINCHAR_RECAP_EXTRAPERLO_GARDEN_2_SPANISH</t>
  </si>
  <si>
    <t>ACTION_ANIMATE_WATER_FLOWING_DAY</t>
  </si>
  <si>
    <t>ACTION_EVENT_OLIVE_OFFERED, ACTION_ANIMATE_SILVANA_OPENING_BOOK_1, ACTION_ANIMATE_SILVANA_OPENING_BOOK_2</t>
  </si>
  <si>
    <t>MUSIC_DREAM_1</t>
  </si>
  <si>
    <t>PHRASE_DIALOG_MANYO_CROWD_1</t>
  </si>
  <si>
    <t>PHRASE_DIALOG_SILVANA_OLIVE_OPTION_0_0, PHRASE_DIALOG_SILVANA_OLIVE_OPTION_0_1, PHRASE_DIALOG_SILVANA_OLIVE_OPTION_0_2, PHRASE_DIALOG_SILVANA_OLIVE_OPTION_0_3</t>
  </si>
  <si>
    <t>It's incredible. There is no free place this night!</t>
  </si>
  <si>
    <t>SOUND_OBSERVE_DREAM_RADIO</t>
  </si>
  <si>
    <t>Impresionante. No queda un hueco esta noche</t>
  </si>
  <si>
    <t>UNCHAIN_SET_SPRITE_WATER_FLOWING_NIGHT</t>
  </si>
  <si>
    <t>SOUND_OBSERVE_DREAM_RADIO_SPANISH</t>
  </si>
  <si>
    <t>DIALOG_WAITER_OPTION_TERRACE</t>
  </si>
  <si>
    <t>EVENT_OLIVE_OFFERED</t>
  </si>
  <si>
    <t>ACTION_MOVE_WAYPOINT_WAITER_TERRACE, ACTION_EVENT_DRUNK_STATE_REMOVE, ACTION_SCENE_EXTRAPERLO_TERRACE</t>
  </si>
  <si>
    <t>ACTION_ANIMATE_WATER_FLOWING_NIGHT</t>
  </si>
  <si>
    <t>SOUND_MAINCHAR_ENTRY_DIALOG_DREAM_1</t>
  </si>
  <si>
    <t>PHRASE_DIALOG_MANYO_CROWD_2</t>
  </si>
  <si>
    <t>SOUND_MAINCHAR_ENTRY_DIALOG_DREAM_1_SPANISH</t>
  </si>
  <si>
    <t>PHRASE_DIALOG_WAITER_TERRACE_OPTION_0_0, PHRASE_DIALOG_WAITER_TERRACE_OPTION_0_1, PHRASE_DIALOG_WAITER_TERRACE_OPTION_0_2, PHRASE_DIALOG_WAITER_TERRACE_OPTION_0_3, PHRASE_DIALOG_WAITER_TERRACE_OPTION_0_4</t>
  </si>
  <si>
    <t>They are tasting boar with potatoes! But I fear they won't come again if we don't offer new menus</t>
  </si>
  <si>
    <t>SOUND_RADIO_PRE_WAR_1</t>
  </si>
  <si>
    <t>Están probando el jabalí con patatas! Pero temo que no volverán hasta que no ofrezcamos menus nuevos</t>
  </si>
  <si>
    <t>UNCHAINER_ITEM_OBJECT_OLIVE_BOWL_SPAWN</t>
  </si>
  <si>
    <t>SOUND_CHAPTER_IN</t>
  </si>
  <si>
    <t>PHRASE_DIALOG_MANYO_CROWD_3</t>
  </si>
  <si>
    <t>ACTION_MOVE_AFTER_PEE, ACTION_ZOOM_SILVANA_SHOCKED_ZONE, ACTION_ANIMATE_SILVANA_SHOCKED_ANGRY, ACTION_DIALOGUE_SILVANA_OBSERVE_PEE</t>
  </si>
  <si>
    <t>EVENT_WAITER_EXTRAPERLO_GAVE_OLIVES</t>
  </si>
  <si>
    <t>ACTION_SPAWN_ITEM_OBJECT_OLIVE_BOWL</t>
  </si>
  <si>
    <t>PHRASE_ABOUT_PEE_PLANT, PHRASE_BLANK_PEE_SOUND</t>
  </si>
  <si>
    <t>Do you know of a new receipt for this restaurant? You wanted to be cooker. Right?</t>
  </si>
  <si>
    <t>Conoces nuevas recetas para el restaurante? Tú querías ser cocinero. Verdad?</t>
  </si>
  <si>
    <t>SOUND_OBSERVE_CLASSROOM_PORTRAIT</t>
  </si>
  <si>
    <t>SOUND_OBSERVE_CLASSROOM_PORTRAIT_SPANISH</t>
  </si>
  <si>
    <t>SOUND_OBSERVE_CLOCK</t>
  </si>
  <si>
    <t>PHRASE_DIALOG_MANYO_CROWD_4</t>
  </si>
  <si>
    <t>UNCHAINER_ITEM_OBJECT_BEER_FULL_SPAWN</t>
  </si>
  <si>
    <t>SOUND_OBSERVE_CLOCK_SPANISH</t>
  </si>
  <si>
    <t>ACTION_SET_GAME_ANIMATION_MODE, ACTION_ZOOM_GARDEN_OUT, ACTION_MOVE_SILVANA_GARDEN_TALK_APROACH, ACTION_TALK_DIALOG_SILVANA_GARDEN_1</t>
  </si>
  <si>
    <t>PHRASE_SILVANA_OBSERVED_PEE</t>
  </si>
  <si>
    <t>If you find out new recipes. Don't hesitate and come one morning and tell me. I will reward you</t>
  </si>
  <si>
    <t>EVENT_BEER_JAR_READY</t>
  </si>
  <si>
    <t>Si averiguas nuevas recetas. No dudes en acercarte una mañana y contarme. Te recompensaré</t>
  </si>
  <si>
    <t>SOUND_MAINCHAR_ENTRY_DIALOG_DREAM_1_FRAMEWORK</t>
  </si>
  <si>
    <t>ACTION_SPAWN_ITEM_OBJECT_BEER_FULL</t>
  </si>
  <si>
    <t>SOUND_MAINCHAR_ENTRY_DIALOG_DREAM_1_FRAMEWORK_SPANISH</t>
  </si>
  <si>
    <t>PHRASE_DIALOG_MANYO_CROWD_5</t>
  </si>
  <si>
    <t>SOUND_OBSERVE_SULTAN</t>
  </si>
  <si>
    <t>SOUND_OBSERVE_SULTAN_SPANISH</t>
  </si>
  <si>
    <t>ACTION_SCENE_EXTRAPERLO_TERRACE_2</t>
  </si>
  <si>
    <t>I'll review my sources and keep you informed. Sir!</t>
  </si>
  <si>
    <t>Revisaré mis fuentes y te mantendré informado. Señor!</t>
  </si>
  <si>
    <t>UNCHAINER_DIALOG_MAINCHAR_NEED_ORINE</t>
  </si>
  <si>
    <t>PHRASE_DIALOG_SILVANA_GARDEN_1_OPTION_0_0, PHRASE_DIALOG_SILVANA_GARDEN_1_OPTION_0_1, PHRASE_DIALOG_SILVANA_GARDEN_1_OPTION_0_2, PHRASE_DIALOG_SILVANA_GARDEN_1_OPTION_0_3, PHRASE_DIALOG_SILVANA_GARDEN_1_OPTION_0_4</t>
  </si>
  <si>
    <t>SOUND_OBSERVE_PILAR</t>
  </si>
  <si>
    <t>SOUND_OBSERVE_PILAR_SPANISH</t>
  </si>
  <si>
    <t>EVENT_NEED_ORINE_SAID</t>
  </si>
  <si>
    <t>(NOT)EVENT_NEED_ORINE_SAID</t>
  </si>
  <si>
    <t>ACTION_EVENT_NEED_ORINE_SAID, ACTION_OBTAIN_FULL_BLADDER, ACTION_DIALOGUE_SIMPLE_MAINCHAR_NEED_ORINE</t>
  </si>
  <si>
    <t>SOUND_PHRASE_DIALOG_SULTAN_1_0</t>
  </si>
  <si>
    <t>SOUND_DIALOG_SULTAN_1_0_SPANISH</t>
  </si>
  <si>
    <t>DIALOG_SILVANA_GARDEN_2_OPTION_0</t>
  </si>
  <si>
    <t>Have a nice day!</t>
  </si>
  <si>
    <t>Que tenga un buen día!</t>
  </si>
  <si>
    <t>SOUND_PHRASE_DIALOG_SULTAN_1_1</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</si>
  <si>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</si>
  <si>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SOUND_DIALOG_SULTAN_1_1_SPANISH</t>
  </si>
  <si>
    <t>UNCHAIN_SILVANA_GARDEN_SPAWN</t>
  </si>
  <si>
    <t>PHRASE_MEMENTO_RECIPE_MISSION_1</t>
  </si>
  <si>
    <t>SOUND_PHRASE_DIALOG_PILAR_DREAM_1_OPTION_0_0</t>
  </si>
  <si>
    <t>EVENT_USED_ORINE_FLOWER</t>
  </si>
  <si>
    <t>SOUND_DIALOG_PILAR_INTRO_1_1_SPANISH</t>
  </si>
  <si>
    <t>ACTION_SPAWN_SILVANA_GARDEN</t>
  </si>
  <si>
    <t>Restaurant owner needs a new recipe to have new customers. He promises a reward</t>
  </si>
  <si>
    <t>DIALOG_SILVANA_GARDEN_2_OPTION_1</t>
  </si>
  <si>
    <t>El dueño del restaurante necesita una nueva receta para tener nuevos clientes. Él promete una recompensa</t>
  </si>
  <si>
    <t>SOUND_PHRASE_DIALOG_PILAR_DREAM_1_OPTION_0_1</t>
  </si>
  <si>
    <t>SOUND_DIALOG_PILAR_INTRO_1_2_SPANISH</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</si>
  <si>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</si>
  <si>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SOUND_PHRASE_DIALOG_PILAR_DREAM_1_OPTION_0_2</t>
  </si>
  <si>
    <t>UNCHAINER_DIALOG_SILVANA_MAINCHAR_GARDEN_LONG</t>
  </si>
  <si>
    <t>SOUND_DIALOG_PILAR_INTRO_1_3_SPANISH</t>
  </si>
  <si>
    <t>Is this umbrella yours? Somebody left it days ago. God people don't take what doesn't belong to them</t>
  </si>
  <si>
    <t>Es tuyo el paraguas? Alguien se lo dejó hace días. La gente de Dios no se apropia de lo que no es suyo</t>
  </si>
  <si>
    <t>DIALOG_SILVANA_GARDEN_2_OPTION_2</t>
  </si>
  <si>
    <t>SOUND_PHRASE_DIALOG_PILAR_DREAM_1_OPTION_0_3</t>
  </si>
  <si>
    <t>SOUND_DIALOG_PILAR_INTRO_1_4_SPANISH</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</si>
  <si>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</si>
  <si>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PHRASE_DIALOG_UMBRELLA_TAKEN</t>
  </si>
  <si>
    <t>SOUND_PHRASE_DIALOG_PILAR_DREAM_1_OPTION_0_4</t>
  </si>
  <si>
    <t>SOUND_DIALOG_PILAR_INTRO_1_5_SPANISH</t>
  </si>
  <si>
    <t>I'll give you back some day!</t>
  </si>
  <si>
    <t>UNCHAIN_RECAP_EXTRAPERLO_GARDEN_IN_ROOM</t>
  </si>
  <si>
    <t>Te lo traeré de vuelta algún día!</t>
  </si>
  <si>
    <t>SOUND_PHRASE_DIALOG_PILAR_DREAM_1_OPTION_0_5</t>
  </si>
  <si>
    <t>DIALOG_SILVANA_GARDEN_2_OPTION_3</t>
  </si>
  <si>
    <t>(NOT)EVENT_PENDING_RECAP_EXTRAPERLO_GARDEN</t>
  </si>
  <si>
    <t>SOUND_DIALOG_PILAR_INTRO_1_6_SPANISH</t>
  </si>
  <si>
    <t>EVENT_PENDING_RECAP_EXTRAPERLO_GARDEN</t>
  </si>
  <si>
    <t>ACTION_DIALOGUE_MAINCHAR_RECAP_EXTRAPERLO, ACTION_EVENT_REMOVE_PENDING_RECAP_EXTRAPERLO_GARDEN</t>
  </si>
  <si>
    <t>PHRASE_DIALOG_MANYO_BCKG_CROWD_1</t>
  </si>
  <si>
    <t>PHRASE_DIALOG_SILVANA_GARDEN_2_OPTION_3_0, PHRASE_DIALOG_SILVANA_GARDEN_2_OPTION_3_1</t>
  </si>
  <si>
    <t>SOUND_PHRASE_DIALOG_PILAR_BED_DREAM_1_OPTION_0_0</t>
  </si>
  <si>
    <t>SOUND_DIALOG_PILAR_BED_INTRO_1_1_SPANISH</t>
  </si>
  <si>
    <t>You must try the wine</t>
  </si>
  <si>
    <t>Tienes que probar el vino!</t>
  </si>
  <si>
    <t>SOUND_PHRASE_DIALOG_PILAR_BED_DREAM_1_OPTION_0_1</t>
  </si>
  <si>
    <t>DIALOG_SILVANA_GARDEN_2_OPTION_4</t>
  </si>
  <si>
    <t>SOUND_DIALOG_PILAR_BED_INTRO_1_2_SPANISH</t>
  </si>
  <si>
    <t>UNCHAIN_ENTRY_DIALOG_DREAM_1</t>
  </si>
  <si>
    <t>PHRASE_DIALOG_MANYO_BCKG_CROWD_2</t>
  </si>
  <si>
    <t>ACTION_SET_GAME_ANIMATION_MODE, ACTION_MOVE_PAMFRY_APPEAR, ACTION_TALK_DIALOG_PAMFRY_1</t>
  </si>
  <si>
    <t>SOUND_PHRASE_DIALOG_PILAR_BED_DREAM_1_OPTION_0_2</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</si>
  <si>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</si>
  <si>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ACTION_EVENT_REMOVE_PENDING_DREAM_1, ACTION_DIALOGUE_MAINCHAR_ENTRY_DREAM_1, ACTION_EVENT_PENDING_DESCRIBE_DREAM_FRAMEWORK</t>
  </si>
  <si>
    <t>SOUND_DIALOG_PILAR_BED_INTRO_1_3_SPANISH</t>
  </si>
  <si>
    <t>For sure! I'm getting dry with this meat</t>
  </si>
  <si>
    <t>Desde luego! Me estoy quedando seco con esta carne</t>
  </si>
  <si>
    <t>SOUND_PHRASE_DIALOG_PILAR_BED_DREAM_1_OPTION_0_3</t>
  </si>
  <si>
    <t>SOUND_DIALOG_PILAR_BED_INTRO_1_4_SPANISH</t>
  </si>
  <si>
    <t>PHRASE_DIALOG_MANYO_BCKG_CROWD_3</t>
  </si>
  <si>
    <t>UNCHAIN_PLAY_SOUND_CHAPTER_IN</t>
  </si>
  <si>
    <t>SOUND_PHRASE_DIALOG_PILAR_BED_DREAM_1_OPTION_0_3_2</t>
  </si>
  <si>
    <t>SOUND_DIALOG_PILAR_BED_INTRO_1_4_2_SPANISH</t>
  </si>
  <si>
    <t>Card match is promising this night</t>
  </si>
  <si>
    <t>La partida de naipes esta noche va a ser de cine</t>
  </si>
  <si>
    <t>PHRASE_DIALOG_SILVANA_GARDEN_2_INTRO_0, PHRASE_DIALOG_SILVANA_GARDEN_2_INTRO_1, PHRASE_DIALOG_SILVANA_GARDEN_2_INTRO_2</t>
  </si>
  <si>
    <t>ACTION_PLAY_SOUND_CHAPTER_IN</t>
  </si>
  <si>
    <t>SOUND_PHRASE_DIALOG_PILAR_BED_DREAM_1_OPTION_0_4</t>
  </si>
  <si>
    <t>SOUND_DIALOG_PILAR_BED_INTRO_1_5_SPANISH</t>
  </si>
  <si>
    <t>PHRASE_OBSERVE_ITEM_HIVE1_POOR_MAN_WC</t>
  </si>
  <si>
    <t>SOUND_PHRASE_DIALOG_PILAR_BED_DREAM_1_OPTION_0_4_2</t>
  </si>
  <si>
    <t>SOUND_DIALOG_PILAR_BED_INTRO_1_5_2_SPANISH</t>
  </si>
  <si>
    <t>It was a poor man suffering of a bad dinner</t>
  </si>
  <si>
    <t>Era un pobre hombre sufriendo de una mala cena</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</si>
  <si>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</si>
  <si>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UNCHAIN_CLEAR_EPHIMERAL_ON</t>
  </si>
  <si>
    <t>SOUND_PHRASE_DIALOG_PILAR_BED_DREAM_1_OPTION_0_5</t>
  </si>
  <si>
    <t>PHRASE_DIALOG_PAMFRY_1_OPTION_0_0</t>
  </si>
  <si>
    <t>SOUND_DIALOG_PILAR_BED_INTRO_1_6_SPANISH</t>
  </si>
  <si>
    <t>PHRASE_DIALOG_HIVE1_BCKG_POOR_MAN_WC_OPTION_0_0</t>
  </si>
  <si>
    <t>ACTION_EVENT_EPHIMERAL_OFF</t>
  </si>
  <si>
    <t>SOUND_PHRASE_DIALOG_PILAR_BED_DREAM_1_OPTION_0_6</t>
  </si>
  <si>
    <t>SOUND_DIALOG_PILAR_BED_INTRO_1_7_SPANISH</t>
  </si>
  <si>
    <t>(Prrrrr)</t>
  </si>
  <si>
    <t>SOUND_DREAM_FEMALE_CRY</t>
  </si>
  <si>
    <t>ACTION_DIALOGUE_GERMAN_SHOUTING_GARDEN</t>
  </si>
  <si>
    <t>UNCHAIN_ENTRY_DIALOG_DREAM_1_FRAMEWORK</t>
  </si>
  <si>
    <t>PHRASE_SHOOT_SOUND, PHRASE_DIALOG_PAMFRY_1_OPTION_0_1</t>
  </si>
  <si>
    <t>PHRASE_DIALOG_HIVE1_BCKG_POOR_MAN_WC_OPTION_1_0</t>
  </si>
  <si>
    <t>EVENT_PENDING_DESCRIBE_DREAM_FRAMEWORK</t>
  </si>
  <si>
    <t>SOUND_PHRASE_SULTAN_DID_NOT_EAT</t>
  </si>
  <si>
    <t>ACTION_EVENT_REMOVE_DESCRIBE_DREAM_FRAMEWORK, ACTION_DIALOGUE_MAINCHAR_ENTRY_DREAM_1_FRAMEWORK</t>
  </si>
  <si>
    <t>SOUND_SULTAN_DID_NOT_EAT_SPANISH</t>
  </si>
  <si>
    <t>Is this going to end somewhen?</t>
  </si>
  <si>
    <t>Esto va a acabar algún día?</t>
  </si>
  <si>
    <t>SOUND_PHRASE_DIALOG_ALTER_EGO_DREAM_1_OPTION_0_0</t>
  </si>
  <si>
    <t>ACTION_DIALOGUE_SILVANA_ASKING_BILL</t>
  </si>
  <si>
    <t>SOUND_DIALOG_ALTER_EGO_DREAM_1_INTRO_1_1_SPANISH</t>
  </si>
  <si>
    <t>PHRASE_DIALOG_PAMFRY_1_OPTION_0_2</t>
  </si>
  <si>
    <t>PHRASE_DIALOG_HIVE1_BCKG_POOR_MAN_WC_OPTION_2_0</t>
  </si>
  <si>
    <t>UNCHAIN_ENTRY_DIALOG_DREAM_1_BED_PILAR</t>
  </si>
  <si>
    <t>SOUND_PHRASE_DIALOG_ALTER_EGO_DREAM_1_OPTION_0_1</t>
  </si>
  <si>
    <t>SOUND_DIALOG_ALTER_EGO_DREAM_1_INTRO_1_2_SPANISH</t>
  </si>
  <si>
    <t>This is torture</t>
  </si>
  <si>
    <t>Esto es una tortura</t>
  </si>
  <si>
    <t>ACTION_TALK_DIALOG_PILAR_BED_DREAM_1</t>
  </si>
  <si>
    <t>SOUND_PHRASE_DIALOG_ALTER_EGO_DREAM_1_OPTION_0_2</t>
  </si>
  <si>
    <t>SOUND_DIALOG_ALTER_EGO_DREAM_1_INTRO_1_3_SPANISH</t>
  </si>
  <si>
    <t>PHRASE_DIALOG_HIVE1_BCKG_POOR_MAN_WC_OPTION_3_0</t>
  </si>
  <si>
    <t>ACTION_ZOOM_ALL_END_GARDEN_SCENE, ACTION_OBTAIN_HIVE1_CARDS, ACTION_EVENT_CARDS_PICKABLE_TAKEN, ACTION_EVENT_PENDING_RECAP_EXTRAPERLO_GARDEN, ACTION_EVENT_PENDING_DREAM_1, ACTION_SCENE_BACK_TO_HIVE1_ROOM</t>
  </si>
  <si>
    <t>SOUND_PHRASE_DIALOG_ALTER_EGO_DREAM_1_OPTION_0_3</t>
  </si>
  <si>
    <t>PHRASE_SILVANA_ASKING_BILL</t>
  </si>
  <si>
    <t>I should have never eat that dinner</t>
  </si>
  <si>
    <t>Nunca debí cenar allí</t>
  </si>
  <si>
    <t>SOUND_DIALOG_ALTER_EGO_DREAM_1_INTRO_1_4_SPANISH</t>
  </si>
  <si>
    <t>UNCHAIN_SOUND_FEMALE_CRY</t>
  </si>
  <si>
    <t>SOUND_PHRASE_DIALOG_ALTER_EGO_DREAM_1_OPTION_0_4</t>
  </si>
  <si>
    <t>PHRASE_DIALOG_HIVE1_POOR_MAN_WC_OPTION_0_0</t>
  </si>
  <si>
    <t>SOUND_DIALOG_ALTER_EGO_DREAM_1_INTRO_1_5_SPANISH</t>
  </si>
  <si>
    <t>ACTION_SOUND_DREAM_FEMALE_CRY</t>
  </si>
  <si>
    <t>Terrible night. Ah?</t>
  </si>
  <si>
    <t>Terrible noche. No?</t>
  </si>
  <si>
    <t>SOUND_PHRASE_DIALOG_ALTER_EGO_DREAM_1_OPTION_0_5</t>
  </si>
  <si>
    <t>SOUND_DIALOG_ALTER_EGO_DREAM_1_INTRO_1_6_SPANISH</t>
  </si>
  <si>
    <t>PHRASE_MAINCHAR_RECAP_EXTRAPERLO_1, PHRASE_MAINCHAR_RECAP_EXTRAPERLO_2</t>
  </si>
  <si>
    <t>PHRASE_DIALOG_HIVE1_POOR_MAN_WC_OPTION_0_1</t>
  </si>
  <si>
    <t>SOUND_PHRASE_DIALOG_ALTER_EGO_DREAM_1_OPTION_0_6</t>
  </si>
  <si>
    <t>SOUND_DIALOG_ALTER_EGO_DREAM_1_INTRO_1_7_SPANISH</t>
  </si>
  <si>
    <t>It was that Maño restaurant. Boar was terrible</t>
  </si>
  <si>
    <t>Era el restaurante del Maño. El jabalí estaba horrible</t>
  </si>
  <si>
    <t>UNCHAIN_ALTER_EGO_DREAM_1_SPAWN</t>
  </si>
  <si>
    <t>SOUND_PHRASE_DIALOG_ALTER_EGO_DREAM_1_OPTION_0_7</t>
  </si>
  <si>
    <t>(NOT)EVENT_ALTER_EGO_DREAM_1_TALKED</t>
  </si>
  <si>
    <t>SOUND_DIALOG_ALTER_EGO_DREAM_1_INTRO_1_8_SPANISH</t>
  </si>
  <si>
    <t>PHRASE_DIALOG_HIVE1_POOR_MAN_WC_OPTION_0_2</t>
  </si>
  <si>
    <t>ACTION_SPAWN_ALTER_EGO</t>
  </si>
  <si>
    <t>SOUND_PHRASE_DIALOG_ALTER_EGO_DREAM_1_OPTION_0_8</t>
  </si>
  <si>
    <t>PHRASE_DIALOG_SULTAN_1_0, PHRASE_DIALOG_SULTAN_1_1</t>
  </si>
  <si>
    <t>SOUND_DIALOG_ALTER_EGO_DREAM_1_INTRO_1_9_SPANISH</t>
  </si>
  <si>
    <t>I saw it full of people. Don't think it was in bad state</t>
  </si>
  <si>
    <t>Lo vi a reventar de gente. No creo que estuviera precisamente malo</t>
  </si>
  <si>
    <t>SOUND_PHRASE_DIALOG_ALTER_EGO_DREAM_1_OPTION_0_9</t>
  </si>
  <si>
    <t>UNCHAINER_ITEM_FIG_TAKE_1</t>
  </si>
  <si>
    <t>SOUND_DIALOG_ALTER_EGO_DREAM_1_INTRO_1_10_SPANISH</t>
  </si>
  <si>
    <t>PHRASE_DIALOG_HIVE1_POOR_MAN_WC_OPTION_0_3</t>
  </si>
  <si>
    <t>EVENT_ITEM_FIG_PICKABLE_TAKEN</t>
  </si>
  <si>
    <t>ACTION_SET_GAME_ANIMATION_MODE, ACTION_ANIMATE_PILAR_STEADY, ACTION_MAINCHAR_DREAM_INVISIBLE, ACTION_ANIMATE_PILAR_KISSING, ACTION_SCENE_DREAM1_BEDROOM_NIGHT</t>
  </si>
  <si>
    <t>SOUND_PHRASE_DIALOG_ALTER_EGO_DREAM_1_OPTION_0_10</t>
  </si>
  <si>
    <t>ACTION_DESTROY_ITEM_FIG</t>
  </si>
  <si>
    <t>Well. Maybe my stomach is not in mood!</t>
  </si>
  <si>
    <t>Bueno. Mi estómago no está por la labor</t>
  </si>
  <si>
    <t>SOUND_DIALOG_ALTER_EGO_DREAM_1_INTRO_1_11_SPANISH</t>
  </si>
  <si>
    <t>PHRASE_DIALOG_PILAR_DREAM_1_OPTION_0_0, PHRASE_DIALOG_PILAR_DREAM_1_OPTION_0_1, PHRASE_DIALOG_PILAR_DREAM_1_OPTION_0_2, PHRASE_DIALOG_PILAR_DREAM_1_OPTION_0_3, PHRASE_DIALOG_PILAR_DREAM_1_OPTION_0_4, PHRASE_DIALOG_PILAR_DREAM_1_OPTION_0_5</t>
  </si>
  <si>
    <t>MUSIC_SHADOW</t>
  </si>
  <si>
    <t>PHRASE_DIALOG_HIVE1_POOR_MAN_WC_OPTION_1_0</t>
  </si>
  <si>
    <t>UNCHAIN_RECAP_DREAM_1</t>
  </si>
  <si>
    <t>Are you going to end today?</t>
  </si>
  <si>
    <t>SOUND_OBSERVE_ALTER_EGO_DREAM_1</t>
  </si>
  <si>
    <t>Piensas terminar algún día?</t>
  </si>
  <si>
    <t>ACTION_SET_GAME_ANIMATION_MODE, ACTION_ZOOM_WINDOW, ACTION_SCENE_DREAM1_CORRIDOR_NIGHT</t>
  </si>
  <si>
    <t>SOUND_OBSERVE_ALTER_EGO_DREAM_1_SPANISH</t>
  </si>
  <si>
    <t>(NOT)EVENT_PENDING_RECAP_DREAM_1</t>
  </si>
  <si>
    <t>EVENT_PENDING_RECAP_DREAM_1</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</si>
  <si>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</si>
  <si>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SOUND_OBSERVE_FIG_PICKABLE</t>
  </si>
  <si>
    <t>ACTION_DIALOGUE_MAINCHAR_RECAP_DREAM_1, ACTION_EVENT_CLEAR_PENDING_RECAP_DREAM_1</t>
  </si>
  <si>
    <t>PHRASE_DIALOG_HIVE1_POOR_MAN_WC_OPTION_1_1</t>
  </si>
  <si>
    <t>SOUND_OBSERVE_FIG_SPANISH</t>
  </si>
  <si>
    <t>Haha. Very funny. If I could. I would be out there. Night is young</t>
  </si>
  <si>
    <t>Jaja. Muy gracioso. Si pudiera. Estaría por allí. La noche es joven</t>
  </si>
  <si>
    <t>SOUND_DOG_BARKING</t>
  </si>
  <si>
    <t>ACTION_ANIMATE_ALTER_EGO_DISAPPEAR, ACTION_EVENT_ALTER_EGO_DREAM_1_TALKED, ACTION_DESPAWN_ALTER_EGO</t>
  </si>
  <si>
    <t>UNCHAIN_LAST</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</si>
  <si>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</si>
  <si>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SOUND_MAINCHAR_FAREWELL_DREAM_1</t>
  </si>
  <si>
    <t>PHRASE_DIALOG_HIVE1_POOR_MAN_WC_OPTION_2_0</t>
  </si>
  <si>
    <t>SOUND_MAINCHAR_FAREWELL_DREAM_1_SPANISH</t>
  </si>
  <si>
    <t>How can I help you?</t>
  </si>
  <si>
    <t>Como podría ayudarte?</t>
  </si>
  <si>
    <t>SOUND_MAINCHAR_RECAP_DREAM_1</t>
  </si>
  <si>
    <t>SOUND_MAINCHAR_RECAP_DREAM_1_SPANISH</t>
  </si>
  <si>
    <t>DIALOG_OPTION_LAST</t>
  </si>
  <si>
    <t>PHRASE_DIALOG_HIVE1_POOR_MAN_WC_OPTION_2_1</t>
  </si>
  <si>
    <t>MUSIC_STATION_1</t>
  </si>
  <si>
    <t>ACTION_ID</t>
  </si>
  <si>
    <t>This nasty Inn is cutting water at night. I cannot let this in this state</t>
  </si>
  <si>
    <t>WaitForEnd</t>
  </si>
  <si>
    <t>Esta asquerosa pocilga está cortando el agua por las noches. No puedo dejar esto así</t>
  </si>
  <si>
    <t>Type</t>
  </si>
  <si>
    <t>TargetItem</t>
  </si>
  <si>
    <t>TargetSprite</t>
  </si>
  <si>
    <t>MUSIC_MAP</t>
  </si>
  <si>
    <t>TargetCharacter</t>
  </si>
  <si>
    <t>TargetMemento</t>
  </si>
  <si>
    <t>TargetEvents</t>
  </si>
  <si>
    <t>TargetDecision</t>
  </si>
  <si>
    <t>TargetMomentOfDay</t>
  </si>
  <si>
    <t>PHRASE_DIALOG_HIVE1_POOR_MAN_WC_OPTION_2_2</t>
  </si>
  <si>
    <t>TargetDialogue</t>
  </si>
  <si>
    <t>TargetPhrase</t>
  </si>
  <si>
    <t>SOUND_LAST</t>
  </si>
  <si>
    <t>TriggerAnimation</t>
  </si>
  <si>
    <t>TargetAnimation</t>
  </si>
  <si>
    <t>Ahh. I see...</t>
  </si>
  <si>
    <t>TargetSound</t>
  </si>
  <si>
    <t>Ahh. Ya veo..</t>
  </si>
  <si>
    <t>TargetScene</t>
  </si>
  <si>
    <t>TargetWaypointTag</t>
  </si>
  <si>
    <t>OptionBoolNullable1</t>
  </si>
  <si>
    <t>OptionBoolNullable2</t>
  </si>
  <si>
    <t>OptionInt</t>
  </si>
  <si>
    <t>Delay (Cycles)</t>
  </si>
  <si>
    <t>TargetCardGame</t>
  </si>
  <si>
    <t>PHRASE_DIALOG_HIVE1_POOR_MAN_WC_OPTION_2_3</t>
  </si>
  <si>
    <t>Could you please talk to someone to bring water again?</t>
  </si>
  <si>
    <t>Podrías por favor hablar con alguien para que vuelva el agua?</t>
  </si>
  <si>
    <t>ACTION_TYPE_NONE</t>
  </si>
  <si>
    <t>MEMENTO_NONE</t>
  </si>
  <si>
    <t>PHRASE_DIALOG_HIVE1_POOR_MAN_WC_OPTION_2_4</t>
  </si>
  <si>
    <t>I will see what can I do. But personnel is absent during day. Even worse at night</t>
  </si>
  <si>
    <t>ANIMATION_NONE</t>
  </si>
  <si>
    <t>Veré lo que puedo hacer. Pero si ya el personal está ausente durante el día. Imagina por la noche</t>
  </si>
  <si>
    <t>ROOM_NONE</t>
  </si>
  <si>
    <t>NONE</t>
  </si>
  <si>
    <t>CARD_GAME_NONE</t>
  </si>
  <si>
    <t>I need to go. Sorry for your situation!</t>
  </si>
  <si>
    <t>Necesito irme. Lamento la situación!</t>
  </si>
  <si>
    <t>PHRASE_DIALOG_HIVE1_POOR_MAN_WC_INTRO_0</t>
  </si>
  <si>
    <t>ROOM_ID</t>
  </si>
  <si>
    <t>BackgroundSprite</t>
  </si>
  <si>
    <t>BackgroundMusic</t>
  </si>
  <si>
    <t>NeededBackgrounds_Sprites</t>
  </si>
  <si>
    <t>NeededItems</t>
  </si>
  <si>
    <t>NeededPrefabs</t>
  </si>
  <si>
    <t>Did you come to laugh at my disgrace?</t>
  </si>
  <si>
    <t>NeededSounds</t>
  </si>
  <si>
    <t>Viniste a reirte de mi desgracia?</t>
  </si>
  <si>
    <t>BackgroundActionConditions (6s)</t>
  </si>
  <si>
    <t>OnEntryConditions</t>
  </si>
  <si>
    <t>ACTION_TYPE_CHANGE_MOMENT_DAY</t>
  </si>
  <si>
    <t>OnExitConditions</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</si>
  <si>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</si>
  <si>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</si>
  <si>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</si>
  <si>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</si>
  <si>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</si>
  <si>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</si>
  <si>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</si>
  <si>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</si>
  <si>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CHARACTER_TYPE_ID</t>
  </si>
  <si>
    <t>El pobre hombre no puede irse porque no hay agua en las cisternas de los inodoros</t>
  </si>
  <si>
    <t>HIVE1_ROOM_1</t>
  </si>
  <si>
    <t>Value</t>
  </si>
  <si>
    <t>BACKGROUND_HIVE1_ROOM1, SPRITE_ITEM_DECO_BED_LAYER</t>
  </si>
  <si>
    <t>ITEM_HIVE1_CHEST, ITEM_HIVE1_WARDROBE, ITEM_HIVE1_WARDROBE_OPENED, ITEM_GENERIC_DOOR1, ITEM_HIVE1_PERFUME, ITEM_SOAP_PICKABLE, ITEM_HIVE1_BED, ITEM_PLAYER_MAIN</t>
  </si>
  <si>
    <t>PHRASE_MEMENTO_POOR_MAN_WC_2</t>
  </si>
  <si>
    <t>UNCHAIN_RECAP_EXTRAPERLO_GARDEN_IN_ROOM, UNCHAIN_RECAP_DREAM_1</t>
  </si>
  <si>
    <t>TRUE</t>
  </si>
  <si>
    <t>It seems to be a valve in back alley but is closed</t>
  </si>
  <si>
    <t>Parece haber una válvula en el callejón de atrás pero está cerrada</t>
  </si>
  <si>
    <t>FALSE</t>
  </si>
  <si>
    <t>HIVE1_CORRIDOR_1</t>
  </si>
  <si>
    <t>PHRASE_MEMENTO_POOR_MAN_WC_3</t>
  </si>
  <si>
    <t>BACKGROUND_HIVE1_CORRIDOR1, BACKGROUND_HIVE1_CORRIDOR1_N</t>
  </si>
  <si>
    <t>When water came back. This man gave me an invitation to a Pub where I could meet someone for a job</t>
  </si>
  <si>
    <t>ITEM_GENERIC_DOOR1, ITEM_HIVE1_NPC_REME, ITEM_PLAYER_MAIN</t>
  </si>
  <si>
    <t>Cuando el agua volvió. Este hombre me dio una invitación a un Pub donde podría conocer a alguien para un trabajo</t>
  </si>
  <si>
    <t>CHARACTER_BLANK</t>
  </si>
  <si>
    <t>ACTION_EVENT_INITIAL_MEMENTO</t>
  </si>
  <si>
    <t>PHRASE_OBSERVE_ITEM_HIVE1_ROACH</t>
  </si>
  <si>
    <t>CHARACTER_SILVANA</t>
  </si>
  <si>
    <t>ACTION_TYPE_EVENT</t>
  </si>
  <si>
    <t>ANIMATION_ID</t>
  </si>
  <si>
    <t>It is a tiny cockroach! The only living being human is terrified of</t>
  </si>
  <si>
    <t>Es una cucarachita pequeña! El único ser vivo al que el ser humano teme</t>
  </si>
  <si>
    <t>HIVE1_HALL_1</t>
  </si>
  <si>
    <t>ITEM_USE_ANIMATION_NONE</t>
  </si>
  <si>
    <t>BACKGROUND_HIVE1_HALL1, BACKGROUND_HIVE1_HALL1_N</t>
  </si>
  <si>
    <t>ITEM_USE_ANIMATION_NORMAL</t>
  </si>
  <si>
    <t>ITEM_USE_ANIMATION_TAKE</t>
  </si>
  <si>
    <t>ITEM_GENERIC_DOOR1, ITEM_GENERIC_DOOR2, ITEM_HIVE1_AD_BOARD, ITEM_HIVE1_EXIT_DOOR, ITEM_HIVE1_POOR_MAN_WC, ITEM_HIVE1_SHOELACE, ITEM_HIVE1_MAN_WC_CURED, ITEM_PLAYER_MAIN</t>
  </si>
  <si>
    <t>PHRASE_OBSERVE_ITEM_HIVE1_PIPE</t>
  </si>
  <si>
    <t>ITEM_USE_ANIMATION_CONFUSE</t>
  </si>
  <si>
    <t>ITEM_USE_ANIMATION_STARE_SCREEN</t>
  </si>
  <si>
    <t>This pipe may bring water to toilets and is comming from outside</t>
  </si>
  <si>
    <t>ITEM_USE_ANIMATION_POUR</t>
  </si>
  <si>
    <t>INTERACTION_ID</t>
  </si>
  <si>
    <t>PHRASE_TAKE_ITEM_HIVE1_ROACH_HEAD</t>
  </si>
  <si>
    <t>HIVE1_WC_1</t>
  </si>
  <si>
    <t>BACKGROUND_HIVE1_WC, BACKGROUND_HIVE1_WC_N</t>
  </si>
  <si>
    <t>It squeezed! I need to try it again or be smarter</t>
  </si>
  <si>
    <t>Se escapó! Necesito volver a intentarlo o ser más listo que ella</t>
  </si>
  <si>
    <t>INTERACTION_MOVE</t>
  </si>
  <si>
    <t>ITEM_GENERIC_DOOR1, ITEM_HIVE1_BASIN, ITEM_HIVE1_POOR_MAN_WC, ITEM_HIVE1_ROACH_HEAD, ITEM_HIVE1_PIPE, ITEM_PLAYER_MAIN</t>
  </si>
  <si>
    <t>ACTION_MEMENTO_INITIAL_MEMENTO</t>
  </si>
  <si>
    <t>ACTION_TYPE_MEMENTO</t>
  </si>
  <si>
    <t>MEMENTO_JOB_FIND_1_1</t>
  </si>
  <si>
    <t>PHRASE_OBSERVE_ITEM_HIVE1_VALVE_BOX</t>
  </si>
  <si>
    <t>It seems like a closed box for some mechanism</t>
  </si>
  <si>
    <t>Parece una caja de control de algún mecanismo</t>
  </si>
  <si>
    <t>CITY1_STREET_1</t>
  </si>
  <si>
    <t>BACKGROUND_CITY1_STREET1, BACKGROUND_CITY1_STREET1_N</t>
  </si>
  <si>
    <t>SOUND_AMBIENCE_CITY_DAY, SOUND_AMBIENCE_CITY_NIGHT</t>
  </si>
  <si>
    <t>ITEM_GENERIC_DOOR1, ITEM_STREET1_STH_DOOR, ITEM_STREET1_CENTER_DOOR, ITEM_PLAYER_MAIN</t>
  </si>
  <si>
    <t>PHRASE_OBSERVE_ITEM_HIVE1_BACKALLEY_PIPE</t>
  </si>
  <si>
    <t>INTERACTION_COMBINE</t>
  </si>
  <si>
    <t>Its a normal pipe</t>
  </si>
  <si>
    <t>Es una tubería normal</t>
  </si>
  <si>
    <t>ACTION_TYPE_ID</t>
  </si>
  <si>
    <t>CITY1_STREET_2</t>
  </si>
  <si>
    <t>PHRASE_OBSERVE_ITEM_HIVE1_BACKALLEY_PIPE_2</t>
  </si>
  <si>
    <t>BACKGROUND_CITY1_STREET2, BACKGROUND_CITY1_STREET2_N</t>
  </si>
  <si>
    <t>ACTION_SET_SPRITE_CHEST_OPENED</t>
  </si>
  <si>
    <t>ACTION_TYPE_SET_SPRITE</t>
  </si>
  <si>
    <t>ITEM_STREET2_PERIPH_DOOR, ITEM_PHARMACY_DOOR, ITEM_ELMANYO_DOOR, ITEM_PLAYER_MAIN</t>
  </si>
  <si>
    <t>This is the next part of toilets pipe. Therefore Its valve should be in that box</t>
  </si>
  <si>
    <t>Esta es la continuación de la tubería de los aseos. Por lo que la válvula debería estar en ese cuadro</t>
  </si>
  <si>
    <t>ACTION_TYPE_SPAWN</t>
  </si>
  <si>
    <t>ACTION_TYPE_DESPAWN</t>
  </si>
  <si>
    <t>PHRASE_OBSERVE_ITEM_HIVE1_VALVE_BOX_2</t>
  </si>
  <si>
    <t>ACTION_TYPE_DESTROY</t>
  </si>
  <si>
    <t>ACTION_TYPE_UNCLICKABLE</t>
  </si>
  <si>
    <t>PHARMACY_1</t>
  </si>
  <si>
    <t>Valve to activate water should be inside that box</t>
  </si>
  <si>
    <t>La válvula para abrir el agua debería estar dentro de ese cuadro</t>
  </si>
  <si>
    <t>ACTION_TYPE_INVISIBLE</t>
  </si>
  <si>
    <t>ITEM_GENERIC_DOOR1, ITEM_PHARMACY_NPC_QUEUE, ITEM_PHARMACY_NPC_OWNER, ITEM_PHARMACY_INKWELL, ITEM_PHARMACY_INK, ITEM_PLAYER_MAIN</t>
  </si>
  <si>
    <t>ACTION_TYPE_VISIBLE</t>
  </si>
  <si>
    <t>PHRASE_TAKE_VALVE_BOX_CLOSED</t>
  </si>
  <si>
    <t>Door is unlocked. But its hard to open. I can't put my fingers inside and open</t>
  </si>
  <si>
    <t>ACTION_SPAWN_HIVE1_CARDS</t>
  </si>
  <si>
    <t>La cerradura está abierta. Pero es difícil de abrir. No me caben los dedos en la rendija para abrir</t>
  </si>
  <si>
    <t>ACTION_TYPE_TRIGGER_ITEM_ANIMATION</t>
  </si>
  <si>
    <t>MANYO_1</t>
  </si>
  <si>
    <t>BACKGROUND_CITY1_MANYO, BACKGROUND_CITY1_MANYO_NIGHT</t>
  </si>
  <si>
    <t>ACTION_TYPE_EARN_ITEM</t>
  </si>
  <si>
    <t>ITEM_CITY1_UMBRELLA, ITEM_GENERIC_DOOR1, ITEM_ELMANYO_OWNER, ITEM_STUFFED_DEER, ITEM_ELMANYO_OWNER_NIGHT, ITEM_ELMANYO_CROWD, ITEM_PLAYER_MAIN</t>
  </si>
  <si>
    <t>ACTION_TYPE_LOSE_ITEM</t>
  </si>
  <si>
    <t>MUSIC_MANYO, SOUND_AMBIENCE_MANYO_NIGHT</t>
  </si>
  <si>
    <t>PHRASE_TAKE_VALVE_BOX_CLOSED_MORNING</t>
  </si>
  <si>
    <t>ACTION_TYPE_NOTIF</t>
  </si>
  <si>
    <t>I don't want to be seen manipulating things at this hour</t>
  </si>
  <si>
    <t>No quiero que me vean manipulando cosas a esta hora del día</t>
  </si>
  <si>
    <t>HIVE1_BACKALLEY</t>
  </si>
  <si>
    <t>BACKGROUND_BACKALLEY, BACKGROUND_BACKALLEY_NIGHT</t>
  </si>
  <si>
    <t>ACTION_TYPE_DECISION</t>
  </si>
  <si>
    <t>PHRASE_OBSERVE_ITEM_HIVE1_SHOELACE</t>
  </si>
  <si>
    <t>ITEM_GENERIC_DOOR1, ITEM_HIVE1_VALVE_BOX, ITEM_HIVE1_BACKALLEY_PIPE, ITEM_HIVE1_VALVE, ITEM_HIVE1_WATER_FLOWING, ITEM_PLAYER_MAIN</t>
  </si>
  <si>
    <t>ACTION_TYPE_START_DIALOGUE</t>
  </si>
  <si>
    <t>SOUND_AMBIENCE_CITY_DAY, SOUND_AMBIENCE_CITY_NIGHT, SOUND_AMBIENCE_WATER_FLOW</t>
  </si>
  <si>
    <t>It's a shoelace lost from some guest</t>
  </si>
  <si>
    <t>ACTION_TYPE_START_DIALOGUE_BCKG</t>
  </si>
  <si>
    <t>Es el cordón de bota de algún huesped</t>
  </si>
  <si>
    <t>ACTION_SPAWN_HIVE1_PERFUME</t>
  </si>
  <si>
    <t>ACTION_TYPE_START_ANIMATION</t>
  </si>
  <si>
    <t>ACTION_TYPE_PLAY_SOUND</t>
  </si>
  <si>
    <t>PHRASE_NO_REASON_TO_DO</t>
  </si>
  <si>
    <t>CITY1_SOUTH_STREET_1</t>
  </si>
  <si>
    <t>BACKGROUND_CITY1_SOUTH_STREET_1, BACKGROUND_CITY1_SOUTH_STREET_1_NIGHT</t>
  </si>
  <si>
    <t>ACTION_TYPE_STOP_SOUND</t>
  </si>
  <si>
    <t>ITEM_GENERIC_DOOR1, ITEM_GENERIC_DOOR2, ITEM_PLAYER_MAIN</t>
  </si>
  <si>
    <t>I don't have a reason to take it</t>
  </si>
  <si>
    <t>No tengo razón para cogerlo</t>
  </si>
  <si>
    <t>ACTION_TYPE_START_CARD_GAME</t>
  </si>
  <si>
    <t>ACTION_TYPE_SCENE_CHANGE</t>
  </si>
  <si>
    <t>PHRASE_TAKE_ITEM_HIVE1_SHOELACE</t>
  </si>
  <si>
    <t>ACTION_TYPE_MOVE_TO_WAYPOINT</t>
  </si>
  <si>
    <t>CITY1_SOUTH_STREET_2</t>
  </si>
  <si>
    <t>BACKGROUND_CITY1_SOUTH_STREET_2, BACKGROUND_CITY1_SOUTH_STREET_2_NIGHT</t>
  </si>
  <si>
    <t>Maybe it could be useful to open things</t>
  </si>
  <si>
    <t>ACTION_TYPE_EXEC_CUSTOM_FN</t>
  </si>
  <si>
    <t>Podría ser útil para abrir cosas</t>
  </si>
  <si>
    <t>MUSIC_SOUTH_NEIGH, SOUND_AMBIENCE_CITY_NIGHT</t>
  </si>
  <si>
    <t>ITEM_GENERIC_DOOR1, ITEM_NPC_FIK, ITEM_DOOR_EXTRAPERLO, ITEM_FOREGROUND_EXTRP_WALL, ITEM_DOOR_EXTRAPERLO_REAL, ITEM_PLAYER_MAIN</t>
  </si>
  <si>
    <t>ACTION_TYPE_SET_ZOOM_REGION</t>
  </si>
  <si>
    <t>ACTION_SET_SPRITE_CHEST_CLOSED</t>
  </si>
  <si>
    <t>MUSIC_SOUTH_NEIGH, SOUND_AMBIENCE_CITY_NIGHT, SOUND_AMBIENCE_OUTSIDE_PUB</t>
  </si>
  <si>
    <t>ACTION_TYPE_SET_TO_ANIMATION_MODE</t>
  </si>
  <si>
    <t>PHRASE_OBSERVE_ITEM_HIVE1_VALVE</t>
  </si>
  <si>
    <t>ACTION_TYPE_REMOVE_ANIMATION_MODE</t>
  </si>
  <si>
    <t>This valve seems to control water flow to Inn building</t>
  </si>
  <si>
    <t>Esta válvula parece controlar el flujo de agua a la pensión</t>
  </si>
  <si>
    <t>ANIMATION_TRIGGER_ID</t>
  </si>
  <si>
    <t>Comment</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</si>
  <si>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</si>
  <si>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</si>
  <si>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</si>
  <si>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PHRASE_USE_SHOELACE_VALVE_BOX</t>
  </si>
  <si>
    <t>No trigger</t>
  </si>
  <si>
    <t>Much easier with lace help!</t>
  </si>
  <si>
    <t>Mucho mejor con ayuda del cordón!</t>
  </si>
  <si>
    <t>ANIMATION_TRIGGER_ONE</t>
  </si>
  <si>
    <t>One shot triggers (auto return to auto steady)</t>
  </si>
  <si>
    <t>ANIMATION_TRIGGER_TWO</t>
  </si>
  <si>
    <t>CITY1_EXTRAPERLO2</t>
  </si>
  <si>
    <t>PHRASE_USE_HIVE1_VALVE</t>
  </si>
  <si>
    <t>ANIMATION_TRIGGER_THREE</t>
  </si>
  <si>
    <t>ACTION_DESPAWN_HIVE1_CARDS</t>
  </si>
  <si>
    <t>BACKGROUND_CITY1_EXTRAPERLO2, SPRITE_FIRE_DANCING, SPRITE_EXTRAPERLO_TABLE1_STEADY, SPRITE_EXTRAPERLO_TABLE2_STEADY</t>
  </si>
  <si>
    <t>ITEM_GENERIC_DOOR1, ITEM_NPC_ARTURO_EXTRAPERLO, ITEM_NPC_CLOWN, ITEM_NPC_SILVANA_EXTRAPERLO, ITEM_PLAYER_MAIN</t>
  </si>
  <si>
    <t>Water should be flowing now inside!</t>
  </si>
  <si>
    <t>ANIMATION_TRIGGER_FOUR</t>
  </si>
  <si>
    <t>SOUND_AMBIENCE_INSIDE_PUB, MUSIC_EXTRAPERLO</t>
  </si>
  <si>
    <t>El agua ahora debería fluir hacia la pensión</t>
  </si>
  <si>
    <t>ANIMATION_TRIGGER_FIVE</t>
  </si>
  <si>
    <t>ANIMATION_TRIGGER_SIX</t>
  </si>
  <si>
    <t>PHRASE_USE_HIVE1_VALVE_NOT</t>
  </si>
  <si>
    <t>ANIMATION_TRIGGER_SEVEN</t>
  </si>
  <si>
    <t>CITY1_EXTRAPERLO3</t>
  </si>
  <si>
    <t>I am not manipulating that thing again</t>
  </si>
  <si>
    <t>No pienso volver a manipular eso</t>
  </si>
  <si>
    <t>ANIMATION_TRIGGER_EIGHT</t>
  </si>
  <si>
    <t>ITEM_GENERIC_DOOR1, ITEM_INNOCENT_PLANT, ITEM_NPC_SILVANA_EXTRAPERLO_GARD, ITEM_PLAYER_MAIN</t>
  </si>
  <si>
    <t>ANIMATION_TRIGGER_NINE</t>
  </si>
  <si>
    <t>PHRASE_OBSERVE_ITEM_HIVE1_MAN_WC_CURED</t>
  </si>
  <si>
    <t>ANIMATION_TRIGGER_TEN</t>
  </si>
  <si>
    <t>He was the man suffering in WC. Now in a better and less embarrassing state</t>
  </si>
  <si>
    <t>ACTION_DESPAWN_HIVE1_PERFUME</t>
  </si>
  <si>
    <t>Era el hombre que sufría en el aseo. Ahora en un mejor y menos lamentable estado</t>
  </si>
  <si>
    <t>CITY1_EXTRAPERLO3_2</t>
  </si>
  <si>
    <t>ANIMATION_TRIGGER_ELEVEN</t>
  </si>
  <si>
    <t>BACKGROUND_EXTRAPERLO_GARDEN, SPRITE_MAINCHAR_SEATED_STEADY</t>
  </si>
  <si>
    <t>ITEM_GENERIC_DOOR1, ITEM_NPC_SILVANA_EXTRAPERLO_GARD_SEAT, ITEM_PAMFRY, ITEM_FIK_EXTRAPERLO_GARDEN, ITEM_NPC_GERMAN</t>
  </si>
  <si>
    <t>PREFAB_MAINCHAR_SEATED</t>
  </si>
  <si>
    <t>ANIMATION_TRIGGER_TWELVE</t>
  </si>
  <si>
    <t>PHRASE_DIALOG_ARTURO_HALL_INN_OPTION_0_0</t>
  </si>
  <si>
    <t>ANIMATION_TRIGGER_THIRTEEN</t>
  </si>
  <si>
    <t>So. Isn't it the end of the night for you?</t>
  </si>
  <si>
    <t>Entonces. La noche no acaba aquí?</t>
  </si>
  <si>
    <t>ANIMATION_TRIGGER_FOURTEEN</t>
  </si>
  <si>
    <t>CHAPTER_SHOW</t>
  </si>
  <si>
    <t>ANIMATION_TRIGGER_FIFTEEN</t>
  </si>
  <si>
    <t>PHRASE_DIALOG_ARTURO_HALL_INN_OPTION_0_1</t>
  </si>
  <si>
    <t>ANIMATION_TRIGGER_SIXTEEN</t>
  </si>
  <si>
    <t>Nope. As I told you night is so young</t>
  </si>
  <si>
    <t>No. Como te dije la noche es joven</t>
  </si>
  <si>
    <t>ANIMATION_TRIGGER_CYCLE_ONE</t>
  </si>
  <si>
    <t>Cycles talk and walk have substeps inside</t>
  </si>
  <si>
    <t>DREAM_1_CORRIDOR</t>
  </si>
  <si>
    <t>ANIMATION_TRIGGER_CYCLE_TWO</t>
  </si>
  <si>
    <t>PHRASE_DIALOG_ARTURO_HALL_INN_OPTION_0_2</t>
  </si>
  <si>
    <t>ITEM_GENERIC_DOOR1, ITEM_DREAM_RADIO, ITEM_DREAM_CLOCK, ITEM_GENERIC_DOOR2, ITEM_PLAYER_MAIN, ITEM_MAINCHAR_DREAM</t>
  </si>
  <si>
    <t>ANIMATION_TRIGGER_CYCLE_THREE</t>
  </si>
  <si>
    <t>Where are you facing to?</t>
  </si>
  <si>
    <t>ANIMATION_TRIGGER_CYCLE_FOUR</t>
  </si>
  <si>
    <t>UNCHAIN_ENTRY_DIALOG_DREAM_1, UNCHAIN_CLEAR_EPHIMERAL_ON</t>
  </si>
  <si>
    <t>A dónde irás ahora?</t>
  </si>
  <si>
    <t>ANIMATION_TRIGGER_CYCLE_FIVE</t>
  </si>
  <si>
    <t>PHRASE_DIALOG_ARTURO_HALL_INN_OPTION_0_3</t>
  </si>
  <si>
    <t>DREAM_1_FRAMEWORK</t>
  </si>
  <si>
    <t>ANIMATION_TRIGGER_CYCLE_SIX</t>
  </si>
  <si>
    <t xml:space="preserve">There is a club in the south neighborhood </t>
  </si>
  <si>
    <t>ITEM_GENERIC_DOOR1, ITEM_CLASSROOM_PORTRAIT, ITEM_MAINCHAR_DREAM</t>
  </si>
  <si>
    <t>Hay un club en el barrio sur</t>
  </si>
  <si>
    <t>ANIMATION_TRIGGER_CYCLE_SEVEN</t>
  </si>
  <si>
    <t>ANIMATION_TRIGGER_CYCLE_EIGHT</t>
  </si>
  <si>
    <t>ACTION_OBTAIN_HIVE1_CARDS</t>
  </si>
  <si>
    <t>ANIMATION_TRIGGER_CYCLE_NINE</t>
  </si>
  <si>
    <t>PHRASE_DIALOG_ARTURO_HALL_INN_OPTION_1_0</t>
  </si>
  <si>
    <t>ANIMATION_TRIGGER_CYCLE_TEN</t>
  </si>
  <si>
    <t>DREAM_1_KITCHEN</t>
  </si>
  <si>
    <t>This pub you mentioned...</t>
  </si>
  <si>
    <t>Este club que comentas...</t>
  </si>
  <si>
    <t>ANIMATION_TRIGGER_CYCLE_ELEVEN</t>
  </si>
  <si>
    <t>ITEM_GENERIC_DOOR1, ITEM_MAINCHAR_DREAM</t>
  </si>
  <si>
    <t>ANIMATION_TRIGGER_CYCLE_TWELVE</t>
  </si>
  <si>
    <t>PHRASE_DIALOG_ARTURO_HALL_INN_OPTION_1_1</t>
  </si>
  <si>
    <t>Steady change automatically default state and auto_steady trgt</t>
  </si>
  <si>
    <t>Aha?</t>
  </si>
  <si>
    <t>DREAM_1_BEDROOM</t>
  </si>
  <si>
    <t>ANIMATION_TRIGGER_STEADY_TWO</t>
  </si>
  <si>
    <t>ANIMATION_TRIGGER_STEADY_THREE</t>
  </si>
  <si>
    <t>ITEM_GENERIC_DOOR1, ITEM_NPC_SULTAN, ITEM_NPC_PILAR_DREAM_1, ITEM_MAINCHAR_DREAM</t>
  </si>
  <si>
    <t>PHRASE_DIALOG_ARTURO_HALL_INN_OPTION_1_2</t>
  </si>
  <si>
    <t>ACTION_SPAWN_HIVE1_WARDROBE_OPENED</t>
  </si>
  <si>
    <t>ANIMATION_TRIGGER_STEADY_FOUR</t>
  </si>
  <si>
    <t>You think I could meet people there or ask for job?</t>
  </si>
  <si>
    <t>Crees que puedo conocer a gente allí o encontrar trabajo?</t>
  </si>
  <si>
    <t>ANIMATION_TRIGGER_STEADY_FIVE</t>
  </si>
  <si>
    <t>DREAM_1_BEDROOM_NIGHT</t>
  </si>
  <si>
    <t>PHRASE_DIALOG_ARTURO_HALL_INN_OPTION_1_3</t>
  </si>
  <si>
    <t>ANIMATION_TRIGGER_STEADY_SIX</t>
  </si>
  <si>
    <t>BACKGROUND_DREAM_1_BEDROOM_NIGHT, SPRITE_MAINCHAR_STEADY_BED</t>
  </si>
  <si>
    <t>ITEM_GENERIC_DOOR1, ITEM_NPC_PILAR_DREAM_1, ITEM_MAINCHAR_DREAM</t>
  </si>
  <si>
    <t>ANIMATION_TRIGGER_STEADY_SEVEN</t>
  </si>
  <si>
    <t>For sure gentleman. Even if it's in south neighborhood. Some business are running well there. You should go some day</t>
  </si>
  <si>
    <t>PREFAB_MAINCHAR_BED</t>
  </si>
  <si>
    <t>Por supuesto caballero. Incluso siendo el barrio sur. Algunos negocios están yendo bien. Deberías pasarte un día</t>
  </si>
  <si>
    <t>ANIMATION_TRIGGER_STEADY_EIGHT</t>
  </si>
  <si>
    <t>PHRASE_DIALOG_ARTURO_HALL_INN_OPTION_1_4</t>
  </si>
  <si>
    <t>Same as cycle but named as talk</t>
  </si>
  <si>
    <t>I would be pleased</t>
  </si>
  <si>
    <t>Me encantaría</t>
  </si>
  <si>
    <t>DREAM_1_CORRIDOR_NIGHT</t>
  </si>
  <si>
    <t>ACTION_DESPAWN_HIVE1_WARDROBE</t>
  </si>
  <si>
    <t>ITEM_GENERIC_DOOR1, ITEM_NPC_SULTAN, ITEM_DOOR_DREAM_1_EXIT, ITEM_MAINCHAR_DREAM</t>
  </si>
  <si>
    <t>ANIMATION_TRIGGER_TALK_THREE</t>
  </si>
  <si>
    <t>PHRASE_DIALOG_ARTURO_HALL_INN_OPTION_1_5</t>
  </si>
  <si>
    <t>ANIMATION_TRIGGER_TALK_FOUR</t>
  </si>
  <si>
    <t>For sure. Take this invitation. It's kind of private and they won't let strangers go inside</t>
  </si>
  <si>
    <t>Por supuesto. Toma esta invitación. Es un poco privado y no dejan entrar a desconocidos</t>
  </si>
  <si>
    <t>ANIMATION_TRIGGER_TALK_FIVE</t>
  </si>
  <si>
    <t>PHRASE_DIALOG_ARTURO_HALL_INN_OPTION_1_6</t>
  </si>
  <si>
    <t>ANIMATION_TRIGGER_TALK_SIX</t>
  </si>
  <si>
    <t>ITEM_GENERIC_DOOR1, ITEM_NPC_ALTER_EGO_1, ITEM_MAINCHAR_DREAM, ITEM_PICKABLE_FIG</t>
  </si>
  <si>
    <t>Thank you!</t>
  </si>
  <si>
    <t>Gracias!</t>
  </si>
  <si>
    <t>ANIMATION_TRIGGER_TALK_SEVEN</t>
  </si>
  <si>
    <t>ANIMATION_TRIGGER_TALK_EIGHT</t>
  </si>
  <si>
    <t>MAP_1</t>
  </si>
  <si>
    <t>ANIMATION_TRIGGER_AUTO_STEADY</t>
  </si>
  <si>
    <t>Special trigger which gives last steady trigger taken</t>
  </si>
  <si>
    <t>Well. See you there!</t>
  </si>
  <si>
    <t>Bueno. Nos vemos pronto!</t>
  </si>
  <si>
    <t>ITEM_GENERIC_DOOR1, ITEM_PINPOINT_MAP</t>
  </si>
  <si>
    <t>ANIMATION_TRIGGER_WALK_FRONT</t>
  </si>
  <si>
    <t>Character walks</t>
  </si>
  <si>
    <t>ANIMATION_TRIGGER_WALK_BACK</t>
  </si>
  <si>
    <t>PHRASE_DIALOG_ARTURO_HALL_INN_INTRO_0</t>
  </si>
  <si>
    <t>ANIMATION_TRIGGER_WALK_CORNERBACK</t>
  </si>
  <si>
    <t>STATION_1</t>
  </si>
  <si>
    <t>I'm happy to see you in a better state!</t>
  </si>
  <si>
    <t>BACKGROUND_STATION_1, BACKGROUND_STATION_1_NIGHT</t>
  </si>
  <si>
    <t>Me alegro de verte en mejor estado</t>
  </si>
  <si>
    <t>ANIMATION_TRIGGER_WALK_CORNERFRONT</t>
  </si>
  <si>
    <t>ITEM_GENERIC_DOOR1, ITEM_PLAYER_MAIN</t>
  </si>
  <si>
    <t>ANIMATION_TRIGGER_WALK_SIDE</t>
  </si>
  <si>
    <t>PHRASE_DIALOG_ARTURO_HALL_INN_INTRO_1</t>
  </si>
  <si>
    <t>ITEM_FAMILY_TYPE_ID</t>
  </si>
  <si>
    <t>ACTION_SPAWN_HIVE1_WARDROBE</t>
  </si>
  <si>
    <t>I really appreciate your help this night</t>
  </si>
  <si>
    <t>Agradezco en verdad tu ayuda esta noche</t>
  </si>
  <si>
    <t>ROOM_LAST</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</si>
  <si>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</si>
  <si>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</si>
  <si>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</si>
  <si>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</si>
  <si>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ACTION_DESPAWN_HIVE1_WARDROBE_OPENED</t>
  </si>
  <si>
    <t>MOMENT_TYPE_ID</t>
  </si>
  <si>
    <t>An annotation which said &lt;&lt;Less tales and more bread&gt;&gt;. Maybe it was only a coloquialism</t>
  </si>
  <si>
    <t>Una inscripción que decía &lt;&lt;Menos cuento y más pan&gt;&gt;. Quizá solo sea una frase dicha</t>
  </si>
  <si>
    <t>PHRASE_OBSERVE_ITEM_PHARMACY_INKWELL</t>
  </si>
  <si>
    <t>It's an inkwell which pharmacist uses</t>
  </si>
  <si>
    <t>Es un bote de tinta que usa el farmacéutico</t>
  </si>
  <si>
    <t>PHRASE_OBSERVE_ITEM_PHARMACY_INK</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</si>
  <si>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</si>
  <si>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</si>
  <si>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</si>
  <si>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</si>
  <si>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</si>
  <si>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</si>
  <si>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ACTION_MEMENTO_JOB_FIND_1_2</t>
  </si>
  <si>
    <t>PHRASE_DIALOG_USE_UMBRELLA_WITH_INKWELL_OWNER</t>
  </si>
  <si>
    <t>MEMENTO_JOB_FIND_1_2</t>
  </si>
  <si>
    <t>Stop doing things! IDIOT</t>
  </si>
  <si>
    <t>Estate quieto! IMBÉCIL</t>
  </si>
  <si>
    <t>PHRASE_DIALOG_USE_UMBRELLA_WITH_INKWELL_OWNER_2</t>
  </si>
  <si>
    <t>Are you swipping this?</t>
  </si>
  <si>
    <t>Lo vas a fregar tú?</t>
  </si>
  <si>
    <t>PHRASE_USE_INVITATION_WITH_INK</t>
  </si>
  <si>
    <t>EVENT_ID</t>
  </si>
  <si>
    <t>Maybe ink could reveal that annotation</t>
  </si>
  <si>
    <t>Quizá la tinta revele la anotación</t>
  </si>
  <si>
    <t>EVENT_MASTER_CHANGE_ROOM</t>
  </si>
  <si>
    <t>DETAIL_ID</t>
  </si>
  <si>
    <t>PREFAB_ADDRESSABLE</t>
  </si>
  <si>
    <t>EVENT_MASTER_CHANGE_MOMENT_DAY</t>
  </si>
  <si>
    <t>PHRASE_USE_INVITATION_WITH_INK_ALREADY</t>
  </si>
  <si>
    <t>It has enough ink</t>
  </si>
  <si>
    <t>Ya tiene suficiente tinta</t>
  </si>
  <si>
    <t>PrefabEnum.PREFAB_NONE</t>
  </si>
  <si>
    <t>EVENT_HIVE1_AD_BOARD_OBSERVED_1</t>
  </si>
  <si>
    <t>PrefabEnum.PREFAB_DETAIL_EXTRAPERLO</t>
  </si>
  <si>
    <t>PHRASE_DIALOG_FIK_1_OPTION_0_0</t>
  </si>
  <si>
    <t>PrefabEnum.PREFAB_MAINCHARACTER</t>
  </si>
  <si>
    <t>Conoces a un tal Arturo Minglanilla?</t>
  </si>
  <si>
    <t>EVENT_PHARMACY_EMPTY</t>
  </si>
  <si>
    <t>PrefabEnum.PREFAB_MAINCHARACTER_SEATED</t>
  </si>
  <si>
    <t>ACTION_OBTAIN_SOAP</t>
  </si>
  <si>
    <t>EVENT_MANYO_LOOK_FOR_RECIPE_MISSION</t>
  </si>
  <si>
    <t>PrefabEnum.PREFAB_MAINCHARACTER_DREAM</t>
  </si>
  <si>
    <t>PHRASE_DIALOG_FIK_1_OPTION_0_1</t>
  </si>
  <si>
    <t>EVENT_COCKROACH_CHEATED</t>
  </si>
  <si>
    <t>PrefabEnum.PREFAB_MAINCHARACTER_BED</t>
  </si>
  <si>
    <t>No sé quien es el Arturo piltrafilla ese</t>
  </si>
  <si>
    <t>PrefabEnum.PREFAB_PINPOINT_MAP</t>
  </si>
  <si>
    <t>DETAIL_LAST</t>
  </si>
  <si>
    <t>PHRASE_DIALOG_FIK_1_OPTION_1_0</t>
  </si>
  <si>
    <t>Me dejas pasar ya?</t>
  </si>
  <si>
    <t>EVENT_TALKED_ARTURO_HALL_INN_COMPLETED</t>
  </si>
  <si>
    <t>EVENT_ITEM_EXTRAPERLO_INVITATION_PICKABLE_TAKEN</t>
  </si>
  <si>
    <t>PHRASE_DIALOG_FIK_1_OPTION_1_1</t>
  </si>
  <si>
    <t>Mira. Aquí solo entra gente de confianza. Y tú no tienes pinta de conocer a nadie dentro</t>
  </si>
  <si>
    <t>PHRASE_DIALOG_FIK_1_OPTION_1_2</t>
  </si>
  <si>
    <t>EVENT_EXTRAPERLO_SHOWN_OLD_INVITATION</t>
  </si>
  <si>
    <t>Soy hombre de confianza. Además vengo aquí invitado por alguien de dentro</t>
  </si>
  <si>
    <t>EVENT_EXTRAPERLO_INV_FOLDED_CORNERS</t>
  </si>
  <si>
    <t>EVENT_EXTRAPERLO_ARTURO_MENTIONED_SILVANA</t>
  </si>
  <si>
    <t>PHRASE_DIALOG_FIK_1_OPTION_1_3</t>
  </si>
  <si>
    <t>EVENT_TOOK_OLIVE_FROM_BOWL</t>
  </si>
  <si>
    <t>A ver chulo. Dime la frase para que te deje pasar</t>
  </si>
  <si>
    <t>EVENT_BEER_FIRST_ROUND</t>
  </si>
  <si>
    <t>EVENT_BEER_SECOND_ROUND</t>
  </si>
  <si>
    <t>EVENT_BEER_THIRD_ROUND</t>
  </si>
  <si>
    <t>PHRASE_DIALOG_FIK_1_OPTION_2_0</t>
  </si>
  <si>
    <t>EVENT_DRUNK_STATE</t>
  </si>
  <si>
    <t>Quiero hablar con el encargado</t>
  </si>
  <si>
    <t>PHRASE_DIALOG_FIK_1_OPTION_2_1</t>
  </si>
  <si>
    <t>El que tengo aquí colgado</t>
  </si>
  <si>
    <t>EVENT_SULTAN_ATE_FOOD</t>
  </si>
  <si>
    <t>EVENT_ALTER_EGO_DREAM_1_TALKED</t>
  </si>
  <si>
    <t>ANIMATION_REME_TEST</t>
  </si>
  <si>
    <t>EVENT_LAST</t>
  </si>
  <si>
    <t>PHRASE_DIALOG_FIK_1_OPTION_2_2</t>
  </si>
  <si>
    <t>ANIMATION_LAST</t>
  </si>
  <si>
    <t>MEMENTO_PARENT_ID</t>
  </si>
  <si>
    <t>CARD_GAME_ID</t>
  </si>
  <si>
    <t>Sprite</t>
  </si>
  <si>
    <t>...</t>
  </si>
  <si>
    <t>Children</t>
  </si>
  <si>
    <t>CARD_GAME_TEST</t>
  </si>
  <si>
    <t>MEMENTO_PARENT_NONE</t>
  </si>
  <si>
    <t>CARD_GAME_TEST_DRUNK</t>
  </si>
  <si>
    <t>Have a good night</t>
  </si>
  <si>
    <t>Que tengas buena noche</t>
  </si>
  <si>
    <t>PHRASE_DIALOG_FIK_1_INTRO_0</t>
  </si>
  <si>
    <t>MEMENTO_PARENT_JOB_FIND_1</t>
  </si>
  <si>
    <t>Que dices chiquillo! Dónde vas con esas pintas? Es que quieres entrar en el pub?</t>
  </si>
  <si>
    <t>MEMENTO_PARENT_RECIPE_MISSION</t>
  </si>
  <si>
    <t>PHRASE_DIALOG_FIK_1_INTRO_1</t>
  </si>
  <si>
    <t>Pero qué gente más rara está viniendo esta noche al pub. Ojo que esto es solo para gente divertida</t>
  </si>
  <si>
    <t>PHRASE_DIALOG_FIK_2_OPTION_0_0</t>
  </si>
  <si>
    <t>Más vale calvo en mano que ciento volando</t>
  </si>
  <si>
    <t>MEMENTO_PARENT_LAST</t>
  </si>
  <si>
    <t>PHRASE_DIALOG_FIK_2_OPTION_0_1</t>
  </si>
  <si>
    <t>MEMENTO_ID</t>
  </si>
  <si>
    <t>Parent</t>
  </si>
  <si>
    <t>Combinations</t>
  </si>
  <si>
    <t>Final</t>
  </si>
  <si>
    <t>TASK</t>
  </si>
  <si>
    <t>Mira graciosillo. Te voy a clavar un tenedor en el ojo como sigas con el cachondeo</t>
  </si>
  <si>
    <t>PRIO</t>
  </si>
  <si>
    <t>DONE</t>
  </si>
  <si>
    <t>ONGOING</t>
  </si>
  <si>
    <t>Parry - Notifications - Max 4 queue</t>
  </si>
  <si>
    <t>MEMENTO_COMBI_NONE</t>
  </si>
  <si>
    <t>PHRASE_DIALOG_FIK_2_OPTION_1_0</t>
  </si>
  <si>
    <t>Trophies</t>
  </si>
  <si>
    <t>Bajo el río amarillo. No hay quien encienda un pitillo</t>
  </si>
  <si>
    <t>Waypoints only reachable for actions</t>
  </si>
  <si>
    <t>Reduce cond stackallocs (they use JIT)</t>
  </si>
  <si>
    <t>PHRASE_DIALOG_FIK_2_OPTION_1_1</t>
  </si>
  <si>
    <t>Ja. Esa es de Mortadelo y Filemón</t>
  </si>
  <si>
    <t>Character 'Señor desubicado'</t>
  </si>
  <si>
    <t>Questioning 'Mosca puñetera'</t>
  </si>
  <si>
    <t>PHRASE_DIALOG_FIK_2_OPTION_2_0</t>
  </si>
  <si>
    <t>Fade to black between scenes</t>
  </si>
  <si>
    <t>MEMENTO_RECIPE_MISSION_1</t>
  </si>
  <si>
    <t>ACTION_MEMENTO_RECEIPT_MISSION</t>
  </si>
  <si>
    <t>Si lloras por no ver el Sol. Las lágrimas no te dejarán ver las estrellas</t>
  </si>
  <si>
    <t>PHRASE_DIALOG_FIK_2_OPTION_2_1</t>
  </si>
  <si>
    <t>MEMENTO_POOR_MAN_WC_1</t>
  </si>
  <si>
    <t>Qué dices zumbado</t>
  </si>
  <si>
    <t>MEMENTO_POOR_MAN_WC_2</t>
  </si>
  <si>
    <t>PHRASE_DIALOG_FIK_2_OPTION_3_0</t>
  </si>
  <si>
    <t>Menos cuento y más pan</t>
  </si>
  <si>
    <t>MEMENTO_POOR_MAN_WC_3</t>
  </si>
  <si>
    <t>PHRASE_DIALOG_FIK_2_OPTION_3_1</t>
  </si>
  <si>
    <t>MEMENTO_LAST</t>
  </si>
  <si>
    <t>Mira chiquillo. No sé cómo. Pero te voy a dejar entrar. No la líes dentro anda</t>
  </si>
  <si>
    <t>MEMENTO_COMBI_ID</t>
  </si>
  <si>
    <t>TriggeredEvent</t>
  </si>
  <si>
    <t>Ni se te ocurra entrar</t>
  </si>
  <si>
    <t>EVENT_COMBI_ID</t>
  </si>
  <si>
    <t>PHRASE_DIALOG_WAITER_INTRO_1_0</t>
  </si>
  <si>
    <t>ACTION_OBTAIN_UMBRELLA</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</si>
  <si>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</si>
  <si>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</si>
  <si>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</si>
  <si>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</si>
  <si>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</si>
  <si>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</si>
  <si>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</si>
  <si>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</si>
  <si>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</si>
  <si>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ACTION_MEMENTO_POOR_MAN_WC_1</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</si>
  <si>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</si>
  <si>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</si>
  <si>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</si>
  <si>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</si>
  <si>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</si>
  <si>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</si>
  <si>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</si>
  <si>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</si>
  <si>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</si>
  <si>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</si>
  <si>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</si>
  <si>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</si>
  <si>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</si>
  <si>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</si>
  <si>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</si>
  <si>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(NOT)EVENT_COCKROACH_SCARED</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</si>
  <si>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</si>
  <si>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</si>
  <si>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</si>
  <si>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</si>
  <si>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</si>
  <si>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</si>
  <si>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</si>
  <si>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</si>
  <si>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</si>
  <si>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</si>
  <si>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ACTION_OBTAIN_HIVE1_SHOELACE</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</si>
  <si>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</si>
  <si>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</si>
  <si>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</si>
  <si>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</si>
  <si>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</si>
  <si>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ACTION_DESTROY_HIVE1_VALVE_BOX</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</si>
  <si>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</si>
  <si>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</si>
  <si>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</si>
  <si>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</si>
  <si>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</si>
  <si>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ACTION_SPAWN_HIVE1_VALVE</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</si>
  <si>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</si>
  <si>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</si>
  <si>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</si>
  <si>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</si>
  <si>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</si>
  <si>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</si>
  <si>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</si>
  <si>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</si>
  <si>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</si>
  <si>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</si>
  <si>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ACTION_OBTAIN_EXTRAPERLO_INVITATION</t>
  </si>
  <si>
    <t>PHRASE_DIALOG_ARTURO_EXTRAPERLO_OPTION_2_7</t>
  </si>
  <si>
    <t>Bien. Suficiente por hoy</t>
  </si>
  <si>
    <t>Hey por fin te veo!</t>
  </si>
  <si>
    <t>PHRASE_CARDS1_ARTURO_TAUNT_1</t>
  </si>
  <si>
    <t>Te falta calle! Como tiras esa carta ahora?</t>
  </si>
  <si>
    <t>PHRASE_CARDS1_ARTURO_TAUNT_2</t>
  </si>
  <si>
    <t>Madre mía qué jugadón</t>
  </si>
  <si>
    <t>ACTION_DESPAWN_INKWELL</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</si>
  <si>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</si>
  <si>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</si>
  <si>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</si>
  <si>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</si>
  <si>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</si>
  <si>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</si>
  <si>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</si>
  <si>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ACTION_SPAWN_INK</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</si>
  <si>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</si>
  <si>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</si>
  <si>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</si>
  <si>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</si>
  <si>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</si>
  <si>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</si>
  <si>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</si>
  <si>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</si>
  <si>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</si>
  <si>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</si>
  <si>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</si>
  <si>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</si>
  <si>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</si>
  <si>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ACTION_DIALOGUE_HIVE1_AD_BOARD_1</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</si>
  <si>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</si>
  <si>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</si>
  <si>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</si>
  <si>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</si>
  <si>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</si>
  <si>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</si>
  <si>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</si>
  <si>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</si>
  <si>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</si>
  <si>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</si>
  <si>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</si>
  <si>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</si>
  <si>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</si>
  <si>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</si>
  <si>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</si>
  <si>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</si>
  <si>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</si>
  <si>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</si>
  <si>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</si>
  <si>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</si>
  <si>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</si>
  <si>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</si>
  <si>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</si>
  <si>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</si>
  <si>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</si>
  <si>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</si>
  <si>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</si>
  <si>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</si>
  <si>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</si>
  <si>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</si>
  <si>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</si>
  <si>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</si>
  <si>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</si>
  <si>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ACTION_DIALOGUE_USE_BASIN_W_SOAP</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</si>
  <si>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</si>
  <si>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</si>
  <si>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</si>
  <si>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</si>
  <si>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</si>
  <si>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</si>
  <si>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</si>
  <si>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</si>
  <si>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</si>
  <si>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</si>
  <si>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</si>
  <si>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</si>
  <si>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</si>
  <si>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</si>
  <si>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</si>
  <si>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ACTION_DIALOGUE_USE_PERFUME</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</si>
  <si>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</si>
  <si>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</si>
  <si>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</si>
  <si>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</si>
  <si>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</si>
  <si>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</si>
  <si>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</si>
  <si>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</si>
  <si>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</si>
  <si>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</si>
  <si>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</si>
  <si>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</si>
  <si>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</si>
  <si>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</si>
  <si>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</si>
  <si>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</si>
  <si>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</si>
  <si>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</si>
  <si>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</si>
  <si>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</si>
  <si>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</si>
  <si>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</si>
  <si>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</si>
  <si>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</si>
  <si>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</si>
  <si>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</si>
  <si>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</si>
  <si>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</si>
  <si>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</si>
  <si>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</si>
  <si>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</si>
  <si>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</si>
  <si>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</si>
  <si>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</si>
  <si>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</si>
  <si>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</si>
  <si>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</si>
  <si>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</si>
  <si>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</si>
  <si>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</si>
  <si>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</si>
  <si>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</si>
  <si>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</si>
  <si>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</si>
  <si>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</si>
  <si>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</si>
  <si>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</si>
  <si>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</si>
  <si>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</si>
  <si>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</si>
  <si>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</si>
  <si>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</si>
  <si>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</si>
  <si>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</si>
  <si>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</si>
  <si>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</si>
  <si>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ACTION_DIALOGUE_TAKE_UMBRELLA_NIGHT</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</si>
  <si>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</si>
  <si>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</si>
  <si>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</si>
  <si>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</si>
  <si>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</si>
  <si>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</si>
  <si>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</si>
  <si>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</si>
  <si>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</si>
  <si>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</si>
  <si>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</si>
  <si>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</si>
  <si>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</si>
  <si>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</si>
  <si>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</si>
  <si>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</si>
  <si>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</si>
  <si>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</si>
  <si>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</si>
  <si>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</si>
  <si>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</si>
  <si>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</si>
  <si>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</si>
  <si>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</si>
  <si>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</si>
  <si>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</si>
  <si>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</si>
  <si>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</si>
  <si>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</si>
  <si>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</si>
  <si>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</si>
  <si>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</si>
  <si>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</si>
  <si>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</si>
  <si>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</si>
  <si>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</si>
  <si>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</si>
  <si>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</si>
  <si>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</si>
  <si>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</si>
  <si>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</si>
  <si>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</si>
  <si>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</si>
  <si>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</si>
  <si>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</si>
  <si>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</si>
  <si>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</si>
  <si>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ACTION_DIALOGUE_OBSERVE_HIVE1_PIPE_2</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</si>
  <si>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</si>
  <si>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</si>
  <si>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</si>
  <si>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</si>
  <si>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</si>
  <si>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</si>
  <si>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ACTION_DIALOGUE_TAKE_HIVE1_ROACH_HEAD</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</si>
  <si>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</si>
  <si>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</si>
  <si>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</si>
  <si>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</si>
  <si>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</si>
  <si>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</si>
  <si>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</si>
  <si>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</si>
  <si>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</si>
  <si>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</si>
  <si>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</si>
  <si>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</si>
  <si>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</si>
  <si>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</si>
  <si>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</si>
  <si>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</si>
  <si>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</si>
  <si>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</si>
  <si>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</si>
  <si>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</si>
  <si>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</si>
  <si>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</si>
  <si>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</si>
  <si>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</si>
  <si>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</si>
  <si>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</si>
  <si>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</si>
  <si>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ACTION_DIALOGUE_OBSERVE_BACKALLEY_PIPE_2</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</si>
  <si>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</si>
  <si>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</si>
  <si>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</si>
  <si>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</si>
  <si>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</si>
  <si>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</si>
  <si>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</si>
  <si>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</si>
  <si>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</si>
  <si>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</si>
  <si>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</si>
  <si>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</si>
  <si>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</si>
  <si>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</si>
  <si>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ACTION_DIALOGUE_TAKE_VALVE_BOX_1</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</si>
  <si>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</si>
  <si>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</si>
  <si>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</si>
  <si>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</si>
  <si>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</si>
  <si>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</si>
  <si>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</si>
  <si>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</si>
  <si>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</si>
  <si>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</si>
  <si>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</si>
  <si>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</si>
  <si>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</si>
  <si>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</si>
  <si>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</si>
  <si>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</si>
  <si>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</si>
  <si>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</si>
  <si>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</si>
  <si>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</si>
  <si>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</si>
  <si>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</si>
  <si>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</si>
  <si>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</si>
  <si>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</si>
  <si>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</si>
  <si>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</si>
  <si>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</si>
  <si>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</si>
  <si>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</si>
  <si>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</si>
  <si>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</si>
  <si>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</si>
  <si>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</si>
  <si>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</si>
  <si>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</si>
  <si>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</si>
  <si>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</si>
  <si>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</si>
  <si>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ACTION_DIALOGUE_TAKE_SHOEALCE</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</si>
  <si>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</si>
  <si>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</si>
  <si>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</si>
  <si>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</si>
  <si>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</si>
  <si>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</si>
  <si>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</si>
  <si>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</si>
  <si>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</si>
  <si>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</si>
  <si>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</si>
  <si>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</si>
  <si>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</si>
  <si>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</si>
  <si>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</si>
  <si>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ACTION_DIALOGUE_USE_SHOELACE_VALVE_BOX</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</si>
  <si>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</si>
  <si>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</si>
  <si>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</si>
  <si>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</si>
  <si>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</si>
  <si>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</si>
  <si>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</si>
  <si>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ACTION_DIALOGUE_TAKE_HIVE1_VALVE</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</si>
  <si>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</si>
  <si>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</si>
  <si>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</si>
  <si>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</si>
  <si>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</si>
  <si>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</si>
  <si>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</si>
  <si>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</si>
  <si>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</si>
  <si>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</si>
  <si>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</si>
  <si>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</si>
  <si>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</si>
  <si>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</si>
  <si>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</si>
  <si>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</si>
  <si>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</si>
  <si>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</si>
  <si>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</si>
  <si>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</si>
  <si>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</si>
  <si>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</si>
  <si>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</si>
  <si>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</si>
  <si>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</si>
  <si>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ACTION_DIALOGUE_OBSERVE_INVITATION_DETAIL_1</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</si>
  <si>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</si>
  <si>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</si>
  <si>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</si>
  <si>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</si>
  <si>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</si>
  <si>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</si>
  <si>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ACTION_DIALOGUE_OBSERVE_INVITATION_DETAIL_2</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</si>
  <si>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</si>
  <si>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</si>
  <si>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</si>
  <si>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</si>
  <si>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</si>
  <si>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</si>
  <si>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</si>
  <si>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</si>
  <si>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</si>
  <si>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</si>
  <si>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</si>
  <si>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</si>
  <si>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</si>
  <si>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</si>
  <si>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</si>
  <si>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</si>
  <si>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</si>
  <si>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</si>
  <si>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</si>
  <si>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</si>
  <si>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</si>
  <si>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</si>
  <si>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</si>
  <si>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</si>
  <si>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</si>
  <si>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</si>
  <si>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</si>
  <si>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</si>
  <si>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ACTION_DIALOGUE_TAKE_INKWELL_NOT_2</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</si>
  <si>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</si>
  <si>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</si>
  <si>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</si>
  <si>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</si>
  <si>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</si>
  <si>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</si>
  <si>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</si>
  <si>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</si>
  <si>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ACTION_DIALOGUE_TAKE_INKWELL_NOT_3</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</si>
  <si>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</si>
  <si>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</si>
  <si>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</si>
  <si>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</si>
  <si>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</si>
  <si>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</si>
  <si>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</si>
  <si>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</si>
  <si>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</si>
  <si>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</si>
  <si>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</si>
  <si>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</si>
  <si>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</si>
  <si>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</si>
  <si>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</si>
  <si>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ACTION_DIALOGUE_USE_INVITATION_INK</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</si>
  <si>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</si>
  <si>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</si>
  <si>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</si>
  <si>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</si>
  <si>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</si>
  <si>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</si>
  <si>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</si>
  <si>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</si>
  <si>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</si>
  <si>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</si>
  <si>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</si>
  <si>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</si>
  <si>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</si>
  <si>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</si>
  <si>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</si>
  <si>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</si>
  <si>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PHRASE_MAINCHAR_FAREWELL_DREAM_1</t>
  </si>
  <si>
    <t>Ojalá volver a veros pronto</t>
  </si>
  <si>
    <t>PHRASE_MAINCHAR_RECAP_DREAM_1</t>
  </si>
  <si>
    <t>Esto que acaba de pasar.. no son más que tormentas del pasado.. Pero me pregunto qué fue de Pilar</t>
  </si>
  <si>
    <t>PHRASE_DIALOG_LAST</t>
  </si>
  <si>
    <t>Last one</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</si>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</sst>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1" fillId="0" fontId="1" numFmtId="0" xfId="0" applyAlignment="1" applyBorder="1" applyFont="1">
      <alignment readingOrder="0" shrinkToFit="0" vertical="center" wrapText="0"/>
    </xf>
    <xf borderId="1" fillId="2"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2"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0" fillId="0" fontId="3" numFmtId="0" xfId="0" applyAlignment="1" applyFont="1">
      <alignment readingOrder="0" shrinkToFit="0" vertical="center" wrapText="0"/>
    </xf>
    <xf borderId="1" fillId="2" fontId="1" numFmtId="0" xfId="0" applyAlignment="1" applyBorder="1" applyFont="1">
      <alignment readingOrder="0" shrinkToFit="0" vertical="center" wrapText="0"/>
    </xf>
    <xf borderId="0" fillId="0" fontId="3" numFmtId="0" xfId="0" applyAlignment="1" applyFont="1">
      <alignment shrinkToFit="0" vertical="center" wrapText="0"/>
    </xf>
    <xf borderId="1" fillId="0" fontId="1" numFmtId="0" xfId="0" applyAlignment="1" applyBorder="1" applyFont="1">
      <alignment horizontal="center" readingOrder="0"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0" fillId="0" fontId="3" numFmtId="0" xfId="0" applyAlignment="1" applyFont="1">
      <alignment shrinkToFit="0" vertical="center" wrapText="0"/>
    </xf>
    <xf borderId="1" fillId="0" fontId="1" numFmtId="0" xfId="0" applyAlignment="1" applyBorder="1" applyFont="1">
      <alignment readingOrder="0" shrinkToFit="0" vertical="center" wrapText="1"/>
    </xf>
    <xf borderId="1" fillId="3" fontId="1"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quotePrefix="1"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ont="1">
      <alignment shrinkToFit="0" vertical="center" wrapText="0"/>
    </xf>
    <xf borderId="1" fillId="6" fontId="5" numFmtId="0" xfId="0" applyAlignment="1" applyBorder="1" applyFont="1">
      <alignment horizontal="center" shrinkToFit="0" vertical="center" wrapText="0"/>
    </xf>
    <xf borderId="1" fillId="6" fontId="5" numFmtId="0" xfId="0" applyAlignment="1" applyBorder="1" applyFont="1">
      <alignment shrinkToFit="0" vertical="center" wrapText="1"/>
    </xf>
    <xf borderId="1" fillId="6" fontId="5" numFmtId="0" xfId="0" applyAlignment="1" applyBorder="1" applyFont="1">
      <alignment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49" xfId="0" applyAlignment="1" applyFont="1" applyNumberForma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1"/>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0" fillId="0" fontId="1"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ont="1">
      <alignment readingOrder="0" shrinkToFit="0" vertical="center" wrapText="0"/>
    </xf>
    <xf borderId="2" fillId="7" fontId="5" numFmtId="0" xfId="0" applyAlignment="1" applyBorder="1" applyFont="1">
      <alignment horizontal="center" shrinkToFit="0" vertical="center" wrapText="0"/>
    </xf>
    <xf borderId="2" fillId="7" fontId="5" numFmtId="0" xfId="0" applyAlignment="1" applyBorder="1" applyFont="1">
      <alignment shrinkToFit="0" vertical="center" wrapText="0"/>
    </xf>
    <xf borderId="2" fillId="7" fontId="5" numFmtId="0" xfId="0" applyAlignment="1" applyBorder="1" applyFont="1">
      <alignment shrinkToFit="0" vertical="center" wrapText="0"/>
    </xf>
    <xf borderId="2" fillId="7" fontId="5" numFmtId="0" xfId="0" applyAlignment="1" applyBorder="1" applyFont="1">
      <alignment readingOrder="0" shrinkToFit="0" vertical="center" wrapText="0"/>
    </xf>
    <xf borderId="2" fillId="7" fontId="4" numFmtId="0" xfId="0" applyAlignment="1" applyBorder="1" applyFont="1">
      <alignment shrinkToFit="0" vertical="center" wrapText="0"/>
    </xf>
    <xf borderId="3" fillId="7" fontId="5" numFmtId="0" xfId="0" applyAlignment="1" applyBorder="1" applyFont="1">
      <alignment shrinkToFit="0" vertical="center" wrapText="0"/>
    </xf>
    <xf borderId="2" fillId="7" fontId="5" numFmtId="0" xfId="0" applyAlignment="1" applyBorder="1" applyFont="1">
      <alignment horizontal="center" readingOrder="0" shrinkToFit="0" vertical="center" wrapText="0"/>
    </xf>
    <xf borderId="2" fillId="7" fontId="5" numFmtId="0" xfId="0" applyAlignment="1" applyBorder="1" applyFont="1">
      <alignment readingOrder="0" shrinkToFit="0" vertical="center" wrapText="0"/>
    </xf>
    <xf borderId="3" fillId="7" fontId="5" numFmtId="0" xfId="0" applyAlignment="1" applyBorder="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ITEMS-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3">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4">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3"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8" displayName="Table_Items" name="Table_Items" id="1">
  <tableColumns count="10">
    <tableColumn name="N" id="1"/>
    <tableColumn name="ITEM_ID" id="2"/>
    <tableColumn name="Name" id="3"/>
    <tableColumn name="FamilyType" id="4"/>
    <tableColumn name="Sprites" id="5"/>
    <tableColumn name="DefaultSprite" id="6"/>
    <tableColumn name="PICKABLE" id="7"/>
    <tableColumn name="SpritePickable" id="8"/>
    <tableColumn name="Prefab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6"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8:I15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56:W447"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0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9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7"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9:H148"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7"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7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8"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4"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6:C107"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09:B115"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7:B120"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9"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61:E66"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8:F76"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8:C79"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81:B225"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9</v>
      </c>
      <c r="B1" s="3" t="s">
        <v>14</v>
      </c>
      <c r="C1" s="1" t="s">
        <v>17</v>
      </c>
      <c r="D1" s="1" t="s">
        <v>20</v>
      </c>
      <c r="E1" s="1" t="s">
        <v>22</v>
      </c>
      <c r="F1" s="3" t="s">
        <v>24</v>
      </c>
      <c r="G1" s="3" t="s">
        <v>26</v>
      </c>
      <c r="H1" s="3" t="s">
        <v>28</v>
      </c>
      <c r="I1" s="1" t="s">
        <v>31</v>
      </c>
      <c r="J1" s="1" t="s">
        <v>34</v>
      </c>
    </row>
    <row r="2">
      <c r="A2" s="8" t="s">
        <v>39</v>
      </c>
      <c r="B2" s="8" t="s">
        <v>44</v>
      </c>
      <c r="C2" s="8" t="s">
        <v>46</v>
      </c>
      <c r="D2" s="11" t="b">
        <v>1</v>
      </c>
      <c r="E2" s="11" t="b">
        <v>0</v>
      </c>
      <c r="F2" s="14" t="s">
        <v>49</v>
      </c>
      <c r="G2" s="8" t="s">
        <v>51</v>
      </c>
      <c r="H2" s="8"/>
      <c r="I2" s="14" t="s">
        <v>54</v>
      </c>
      <c r="J2" s="21"/>
    </row>
    <row r="4">
      <c r="A4" s="1" t="s">
        <v>66</v>
      </c>
      <c r="B4" s="1" t="s">
        <v>67</v>
      </c>
      <c r="C4" s="1" t="s">
        <v>68</v>
      </c>
      <c r="D4" s="3" t="s">
        <v>70</v>
      </c>
      <c r="E4" s="1" t="s">
        <v>34</v>
      </c>
    </row>
    <row r="5">
      <c r="A5" s="8" t="s">
        <v>71</v>
      </c>
      <c r="B5" s="8" t="s">
        <v>72</v>
      </c>
      <c r="C5" s="8" t="s">
        <v>72</v>
      </c>
      <c r="D5" s="8" t="s">
        <v>74</v>
      </c>
      <c r="E5" s="23"/>
    </row>
    <row r="7">
      <c r="A7" s="1" t="s">
        <v>77</v>
      </c>
      <c r="B7" s="1" t="s">
        <v>79</v>
      </c>
      <c r="C7" s="3" t="s">
        <v>80</v>
      </c>
      <c r="D7" s="3" t="s">
        <v>81</v>
      </c>
      <c r="E7" s="3" t="s">
        <v>82</v>
      </c>
      <c r="F7" s="3" t="s">
        <v>83</v>
      </c>
      <c r="G7" s="1" t="s">
        <v>84</v>
      </c>
      <c r="H7" s="1" t="s">
        <v>87</v>
      </c>
      <c r="I7" s="1" t="s">
        <v>89</v>
      </c>
      <c r="J7" s="1" t="s">
        <v>90</v>
      </c>
      <c r="K7" s="3" t="s">
        <v>92</v>
      </c>
      <c r="L7" s="1" t="s">
        <v>94</v>
      </c>
    </row>
    <row r="8">
      <c r="A8" s="8" t="s">
        <v>95</v>
      </c>
      <c r="B8" s="8"/>
      <c r="C8" s="8" t="s">
        <v>96</v>
      </c>
      <c r="D8" s="11" t="b">
        <v>1</v>
      </c>
      <c r="E8" s="11" t="b">
        <v>1</v>
      </c>
      <c r="F8" s="14" t="s">
        <v>98</v>
      </c>
      <c r="G8" s="8" t="s">
        <v>102</v>
      </c>
      <c r="H8" s="8"/>
      <c r="I8" s="8"/>
      <c r="J8" s="8"/>
      <c r="K8" s="24"/>
      <c r="L8" s="24"/>
    </row>
    <row r="10">
      <c r="A10" s="1" t="s">
        <v>108</v>
      </c>
      <c r="B10" s="3" t="s">
        <v>111</v>
      </c>
      <c r="C10" s="1" t="s">
        <v>113</v>
      </c>
      <c r="D10" s="1" t="s">
        <v>115</v>
      </c>
      <c r="E10" s="1" t="s">
        <v>116</v>
      </c>
    </row>
    <row r="11">
      <c r="A11" s="8" t="s">
        <v>118</v>
      </c>
      <c r="B11" s="8" t="s">
        <v>120</v>
      </c>
      <c r="C11" s="8" t="s">
        <v>121</v>
      </c>
      <c r="D11" s="8" t="s">
        <v>123</v>
      </c>
      <c r="E11" s="8" t="s">
        <v>125</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4" t="s">
        <v>0</v>
      </c>
      <c r="B1" s="4" t="s">
        <v>27</v>
      </c>
      <c r="C1" s="4" t="s">
        <v>30</v>
      </c>
      <c r="D1" s="4" t="s">
        <v>33</v>
      </c>
      <c r="E1" s="4" t="s">
        <v>36</v>
      </c>
      <c r="F1" s="4" t="s">
        <v>37</v>
      </c>
      <c r="G1" s="4" t="s">
        <v>40</v>
      </c>
      <c r="H1" s="4" t="s">
        <v>13</v>
      </c>
      <c r="I1" s="4" t="s">
        <v>16</v>
      </c>
      <c r="J1" s="4" t="s">
        <v>18</v>
      </c>
      <c r="K1" s="4" t="s">
        <v>21</v>
      </c>
      <c r="L1" s="4" t="s">
        <v>23</v>
      </c>
      <c r="M1" s="6" t="s">
        <v>25</v>
      </c>
      <c r="N1" s="4" t="s">
        <v>29</v>
      </c>
      <c r="O1" s="6" t="s">
        <v>32</v>
      </c>
      <c r="P1" s="4" t="s">
        <v>35</v>
      </c>
      <c r="Q1" s="4" t="s">
        <v>38</v>
      </c>
      <c r="R1" s="6" t="s">
        <v>41</v>
      </c>
      <c r="S1" s="4" t="s">
        <v>43</v>
      </c>
    </row>
    <row r="2">
      <c r="A2" s="17">
        <f t="shared" ref="A2:A22" si="1">ROW()-ROW($A$2)</f>
        <v>0</v>
      </c>
      <c r="B2" s="15" t="s">
        <v>61</v>
      </c>
      <c r="C2" s="15" t="s">
        <v>62</v>
      </c>
      <c r="D2" s="22">
        <v>0.0</v>
      </c>
      <c r="E2" s="15">
        <v>0.0</v>
      </c>
      <c r="F2" s="15" t="s">
        <v>64</v>
      </c>
      <c r="G2" s="19" t="s">
        <v>65</v>
      </c>
      <c r="H2" s="15" t="s">
        <v>57</v>
      </c>
      <c r="I2" s="22" t="s">
        <v>60</v>
      </c>
      <c r="J2" s="22" t="s">
        <v>69</v>
      </c>
      <c r="K2" s="19" t="s">
        <v>69</v>
      </c>
      <c r="L2" s="19" t="s">
        <v>69</v>
      </c>
      <c r="M2" s="22" t="s">
        <v>60</v>
      </c>
      <c r="N2" s="19" t="s">
        <v>58</v>
      </c>
      <c r="O2" s="22" t="s">
        <v>60</v>
      </c>
      <c r="P2" s="22" t="s">
        <v>60</v>
      </c>
      <c r="Q2" s="22" t="s">
        <v>60</v>
      </c>
      <c r="R2" s="22" t="s">
        <v>60</v>
      </c>
      <c r="S2" s="22" t="s">
        <v>60</v>
      </c>
    </row>
    <row r="3">
      <c r="A3" s="17">
        <f t="shared" si="1"/>
        <v>1</v>
      </c>
      <c r="B3" s="15" t="s">
        <v>100</v>
      </c>
      <c r="C3" s="15" t="s">
        <v>103</v>
      </c>
      <c r="D3" s="19">
        <v>2.0</v>
      </c>
      <c r="E3" s="15">
        <v>0.0</v>
      </c>
      <c r="F3" s="15" t="s">
        <v>106</v>
      </c>
      <c r="G3" s="19" t="s">
        <v>65</v>
      </c>
      <c r="H3" s="15" t="s">
        <v>57</v>
      </c>
      <c r="I3" s="19" t="s">
        <v>58</v>
      </c>
      <c r="J3" s="19" t="s">
        <v>69</v>
      </c>
      <c r="K3" s="19" t="s">
        <v>69</v>
      </c>
      <c r="L3" s="19" t="s">
        <v>69</v>
      </c>
      <c r="M3" s="22" t="s">
        <v>60</v>
      </c>
      <c r="N3" s="19" t="s">
        <v>69</v>
      </c>
      <c r="O3" s="22" t="s">
        <v>69</v>
      </c>
      <c r="P3" s="22" t="s">
        <v>60</v>
      </c>
      <c r="Q3" s="22" t="s">
        <v>69</v>
      </c>
      <c r="R3" s="22" t="s">
        <v>69</v>
      </c>
      <c r="S3" s="22" t="s">
        <v>69</v>
      </c>
    </row>
    <row r="4">
      <c r="A4" s="17">
        <f t="shared" si="1"/>
        <v>2</v>
      </c>
      <c r="B4" s="15" t="s">
        <v>124</v>
      </c>
      <c r="C4" s="15" t="s">
        <v>31</v>
      </c>
      <c r="D4" s="19">
        <v>2.0</v>
      </c>
      <c r="E4" s="15">
        <v>0.0</v>
      </c>
      <c r="F4" s="17" t="s">
        <v>127</v>
      </c>
      <c r="G4" s="19" t="s">
        <v>65</v>
      </c>
      <c r="H4" s="15" t="s">
        <v>57</v>
      </c>
      <c r="I4" s="19" t="s">
        <v>58</v>
      </c>
      <c r="J4" s="22" t="s">
        <v>60</v>
      </c>
      <c r="K4" s="19" t="s">
        <v>69</v>
      </c>
      <c r="L4" s="22" t="s">
        <v>69</v>
      </c>
      <c r="M4" s="22" t="s">
        <v>69</v>
      </c>
      <c r="N4" s="22" t="s">
        <v>129</v>
      </c>
      <c r="O4" s="22" t="s">
        <v>60</v>
      </c>
      <c r="P4" s="22" t="s">
        <v>60</v>
      </c>
      <c r="Q4" s="22" t="s">
        <v>60</v>
      </c>
      <c r="R4" s="22" t="s">
        <v>60</v>
      </c>
      <c r="S4" s="22" t="s">
        <v>69</v>
      </c>
    </row>
    <row r="5">
      <c r="A5" s="17">
        <f t="shared" si="1"/>
        <v>3</v>
      </c>
      <c r="B5" s="15" t="s">
        <v>138</v>
      </c>
      <c r="C5" s="17" t="s">
        <v>139</v>
      </c>
      <c r="D5" s="19">
        <v>2.0</v>
      </c>
      <c r="E5" s="25">
        <f>MAX(8,CEILING((COUNT(Table_Events[N])-1)/64,1))</f>
        <v>8</v>
      </c>
      <c r="F5" s="17" t="s">
        <v>145</v>
      </c>
      <c r="G5" s="19" t="s">
        <v>65</v>
      </c>
      <c r="H5" s="15" t="s">
        <v>57</v>
      </c>
      <c r="I5" s="22" t="s">
        <v>60</v>
      </c>
      <c r="J5" s="22" t="s">
        <v>60</v>
      </c>
      <c r="K5" s="22" t="s">
        <v>60</v>
      </c>
      <c r="L5" s="22" t="s">
        <v>60</v>
      </c>
      <c r="M5" s="22" t="s">
        <v>60</v>
      </c>
      <c r="N5" s="22" t="s">
        <v>60</v>
      </c>
      <c r="O5" s="22" t="s">
        <v>60</v>
      </c>
      <c r="P5" s="22" t="s">
        <v>60</v>
      </c>
      <c r="Q5" s="22" t="s">
        <v>60</v>
      </c>
      <c r="R5" s="22" t="s">
        <v>60</v>
      </c>
      <c r="S5" s="22" t="s">
        <v>58</v>
      </c>
    </row>
    <row r="6">
      <c r="A6" s="17">
        <f t="shared" si="1"/>
        <v>4</v>
      </c>
      <c r="B6" s="17" t="s">
        <v>151</v>
      </c>
      <c r="C6" s="17" t="s">
        <v>139</v>
      </c>
      <c r="D6" s="22">
        <v>2.0</v>
      </c>
      <c r="E6" s="26">
        <f>CEILING((COUNT(Table_Memento[N])-1)/64,1)</f>
        <v>1</v>
      </c>
      <c r="F6" s="17" t="s">
        <v>145</v>
      </c>
      <c r="G6" s="22" t="s">
        <v>65</v>
      </c>
      <c r="H6" s="15"/>
      <c r="I6" s="22" t="s">
        <v>60</v>
      </c>
      <c r="J6" s="22" t="s">
        <v>60</v>
      </c>
      <c r="K6" s="22" t="s">
        <v>60</v>
      </c>
      <c r="L6" s="22" t="s">
        <v>60</v>
      </c>
      <c r="M6" s="22" t="s">
        <v>60</v>
      </c>
      <c r="N6" s="22" t="s">
        <v>60</v>
      </c>
      <c r="O6" s="22" t="s">
        <v>60</v>
      </c>
      <c r="P6" s="22" t="s">
        <v>60</v>
      </c>
      <c r="Q6" s="22" t="s">
        <v>60</v>
      </c>
      <c r="R6" s="22" t="s">
        <v>60</v>
      </c>
      <c r="S6" s="22" t="s">
        <v>58</v>
      </c>
    </row>
    <row r="7">
      <c r="A7" s="17">
        <f t="shared" si="1"/>
        <v>5</v>
      </c>
      <c r="B7" s="17" t="s">
        <v>166</v>
      </c>
      <c r="C7" s="17" t="s">
        <v>139</v>
      </c>
      <c r="D7" s="22">
        <v>0.0</v>
      </c>
      <c r="E7" s="26">
        <f>CEILING((COUNT(Table_Memento_Parent[N])-1)/64,1)</f>
        <v>1</v>
      </c>
      <c r="F7" s="17" t="s">
        <v>145</v>
      </c>
      <c r="G7" s="22" t="s">
        <v>65</v>
      </c>
      <c r="H7" s="15"/>
      <c r="I7" s="22" t="s">
        <v>60</v>
      </c>
      <c r="J7" s="22" t="s">
        <v>60</v>
      </c>
      <c r="K7" s="22" t="s">
        <v>69</v>
      </c>
      <c r="L7" s="22" t="s">
        <v>60</v>
      </c>
      <c r="M7" s="22" t="s">
        <v>60</v>
      </c>
      <c r="N7" s="22" t="s">
        <v>60</v>
      </c>
      <c r="O7" s="22" t="s">
        <v>60</v>
      </c>
      <c r="P7" s="22" t="s">
        <v>60</v>
      </c>
      <c r="Q7" s="22" t="s">
        <v>60</v>
      </c>
      <c r="R7" s="22" t="s">
        <v>60</v>
      </c>
      <c r="S7" s="22" t="s">
        <v>58</v>
      </c>
    </row>
    <row r="8">
      <c r="A8" s="17">
        <f t="shared" si="1"/>
        <v>6</v>
      </c>
      <c r="B8" s="17" t="s">
        <v>190</v>
      </c>
      <c r="C8" s="17" t="s">
        <v>191</v>
      </c>
      <c r="D8" s="22">
        <v>2.0</v>
      </c>
      <c r="E8" s="26">
        <f>MAX(128,COUNTIF(Table_Items[PICKABLE],"=TRUE"))</f>
        <v>128</v>
      </c>
      <c r="F8" s="17" t="s">
        <v>194</v>
      </c>
      <c r="G8" s="22" t="s">
        <v>65</v>
      </c>
      <c r="H8" s="15"/>
      <c r="I8" s="22" t="s">
        <v>60</v>
      </c>
      <c r="J8" s="22" t="s">
        <v>60</v>
      </c>
      <c r="K8" s="22" t="s">
        <v>69</v>
      </c>
      <c r="L8" s="22" t="s">
        <v>60</v>
      </c>
      <c r="M8" s="22" t="s">
        <v>60</v>
      </c>
      <c r="N8" s="22" t="s">
        <v>129</v>
      </c>
      <c r="O8" s="22" t="s">
        <v>60</v>
      </c>
      <c r="P8" s="22" t="s">
        <v>60</v>
      </c>
      <c r="Q8" s="22" t="s">
        <v>58</v>
      </c>
      <c r="R8" s="22" t="s">
        <v>60</v>
      </c>
      <c r="S8" s="22" t="s">
        <v>60</v>
      </c>
    </row>
    <row r="9">
      <c r="A9" s="17">
        <f t="shared" si="1"/>
        <v>7</v>
      </c>
      <c r="B9" s="17" t="s">
        <v>205</v>
      </c>
      <c r="C9" s="17" t="s">
        <v>207</v>
      </c>
      <c r="D9" s="22">
        <v>2.0</v>
      </c>
      <c r="E9" s="26">
        <f>COUNT(Table_Characters[N])-1</f>
        <v>4</v>
      </c>
      <c r="F9" s="17" t="s">
        <v>208</v>
      </c>
      <c r="G9" s="22" t="s">
        <v>65</v>
      </c>
      <c r="H9" s="15"/>
      <c r="I9" s="22" t="s">
        <v>60</v>
      </c>
      <c r="J9" s="22" t="s">
        <v>60</v>
      </c>
      <c r="K9" s="22" t="s">
        <v>58</v>
      </c>
      <c r="L9" s="22" t="s">
        <v>60</v>
      </c>
      <c r="M9" s="22" t="s">
        <v>60</v>
      </c>
      <c r="N9" s="22" t="s">
        <v>60</v>
      </c>
      <c r="O9" s="22" t="s">
        <v>60</v>
      </c>
      <c r="P9" s="22" t="s">
        <v>69</v>
      </c>
      <c r="Q9" s="22" t="s">
        <v>60</v>
      </c>
      <c r="R9" s="22" t="s">
        <v>60</v>
      </c>
      <c r="S9" s="22" t="s">
        <v>60</v>
      </c>
    </row>
    <row r="10">
      <c r="A10" s="17">
        <f t="shared" si="1"/>
        <v>8</v>
      </c>
      <c r="B10" s="17" t="s">
        <v>218</v>
      </c>
      <c r="C10" s="17" t="s">
        <v>219</v>
      </c>
      <c r="D10" s="22">
        <v>0.0</v>
      </c>
      <c r="E10" s="17">
        <v>0.0</v>
      </c>
      <c r="F10" s="17" t="s">
        <v>221</v>
      </c>
      <c r="G10" s="22" t="s">
        <v>65</v>
      </c>
      <c r="H10" s="15"/>
      <c r="I10" s="22" t="s">
        <v>60</v>
      </c>
      <c r="J10" s="22" t="s">
        <v>60</v>
      </c>
      <c r="K10" s="22" t="s">
        <v>60</v>
      </c>
      <c r="L10" s="22" t="s">
        <v>58</v>
      </c>
      <c r="M10" s="22" t="s">
        <v>60</v>
      </c>
      <c r="N10" s="22" t="s">
        <v>60</v>
      </c>
      <c r="O10" s="22" t="s">
        <v>60</v>
      </c>
      <c r="P10" s="22" t="s">
        <v>60</v>
      </c>
      <c r="Q10" s="22" t="s">
        <v>60</v>
      </c>
      <c r="R10" s="22" t="s">
        <v>60</v>
      </c>
      <c r="S10" s="22" t="s">
        <v>60</v>
      </c>
    </row>
    <row r="11">
      <c r="A11" s="17">
        <f t="shared" si="1"/>
        <v>9</v>
      </c>
      <c r="B11" s="17" t="s">
        <v>230</v>
      </c>
      <c r="C11" s="17" t="s">
        <v>232</v>
      </c>
      <c r="D11" s="22">
        <v>0.0</v>
      </c>
      <c r="E11" s="17">
        <v>0.0</v>
      </c>
      <c r="F11" s="17" t="s">
        <v>235</v>
      </c>
      <c r="G11" s="22" t="s">
        <v>65</v>
      </c>
      <c r="H11" s="27"/>
      <c r="I11" s="22" t="s">
        <v>58</v>
      </c>
      <c r="J11" s="22" t="s">
        <v>60</v>
      </c>
      <c r="K11" s="22" t="s">
        <v>69</v>
      </c>
      <c r="L11" s="22" t="s">
        <v>69</v>
      </c>
      <c r="M11" s="22" t="s">
        <v>69</v>
      </c>
      <c r="N11" s="22" t="s">
        <v>69</v>
      </c>
      <c r="O11" s="22" t="s">
        <v>69</v>
      </c>
      <c r="P11" s="22" t="s">
        <v>60</v>
      </c>
      <c r="Q11" s="22" t="s">
        <v>69</v>
      </c>
      <c r="R11" s="22" t="s">
        <v>60</v>
      </c>
      <c r="S11" s="22" t="s">
        <v>69</v>
      </c>
    </row>
    <row r="12">
      <c r="A12" s="17">
        <f t="shared" si="1"/>
        <v>10</v>
      </c>
      <c r="B12" s="17" t="s">
        <v>250</v>
      </c>
      <c r="C12" s="17" t="s">
        <v>251</v>
      </c>
      <c r="D12" s="22">
        <v>0.0</v>
      </c>
      <c r="E12" s="17">
        <v>0.0</v>
      </c>
      <c r="F12" s="17" t="s">
        <v>253</v>
      </c>
      <c r="G12" s="22" t="s">
        <v>0</v>
      </c>
      <c r="H12" s="15"/>
      <c r="I12" s="22" t="s">
        <v>60</v>
      </c>
      <c r="J12" s="22" t="s">
        <v>60</v>
      </c>
      <c r="K12" s="22" t="s">
        <v>69</v>
      </c>
      <c r="L12" s="22" t="s">
        <v>60</v>
      </c>
      <c r="M12" s="22" t="s">
        <v>60</v>
      </c>
      <c r="N12" s="22" t="s">
        <v>58</v>
      </c>
      <c r="O12" s="22" t="s">
        <v>60</v>
      </c>
      <c r="P12" s="22" t="s">
        <v>60</v>
      </c>
      <c r="Q12" s="22" t="s">
        <v>60</v>
      </c>
      <c r="R12" s="22" t="s">
        <v>60</v>
      </c>
      <c r="S12" s="22" t="s">
        <v>60</v>
      </c>
    </row>
    <row r="13">
      <c r="A13" s="17">
        <f t="shared" si="1"/>
        <v>11</v>
      </c>
      <c r="B13" s="15" t="s">
        <v>265</v>
      </c>
      <c r="C13" s="15" t="s">
        <v>266</v>
      </c>
      <c r="D13" s="19">
        <v>0.0</v>
      </c>
      <c r="E13" s="15">
        <v>0.0</v>
      </c>
      <c r="F13" s="15" t="s">
        <v>267</v>
      </c>
      <c r="G13" s="19" t="s">
        <v>0</v>
      </c>
      <c r="H13" s="15" t="s">
        <v>57</v>
      </c>
      <c r="I13" s="19" t="s">
        <v>58</v>
      </c>
      <c r="J13" s="22" t="s">
        <v>129</v>
      </c>
      <c r="K13" s="19" t="s">
        <v>129</v>
      </c>
      <c r="L13" s="19" t="s">
        <v>129</v>
      </c>
      <c r="M13" s="22" t="s">
        <v>129</v>
      </c>
      <c r="N13" s="19" t="s">
        <v>129</v>
      </c>
      <c r="O13" s="22" t="s">
        <v>129</v>
      </c>
      <c r="P13" s="19" t="s">
        <v>129</v>
      </c>
      <c r="Q13" s="22" t="s">
        <v>129</v>
      </c>
      <c r="R13" s="22" t="s">
        <v>129</v>
      </c>
      <c r="S13" s="22" t="s">
        <v>129</v>
      </c>
    </row>
    <row r="14">
      <c r="A14" s="17">
        <f t="shared" si="1"/>
        <v>12</v>
      </c>
      <c r="B14" s="15" t="s">
        <v>278</v>
      </c>
      <c r="C14" s="15" t="s">
        <v>279</v>
      </c>
      <c r="D14" s="19">
        <v>0.0</v>
      </c>
      <c r="E14" s="15">
        <v>0.0</v>
      </c>
      <c r="F14" s="15" t="s">
        <v>281</v>
      </c>
      <c r="G14" s="19" t="s">
        <v>0</v>
      </c>
      <c r="H14" s="15" t="s">
        <v>57</v>
      </c>
      <c r="I14" s="19" t="s">
        <v>69</v>
      </c>
      <c r="J14" s="22" t="s">
        <v>58</v>
      </c>
      <c r="K14" s="22" t="s">
        <v>69</v>
      </c>
      <c r="L14" s="22" t="s">
        <v>69</v>
      </c>
      <c r="M14" s="22" t="s">
        <v>60</v>
      </c>
      <c r="N14" s="19" t="s">
        <v>69</v>
      </c>
      <c r="O14" s="22" t="s">
        <v>69</v>
      </c>
      <c r="P14" s="22" t="s">
        <v>60</v>
      </c>
      <c r="Q14" s="22" t="s">
        <v>60</v>
      </c>
      <c r="R14" s="22" t="s">
        <v>69</v>
      </c>
      <c r="S14" s="22" t="s">
        <v>60</v>
      </c>
    </row>
    <row r="15">
      <c r="A15" s="17">
        <f t="shared" si="1"/>
        <v>13</v>
      </c>
      <c r="B15" s="15" t="s">
        <v>293</v>
      </c>
      <c r="C15" s="15" t="s">
        <v>294</v>
      </c>
      <c r="D15" s="19">
        <v>0.0</v>
      </c>
      <c r="E15" s="15">
        <v>0.0</v>
      </c>
      <c r="F15" s="15" t="s">
        <v>296</v>
      </c>
      <c r="G15" s="19" t="s">
        <v>0</v>
      </c>
      <c r="H15" s="15" t="s">
        <v>57</v>
      </c>
      <c r="I15" s="22" t="s">
        <v>60</v>
      </c>
      <c r="J15" s="19" t="s">
        <v>58</v>
      </c>
      <c r="K15" s="22" t="s">
        <v>69</v>
      </c>
      <c r="L15" s="19" t="s">
        <v>69</v>
      </c>
      <c r="M15" s="22" t="s">
        <v>60</v>
      </c>
      <c r="N15" s="19" t="s">
        <v>69</v>
      </c>
      <c r="O15" s="22" t="s">
        <v>60</v>
      </c>
      <c r="P15" s="22" t="s">
        <v>60</v>
      </c>
      <c r="Q15" s="22" t="s">
        <v>60</v>
      </c>
      <c r="R15" s="22" t="s">
        <v>69</v>
      </c>
      <c r="S15" s="22" t="s">
        <v>60</v>
      </c>
    </row>
    <row r="16">
      <c r="A16" s="17">
        <f t="shared" si="1"/>
        <v>14</v>
      </c>
      <c r="B16" s="17" t="s">
        <v>307</v>
      </c>
      <c r="C16" s="17" t="s">
        <v>191</v>
      </c>
      <c r="D16" s="22">
        <v>0.0</v>
      </c>
      <c r="E16" s="17">
        <v>0.0</v>
      </c>
      <c r="F16" s="17" t="s">
        <v>194</v>
      </c>
      <c r="G16" s="22" t="s">
        <v>0</v>
      </c>
      <c r="H16" s="27"/>
      <c r="I16" s="22" t="s">
        <v>60</v>
      </c>
      <c r="J16" s="22" t="s">
        <v>60</v>
      </c>
      <c r="K16" s="22" t="s">
        <v>58</v>
      </c>
      <c r="L16" s="22" t="s">
        <v>69</v>
      </c>
      <c r="M16" s="22" t="s">
        <v>60</v>
      </c>
      <c r="N16" s="22" t="s">
        <v>69</v>
      </c>
      <c r="O16" s="22" t="s">
        <v>69</v>
      </c>
      <c r="P16" s="22" t="s">
        <v>129</v>
      </c>
      <c r="Q16" s="22" t="s">
        <v>69</v>
      </c>
      <c r="R16" s="22" t="s">
        <v>60</v>
      </c>
      <c r="S16" s="22" t="s">
        <v>60</v>
      </c>
    </row>
    <row r="17" ht="15.75" customHeight="1">
      <c r="A17" s="17">
        <f t="shared" si="1"/>
        <v>15</v>
      </c>
      <c r="B17" s="17" t="s">
        <v>320</v>
      </c>
      <c r="C17" s="17" t="s">
        <v>251</v>
      </c>
      <c r="D17" s="22">
        <v>2.0</v>
      </c>
      <c r="E17" s="17">
        <v>0.0</v>
      </c>
      <c r="F17" s="17" t="s">
        <v>253</v>
      </c>
      <c r="G17" s="22" t="s">
        <v>0</v>
      </c>
      <c r="H17" s="27"/>
      <c r="I17" s="22" t="s">
        <v>60</v>
      </c>
      <c r="J17" s="22" t="s">
        <v>60</v>
      </c>
      <c r="K17" s="22" t="s">
        <v>69</v>
      </c>
      <c r="L17" s="22" t="s">
        <v>129</v>
      </c>
      <c r="M17" s="22" t="s">
        <v>60</v>
      </c>
      <c r="N17" s="22" t="s">
        <v>58</v>
      </c>
      <c r="O17" s="22" t="s">
        <v>60</v>
      </c>
      <c r="P17" s="22" t="s">
        <v>60</v>
      </c>
      <c r="Q17" s="22" t="s">
        <v>69</v>
      </c>
      <c r="R17" s="22" t="s">
        <v>60</v>
      </c>
      <c r="S17" s="22" t="s">
        <v>60</v>
      </c>
    </row>
    <row r="18" ht="15.75" customHeight="1">
      <c r="A18" s="17">
        <f t="shared" si="1"/>
        <v>16</v>
      </c>
      <c r="B18" s="17" t="s">
        <v>333</v>
      </c>
      <c r="C18" s="17" t="s">
        <v>335</v>
      </c>
      <c r="D18" s="22">
        <v>0.0</v>
      </c>
      <c r="E18" s="17">
        <v>0.0</v>
      </c>
      <c r="F18" s="17" t="s">
        <v>339</v>
      </c>
      <c r="G18" s="22" t="s">
        <v>0</v>
      </c>
      <c r="H18" s="27"/>
      <c r="I18" s="22" t="s">
        <v>60</v>
      </c>
      <c r="J18" s="22" t="s">
        <v>60</v>
      </c>
      <c r="K18" s="22" t="s">
        <v>69</v>
      </c>
      <c r="L18" s="22" t="s">
        <v>129</v>
      </c>
      <c r="M18" s="22" t="s">
        <v>60</v>
      </c>
      <c r="N18" s="22" t="s">
        <v>58</v>
      </c>
      <c r="O18" s="22" t="s">
        <v>60</v>
      </c>
      <c r="P18" s="22" t="s">
        <v>60</v>
      </c>
      <c r="Q18" s="22" t="s">
        <v>60</v>
      </c>
      <c r="R18" s="22" t="s">
        <v>60</v>
      </c>
      <c r="S18" s="22" t="s">
        <v>60</v>
      </c>
    </row>
    <row r="19" ht="15.75" customHeight="1">
      <c r="A19" s="17">
        <f t="shared" si="1"/>
        <v>17</v>
      </c>
      <c r="B19" s="17" t="s">
        <v>349</v>
      </c>
      <c r="C19" s="17" t="s">
        <v>351</v>
      </c>
      <c r="D19" s="22">
        <v>0.0</v>
      </c>
      <c r="E19" s="17">
        <v>0.0</v>
      </c>
      <c r="F19" s="17" t="s">
        <v>353</v>
      </c>
      <c r="G19" s="22" t="s">
        <v>0</v>
      </c>
      <c r="H19" s="27"/>
      <c r="I19" s="22" t="s">
        <v>69</v>
      </c>
      <c r="J19" s="22" t="s">
        <v>60</v>
      </c>
      <c r="K19" s="22" t="s">
        <v>69</v>
      </c>
      <c r="L19" s="22" t="s">
        <v>60</v>
      </c>
      <c r="M19" s="22" t="s">
        <v>60</v>
      </c>
      <c r="N19" s="22" t="s">
        <v>69</v>
      </c>
      <c r="O19" s="22" t="s">
        <v>69</v>
      </c>
      <c r="P19" s="22" t="s">
        <v>60</v>
      </c>
      <c r="Q19" s="22" t="s">
        <v>60</v>
      </c>
      <c r="R19" s="22" t="s">
        <v>60</v>
      </c>
      <c r="S19" s="22" t="s">
        <v>58</v>
      </c>
    </row>
    <row r="20" ht="15.75" customHeight="1">
      <c r="A20" s="17">
        <f t="shared" si="1"/>
        <v>18</v>
      </c>
      <c r="B20" s="17" t="s">
        <v>364</v>
      </c>
      <c r="C20" s="17" t="s">
        <v>366</v>
      </c>
      <c r="D20" s="22">
        <v>0.0</v>
      </c>
      <c r="E20" s="17">
        <v>0.0</v>
      </c>
      <c r="F20" s="17">
        <v>0.0</v>
      </c>
      <c r="G20" s="22" t="s">
        <v>0</v>
      </c>
      <c r="H20" s="27"/>
      <c r="I20" s="22" t="s">
        <v>60</v>
      </c>
      <c r="J20" s="22" t="s">
        <v>60</v>
      </c>
      <c r="K20" s="22" t="s">
        <v>58</v>
      </c>
      <c r="L20" s="22" t="s">
        <v>60</v>
      </c>
      <c r="M20" s="22" t="s">
        <v>60</v>
      </c>
      <c r="N20" s="22" t="s">
        <v>69</v>
      </c>
      <c r="O20" s="22" t="s">
        <v>60</v>
      </c>
      <c r="P20" s="22" t="s">
        <v>60</v>
      </c>
      <c r="Q20" s="22" t="s">
        <v>60</v>
      </c>
      <c r="R20" s="22" t="s">
        <v>60</v>
      </c>
      <c r="S20" s="22" t="s">
        <v>60</v>
      </c>
    </row>
    <row r="21" ht="15.75" customHeight="1">
      <c r="A21" s="17">
        <f t="shared" si="1"/>
        <v>19</v>
      </c>
      <c r="B21" s="17" t="s">
        <v>376</v>
      </c>
      <c r="C21" s="17" t="s">
        <v>378</v>
      </c>
      <c r="D21" s="22">
        <v>0.0</v>
      </c>
      <c r="E21" s="17">
        <v>0.0</v>
      </c>
      <c r="F21" s="39" t="s">
        <v>380</v>
      </c>
      <c r="G21" s="22" t="s">
        <v>0</v>
      </c>
      <c r="H21" s="27"/>
      <c r="I21" s="22" t="s">
        <v>58</v>
      </c>
      <c r="J21" s="22" t="s">
        <v>60</v>
      </c>
      <c r="K21" s="22" t="s">
        <v>69</v>
      </c>
      <c r="L21" s="22" t="s">
        <v>60</v>
      </c>
      <c r="M21" s="22" t="s">
        <v>60</v>
      </c>
      <c r="N21" s="22" t="s">
        <v>69</v>
      </c>
      <c r="O21" s="22" t="s">
        <v>60</v>
      </c>
      <c r="P21" s="22" t="s">
        <v>60</v>
      </c>
      <c r="Q21" s="22" t="s">
        <v>60</v>
      </c>
      <c r="R21" s="22" t="s">
        <v>60</v>
      </c>
      <c r="S21" s="22" t="s">
        <v>60</v>
      </c>
    </row>
    <row r="22" ht="15.75" customHeight="1">
      <c r="A22" s="17">
        <f t="shared" si="1"/>
        <v>20</v>
      </c>
      <c r="B22" s="17" t="s">
        <v>395</v>
      </c>
      <c r="C22" s="17" t="s">
        <v>378</v>
      </c>
      <c r="D22" s="22">
        <v>0.0</v>
      </c>
      <c r="E22" s="17">
        <v>0.0</v>
      </c>
      <c r="F22" s="39" t="s">
        <v>380</v>
      </c>
      <c r="G22" s="22" t="s">
        <v>0</v>
      </c>
      <c r="H22" s="27"/>
      <c r="I22" s="22" t="s">
        <v>58</v>
      </c>
      <c r="J22" s="22" t="s">
        <v>60</v>
      </c>
      <c r="K22" s="22" t="s">
        <v>60</v>
      </c>
      <c r="L22" s="22" t="s">
        <v>60</v>
      </c>
      <c r="M22" s="22" t="s">
        <v>60</v>
      </c>
      <c r="N22" s="22" t="s">
        <v>60</v>
      </c>
      <c r="O22" s="22" t="s">
        <v>60</v>
      </c>
      <c r="P22" s="22" t="s">
        <v>60</v>
      </c>
      <c r="Q22" s="22" t="s">
        <v>60</v>
      </c>
      <c r="R22" s="22" t="s">
        <v>60</v>
      </c>
      <c r="S22" s="22" t="s">
        <v>60</v>
      </c>
    </row>
    <row r="23" ht="15.75" customHeight="1"/>
    <row r="24" ht="15.75" customHeight="1"/>
    <row r="25" ht="15.75" customHeight="1"/>
    <row r="26" ht="15.75" customHeight="1"/>
    <row r="27" ht="15.75" customHeight="1"/>
    <row r="28" ht="15.75" customHeight="1"/>
    <row r="29" ht="15.75" customHeight="1">
      <c r="I29" s="41"/>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 t="s">
        <v>0</v>
      </c>
      <c r="B1" s="4" t="s">
        <v>3</v>
      </c>
      <c r="C1" s="4" t="s">
        <v>6</v>
      </c>
      <c r="D1" s="4" t="s">
        <v>8</v>
      </c>
      <c r="E1" s="2" t="s">
        <v>11</v>
      </c>
      <c r="F1" s="4" t="s">
        <v>13</v>
      </c>
      <c r="G1" s="4" t="s">
        <v>16</v>
      </c>
      <c r="H1" s="4" t="s">
        <v>18</v>
      </c>
      <c r="I1" s="4" t="s">
        <v>21</v>
      </c>
      <c r="J1" s="4" t="s">
        <v>23</v>
      </c>
      <c r="K1" s="6" t="s">
        <v>25</v>
      </c>
      <c r="L1" s="4" t="s">
        <v>29</v>
      </c>
      <c r="M1" s="6" t="s">
        <v>32</v>
      </c>
      <c r="N1" s="4" t="s">
        <v>35</v>
      </c>
      <c r="O1" s="4" t="s">
        <v>38</v>
      </c>
      <c r="P1" s="6" t="s">
        <v>41</v>
      </c>
      <c r="Q1" s="4" t="s">
        <v>43</v>
      </c>
    </row>
    <row r="2">
      <c r="A2" s="13">
        <f t="shared" ref="A2:A53" si="1">ROW()-ROW($A$2)</f>
        <v>0</v>
      </c>
      <c r="B2" s="15" t="s">
        <v>50</v>
      </c>
      <c r="C2" s="15" t="s">
        <v>52</v>
      </c>
      <c r="D2" s="15" t="s">
        <v>53</v>
      </c>
      <c r="E2" s="17" t="s">
        <v>55</v>
      </c>
      <c r="F2" s="15" t="s">
        <v>57</v>
      </c>
      <c r="G2" s="19" t="s">
        <v>58</v>
      </c>
      <c r="H2" s="22" t="s">
        <v>60</v>
      </c>
      <c r="I2" s="22" t="s">
        <v>60</v>
      </c>
      <c r="J2" s="22" t="s">
        <v>60</v>
      </c>
      <c r="K2" s="22" t="s">
        <v>60</v>
      </c>
      <c r="L2" s="19" t="s">
        <v>63</v>
      </c>
      <c r="M2" s="22" t="s">
        <v>60</v>
      </c>
      <c r="N2" s="22" t="s">
        <v>60</v>
      </c>
      <c r="O2" s="22" t="s">
        <v>60</v>
      </c>
      <c r="P2" s="22" t="s">
        <v>60</v>
      </c>
      <c r="Q2" s="22" t="s">
        <v>60</v>
      </c>
    </row>
    <row r="3">
      <c r="A3" s="13">
        <f t="shared" si="1"/>
        <v>1</v>
      </c>
      <c r="B3" s="17" t="s">
        <v>86</v>
      </c>
      <c r="C3" s="17" t="s">
        <v>88</v>
      </c>
      <c r="D3" s="17" t="s">
        <v>91</v>
      </c>
      <c r="E3" s="17" t="s">
        <v>93</v>
      </c>
      <c r="F3" s="15"/>
      <c r="G3" s="22" t="s">
        <v>58</v>
      </c>
      <c r="H3" s="22" t="s">
        <v>60</v>
      </c>
      <c r="I3" s="22" t="s">
        <v>63</v>
      </c>
      <c r="J3" s="22" t="s">
        <v>60</v>
      </c>
      <c r="K3" s="22" t="s">
        <v>60</v>
      </c>
      <c r="L3" s="22" t="s">
        <v>63</v>
      </c>
      <c r="M3" s="22" t="s">
        <v>60</v>
      </c>
      <c r="N3" s="22" t="s">
        <v>60</v>
      </c>
      <c r="O3" s="22" t="s">
        <v>60</v>
      </c>
      <c r="P3" s="22" t="s">
        <v>60</v>
      </c>
      <c r="Q3" s="22" t="s">
        <v>60</v>
      </c>
    </row>
    <row r="4">
      <c r="A4" s="13">
        <f t="shared" si="1"/>
        <v>2</v>
      </c>
      <c r="B4" s="17" t="s">
        <v>109</v>
      </c>
      <c r="C4" s="17" t="s">
        <v>110</v>
      </c>
      <c r="D4" s="17" t="s">
        <v>112</v>
      </c>
      <c r="E4" s="17" t="s">
        <v>114</v>
      </c>
      <c r="F4" s="15"/>
      <c r="G4" s="22" t="s">
        <v>58</v>
      </c>
      <c r="H4" s="22" t="s">
        <v>60</v>
      </c>
      <c r="I4" s="22" t="s">
        <v>60</v>
      </c>
      <c r="J4" s="22" t="s">
        <v>60</v>
      </c>
      <c r="K4" s="22" t="s">
        <v>60</v>
      </c>
      <c r="L4" s="22" t="s">
        <v>63</v>
      </c>
      <c r="M4" s="22" t="s">
        <v>60</v>
      </c>
      <c r="N4" s="22" t="s">
        <v>60</v>
      </c>
      <c r="O4" s="22" t="s">
        <v>60</v>
      </c>
      <c r="P4" s="22" t="s">
        <v>60</v>
      </c>
      <c r="Q4" s="22" t="s">
        <v>60</v>
      </c>
    </row>
    <row r="5">
      <c r="A5" s="13">
        <f t="shared" si="1"/>
        <v>3</v>
      </c>
      <c r="B5" s="15" t="s">
        <v>130</v>
      </c>
      <c r="C5" s="15" t="s">
        <v>131</v>
      </c>
      <c r="D5" s="15" t="s">
        <v>133</v>
      </c>
      <c r="E5" s="17" t="s">
        <v>135</v>
      </c>
      <c r="F5" s="15" t="s">
        <v>57</v>
      </c>
      <c r="G5" s="19" t="s">
        <v>58</v>
      </c>
      <c r="H5" s="22" t="s">
        <v>60</v>
      </c>
      <c r="I5" s="19" t="s">
        <v>63</v>
      </c>
      <c r="J5" s="22" t="s">
        <v>60</v>
      </c>
      <c r="K5" s="22" t="s">
        <v>60</v>
      </c>
      <c r="L5" s="22" t="s">
        <v>60</v>
      </c>
      <c r="M5" s="22" t="s">
        <v>60</v>
      </c>
      <c r="N5" s="22" t="s">
        <v>60</v>
      </c>
      <c r="O5" s="22" t="s">
        <v>60</v>
      </c>
      <c r="P5" s="22" t="s">
        <v>60</v>
      </c>
      <c r="Q5" s="22" t="s">
        <v>60</v>
      </c>
    </row>
    <row r="6">
      <c r="A6" s="13">
        <f t="shared" si="1"/>
        <v>4</v>
      </c>
      <c r="B6" s="15" t="s">
        <v>141</v>
      </c>
      <c r="C6" s="15" t="s">
        <v>142</v>
      </c>
      <c r="D6" s="15" t="s">
        <v>143</v>
      </c>
      <c r="E6" s="17" t="s">
        <v>146</v>
      </c>
      <c r="F6" s="15" t="s">
        <v>57</v>
      </c>
      <c r="G6" s="19" t="s">
        <v>58</v>
      </c>
      <c r="H6" s="22" t="s">
        <v>60</v>
      </c>
      <c r="I6" s="22" t="s">
        <v>60</v>
      </c>
      <c r="J6" s="22" t="s">
        <v>60</v>
      </c>
      <c r="K6" s="22" t="s">
        <v>60</v>
      </c>
      <c r="L6" s="19" t="s">
        <v>63</v>
      </c>
      <c r="M6" s="22" t="s">
        <v>60</v>
      </c>
      <c r="N6" s="22" t="s">
        <v>60</v>
      </c>
      <c r="O6" s="22" t="s">
        <v>60</v>
      </c>
      <c r="P6" s="22" t="s">
        <v>60</v>
      </c>
      <c r="Q6" s="22" t="s">
        <v>60</v>
      </c>
    </row>
    <row r="7">
      <c r="A7" s="13">
        <f t="shared" si="1"/>
        <v>5</v>
      </c>
      <c r="B7" s="17" t="s">
        <v>152</v>
      </c>
      <c r="C7" s="17" t="s">
        <v>153</v>
      </c>
      <c r="D7" s="15" t="s">
        <v>154</v>
      </c>
      <c r="E7" s="17" t="s">
        <v>155</v>
      </c>
      <c r="F7" s="15" t="s">
        <v>57</v>
      </c>
      <c r="G7" s="19" t="s">
        <v>58</v>
      </c>
      <c r="H7" s="22" t="s">
        <v>63</v>
      </c>
      <c r="I7" s="19" t="s">
        <v>63</v>
      </c>
      <c r="J7" s="22" t="s">
        <v>63</v>
      </c>
      <c r="K7" s="22" t="s">
        <v>63</v>
      </c>
      <c r="L7" s="22" t="s">
        <v>63</v>
      </c>
      <c r="M7" s="22" t="s">
        <v>63</v>
      </c>
      <c r="N7" s="22" t="s">
        <v>63</v>
      </c>
      <c r="O7" s="22" t="s">
        <v>63</v>
      </c>
      <c r="P7" s="22" t="s">
        <v>63</v>
      </c>
      <c r="Q7" s="22" t="s">
        <v>63</v>
      </c>
    </row>
    <row r="8">
      <c r="A8" s="13">
        <f t="shared" si="1"/>
        <v>6</v>
      </c>
      <c r="B8" s="17" t="s">
        <v>160</v>
      </c>
      <c r="C8" s="17" t="s">
        <v>161</v>
      </c>
      <c r="D8" s="17" t="s">
        <v>162</v>
      </c>
      <c r="E8" s="17" t="s">
        <v>163</v>
      </c>
      <c r="F8" s="15"/>
      <c r="G8" s="22" t="s">
        <v>58</v>
      </c>
      <c r="H8" s="22" t="s">
        <v>63</v>
      </c>
      <c r="I8" s="22" t="s">
        <v>63</v>
      </c>
      <c r="J8" s="22" t="s">
        <v>63</v>
      </c>
      <c r="K8" s="22" t="s">
        <v>63</v>
      </c>
      <c r="L8" s="22" t="s">
        <v>63</v>
      </c>
      <c r="M8" s="22" t="s">
        <v>63</v>
      </c>
      <c r="N8" s="22" t="s">
        <v>63</v>
      </c>
      <c r="O8" s="22" t="s">
        <v>63</v>
      </c>
      <c r="P8" s="22" t="s">
        <v>63</v>
      </c>
      <c r="Q8" s="22" t="s">
        <v>63</v>
      </c>
    </row>
    <row r="9">
      <c r="A9" s="13">
        <f t="shared" si="1"/>
        <v>7</v>
      </c>
      <c r="B9" s="17" t="s">
        <v>167</v>
      </c>
      <c r="C9" s="17" t="s">
        <v>168</v>
      </c>
      <c r="D9" s="17" t="s">
        <v>169</v>
      </c>
      <c r="E9" s="17" t="s">
        <v>170</v>
      </c>
      <c r="F9" s="27"/>
      <c r="G9" s="22" t="s">
        <v>60</v>
      </c>
      <c r="H9" s="22" t="s">
        <v>60</v>
      </c>
      <c r="I9" s="22" t="s">
        <v>58</v>
      </c>
      <c r="J9" s="22" t="s">
        <v>60</v>
      </c>
      <c r="K9" s="22" t="s">
        <v>60</v>
      </c>
      <c r="L9" s="22" t="s">
        <v>60</v>
      </c>
      <c r="M9" s="22" t="s">
        <v>60</v>
      </c>
      <c r="N9" s="22" t="s">
        <v>63</v>
      </c>
      <c r="O9" s="22" t="s">
        <v>63</v>
      </c>
      <c r="P9" s="22" t="s">
        <v>60</v>
      </c>
      <c r="Q9" s="22" t="s">
        <v>60</v>
      </c>
    </row>
    <row r="10">
      <c r="A10" s="13">
        <f t="shared" si="1"/>
        <v>8</v>
      </c>
      <c r="B10" s="15" t="s">
        <v>179</v>
      </c>
      <c r="C10" s="17" t="s">
        <v>180</v>
      </c>
      <c r="D10" s="15" t="s">
        <v>181</v>
      </c>
      <c r="E10" s="17" t="s">
        <v>182</v>
      </c>
      <c r="F10" s="27"/>
      <c r="G10" s="22" t="s">
        <v>60</v>
      </c>
      <c r="H10" s="22" t="s">
        <v>60</v>
      </c>
      <c r="I10" s="19" t="s">
        <v>58</v>
      </c>
      <c r="J10" s="22" t="s">
        <v>60</v>
      </c>
      <c r="K10" s="22" t="s">
        <v>60</v>
      </c>
      <c r="L10" s="22" t="s">
        <v>60</v>
      </c>
      <c r="M10" s="22" t="s">
        <v>60</v>
      </c>
      <c r="N10" s="19" t="s">
        <v>63</v>
      </c>
      <c r="O10" s="22" t="s">
        <v>60</v>
      </c>
      <c r="P10" s="22" t="s">
        <v>60</v>
      </c>
      <c r="Q10" s="22" t="s">
        <v>60</v>
      </c>
    </row>
    <row r="11">
      <c r="A11" s="13">
        <f t="shared" si="1"/>
        <v>9</v>
      </c>
      <c r="B11" s="17" t="s">
        <v>192</v>
      </c>
      <c r="C11" s="17" t="s">
        <v>193</v>
      </c>
      <c r="D11" s="17" t="s">
        <v>196</v>
      </c>
      <c r="E11" s="17" t="s">
        <v>197</v>
      </c>
      <c r="F11" s="27"/>
      <c r="G11" s="22" t="s">
        <v>60</v>
      </c>
      <c r="H11" s="22" t="s">
        <v>60</v>
      </c>
      <c r="I11" s="22" t="s">
        <v>58</v>
      </c>
      <c r="J11" s="22" t="s">
        <v>60</v>
      </c>
      <c r="K11" s="22" t="s">
        <v>60</v>
      </c>
      <c r="L11" s="22" t="s">
        <v>60</v>
      </c>
      <c r="M11" s="22" t="s">
        <v>60</v>
      </c>
      <c r="N11" s="22" t="s">
        <v>60</v>
      </c>
      <c r="O11" s="22" t="s">
        <v>63</v>
      </c>
      <c r="P11" s="22" t="s">
        <v>60</v>
      </c>
      <c r="Q11" s="22" t="s">
        <v>60</v>
      </c>
    </row>
    <row r="12">
      <c r="A12" s="13">
        <f t="shared" si="1"/>
        <v>10</v>
      </c>
      <c r="B12" s="17" t="s">
        <v>209</v>
      </c>
      <c r="C12" s="17" t="s">
        <v>210</v>
      </c>
      <c r="D12" s="17" t="s">
        <v>211</v>
      </c>
      <c r="E12" s="17" t="s">
        <v>213</v>
      </c>
      <c r="F12" s="27"/>
      <c r="G12" s="22" t="s">
        <v>60</v>
      </c>
      <c r="H12" s="22" t="s">
        <v>60</v>
      </c>
      <c r="I12" s="22" t="s">
        <v>58</v>
      </c>
      <c r="J12" s="22" t="s">
        <v>60</v>
      </c>
      <c r="K12" s="22" t="s">
        <v>60</v>
      </c>
      <c r="L12" s="22" t="s">
        <v>60</v>
      </c>
      <c r="M12" s="22" t="s">
        <v>60</v>
      </c>
      <c r="N12" s="22" t="s">
        <v>60</v>
      </c>
      <c r="O12" s="22" t="s">
        <v>63</v>
      </c>
      <c r="P12" s="22" t="s">
        <v>60</v>
      </c>
      <c r="Q12" s="22" t="s">
        <v>60</v>
      </c>
    </row>
    <row r="13">
      <c r="A13" s="13">
        <f t="shared" si="1"/>
        <v>11</v>
      </c>
      <c r="B13" s="17" t="s">
        <v>220</v>
      </c>
      <c r="C13" s="17" t="s">
        <v>222</v>
      </c>
      <c r="D13" s="17" t="s">
        <v>224</v>
      </c>
      <c r="E13" s="17" t="s">
        <v>226</v>
      </c>
      <c r="F13" s="27"/>
      <c r="G13" s="22" t="s">
        <v>60</v>
      </c>
      <c r="H13" s="22" t="s">
        <v>60</v>
      </c>
      <c r="I13" s="22" t="s">
        <v>58</v>
      </c>
      <c r="J13" s="22" t="s">
        <v>60</v>
      </c>
      <c r="K13" s="22" t="s">
        <v>60</v>
      </c>
      <c r="L13" s="22" t="s">
        <v>60</v>
      </c>
      <c r="M13" s="22" t="s">
        <v>60</v>
      </c>
      <c r="N13" s="22" t="s">
        <v>63</v>
      </c>
      <c r="O13" s="22" t="s">
        <v>60</v>
      </c>
      <c r="P13" s="22" t="s">
        <v>60</v>
      </c>
      <c r="Q13" s="22" t="s">
        <v>60</v>
      </c>
    </row>
    <row r="14">
      <c r="A14" s="13">
        <f t="shared" si="1"/>
        <v>12</v>
      </c>
      <c r="B14" s="17" t="s">
        <v>234</v>
      </c>
      <c r="C14" s="17" t="s">
        <v>236</v>
      </c>
      <c r="D14" s="17" t="s">
        <v>237</v>
      </c>
      <c r="E14" s="17" t="s">
        <v>239</v>
      </c>
      <c r="F14" s="27"/>
      <c r="G14" s="22" t="s">
        <v>60</v>
      </c>
      <c r="H14" s="22" t="s">
        <v>60</v>
      </c>
      <c r="I14" s="22" t="s">
        <v>58</v>
      </c>
      <c r="J14" s="22" t="s">
        <v>60</v>
      </c>
      <c r="K14" s="22" t="s">
        <v>60</v>
      </c>
      <c r="L14" s="22" t="s">
        <v>60</v>
      </c>
      <c r="M14" s="22" t="s">
        <v>60</v>
      </c>
      <c r="N14" s="22" t="s">
        <v>60</v>
      </c>
      <c r="O14" s="22" t="s">
        <v>63</v>
      </c>
      <c r="P14" s="22" t="s">
        <v>60</v>
      </c>
      <c r="Q14" s="22" t="s">
        <v>63</v>
      </c>
    </row>
    <row r="15">
      <c r="A15" s="13">
        <f t="shared" si="1"/>
        <v>13</v>
      </c>
      <c r="B15" s="17" t="s">
        <v>245</v>
      </c>
      <c r="C15" s="17" t="s">
        <v>246</v>
      </c>
      <c r="D15" s="17" t="s">
        <v>247</v>
      </c>
      <c r="E15" s="17" t="s">
        <v>248</v>
      </c>
      <c r="F15" s="27"/>
      <c r="G15" s="22" t="s">
        <v>60</v>
      </c>
      <c r="H15" s="22" t="s">
        <v>60</v>
      </c>
      <c r="I15" s="22" t="s">
        <v>58</v>
      </c>
      <c r="J15" s="22" t="s">
        <v>63</v>
      </c>
      <c r="K15" s="22" t="s">
        <v>60</v>
      </c>
      <c r="L15" s="22" t="s">
        <v>60</v>
      </c>
      <c r="M15" s="22" t="s">
        <v>60</v>
      </c>
      <c r="N15" s="22" t="s">
        <v>63</v>
      </c>
      <c r="O15" s="22" t="s">
        <v>60</v>
      </c>
      <c r="P15" s="22" t="s">
        <v>60</v>
      </c>
      <c r="Q15" s="22" t="s">
        <v>60</v>
      </c>
    </row>
    <row r="16">
      <c r="A16" s="13">
        <f t="shared" si="1"/>
        <v>14</v>
      </c>
      <c r="B16" s="17" t="s">
        <v>257</v>
      </c>
      <c r="C16" s="17" t="s">
        <v>258</v>
      </c>
      <c r="D16" s="17" t="s">
        <v>259</v>
      </c>
      <c r="E16" s="17" t="s">
        <v>260</v>
      </c>
      <c r="F16" s="27"/>
      <c r="G16" s="22" t="s">
        <v>60</v>
      </c>
      <c r="H16" s="22" t="s">
        <v>60</v>
      </c>
      <c r="I16" s="22" t="s">
        <v>58</v>
      </c>
      <c r="J16" s="22" t="s">
        <v>60</v>
      </c>
      <c r="K16" s="22" t="s">
        <v>60</v>
      </c>
      <c r="L16" s="22" t="s">
        <v>60</v>
      </c>
      <c r="M16" s="22" t="s">
        <v>60</v>
      </c>
      <c r="N16" s="22" t="s">
        <v>63</v>
      </c>
      <c r="O16" s="22" t="s">
        <v>63</v>
      </c>
      <c r="P16" s="22" t="s">
        <v>60</v>
      </c>
      <c r="Q16" s="22" t="s">
        <v>60</v>
      </c>
    </row>
    <row r="17">
      <c r="A17" s="13">
        <f t="shared" si="1"/>
        <v>15</v>
      </c>
      <c r="B17" s="33" t="s">
        <v>270</v>
      </c>
      <c r="C17" s="33" t="s">
        <v>271</v>
      </c>
      <c r="D17" s="33" t="s">
        <v>272</v>
      </c>
      <c r="E17" s="33" t="s">
        <v>273</v>
      </c>
      <c r="F17" s="34"/>
      <c r="G17" s="35" t="s">
        <v>60</v>
      </c>
      <c r="H17" s="35" t="s">
        <v>60</v>
      </c>
      <c r="I17" s="35" t="s">
        <v>63</v>
      </c>
      <c r="J17" s="35" t="s">
        <v>63</v>
      </c>
      <c r="K17" s="22" t="s">
        <v>60</v>
      </c>
      <c r="L17" s="35" t="s">
        <v>63</v>
      </c>
      <c r="M17" s="22" t="s">
        <v>63</v>
      </c>
      <c r="N17" s="35" t="s">
        <v>60</v>
      </c>
      <c r="O17" s="35" t="s">
        <v>63</v>
      </c>
      <c r="P17" s="22" t="s">
        <v>60</v>
      </c>
      <c r="Q17" s="35" t="s">
        <v>58</v>
      </c>
      <c r="R17" s="36"/>
      <c r="S17" s="36"/>
      <c r="T17" s="36"/>
      <c r="U17" s="36"/>
      <c r="V17" s="36"/>
      <c r="W17" s="36"/>
      <c r="X17" s="36"/>
      <c r="Y17" s="36"/>
      <c r="Z17" s="36"/>
      <c r="AA17" s="36"/>
    </row>
    <row r="18">
      <c r="A18" s="13">
        <f t="shared" si="1"/>
        <v>16</v>
      </c>
      <c r="B18" s="17" t="s">
        <v>283</v>
      </c>
      <c r="C18" s="17" t="s">
        <v>285</v>
      </c>
      <c r="D18" s="17" t="s">
        <v>287</v>
      </c>
      <c r="E18" s="17" t="s">
        <v>288</v>
      </c>
      <c r="F18" s="27"/>
      <c r="G18" s="22" t="s">
        <v>63</v>
      </c>
      <c r="H18" s="22" t="s">
        <v>60</v>
      </c>
      <c r="I18" s="22" t="s">
        <v>60</v>
      </c>
      <c r="J18" s="22" t="s">
        <v>60</v>
      </c>
      <c r="K18" s="22" t="s">
        <v>60</v>
      </c>
      <c r="L18" s="22" t="s">
        <v>63</v>
      </c>
      <c r="M18" s="22" t="s">
        <v>60</v>
      </c>
      <c r="N18" s="22" t="s">
        <v>60</v>
      </c>
      <c r="O18" s="22" t="s">
        <v>60</v>
      </c>
      <c r="P18" s="22" t="s">
        <v>60</v>
      </c>
      <c r="Q18" s="22" t="s">
        <v>58</v>
      </c>
    </row>
    <row r="19">
      <c r="A19" s="13">
        <f t="shared" si="1"/>
        <v>17</v>
      </c>
      <c r="B19" s="33" t="s">
        <v>297</v>
      </c>
      <c r="C19" s="33" t="s">
        <v>298</v>
      </c>
      <c r="D19" s="33" t="s">
        <v>300</v>
      </c>
      <c r="E19" s="33" t="s">
        <v>302</v>
      </c>
      <c r="F19" s="34"/>
      <c r="G19" s="35" t="s">
        <v>60</v>
      </c>
      <c r="H19" s="35" t="s">
        <v>60</v>
      </c>
      <c r="I19" s="35" t="s">
        <v>60</v>
      </c>
      <c r="J19" s="35" t="s">
        <v>60</v>
      </c>
      <c r="K19" s="22" t="s">
        <v>60</v>
      </c>
      <c r="L19" s="35" t="s">
        <v>58</v>
      </c>
      <c r="M19" s="22" t="s">
        <v>60</v>
      </c>
      <c r="N19" s="35" t="s">
        <v>60</v>
      </c>
      <c r="O19" s="35" t="s">
        <v>60</v>
      </c>
      <c r="P19" s="22" t="s">
        <v>60</v>
      </c>
      <c r="Q19" s="35" t="s">
        <v>63</v>
      </c>
      <c r="R19" s="36"/>
      <c r="S19" s="36"/>
      <c r="T19" s="36"/>
      <c r="U19" s="36"/>
      <c r="V19" s="36"/>
      <c r="W19" s="36"/>
      <c r="X19" s="36"/>
      <c r="Y19" s="36"/>
      <c r="Z19" s="36"/>
      <c r="AA19" s="36"/>
    </row>
    <row r="20">
      <c r="A20" s="13">
        <f t="shared" si="1"/>
        <v>18</v>
      </c>
      <c r="B20" s="33" t="s">
        <v>310</v>
      </c>
      <c r="C20" s="33" t="s">
        <v>312</v>
      </c>
      <c r="D20" s="33" t="s">
        <v>313</v>
      </c>
      <c r="E20" s="33" t="s">
        <v>314</v>
      </c>
      <c r="F20" s="34"/>
      <c r="G20" s="35" t="s">
        <v>60</v>
      </c>
      <c r="H20" s="35" t="s">
        <v>60</v>
      </c>
      <c r="I20" s="35" t="s">
        <v>60</v>
      </c>
      <c r="J20" s="35" t="s">
        <v>60</v>
      </c>
      <c r="K20" s="22" t="s">
        <v>60</v>
      </c>
      <c r="L20" s="35" t="s">
        <v>63</v>
      </c>
      <c r="M20" s="22" t="s">
        <v>60</v>
      </c>
      <c r="N20" s="35" t="s">
        <v>60</v>
      </c>
      <c r="O20" s="35" t="s">
        <v>60</v>
      </c>
      <c r="P20" s="22" t="s">
        <v>60</v>
      </c>
      <c r="Q20" s="35" t="s">
        <v>58</v>
      </c>
      <c r="R20" s="36"/>
      <c r="S20" s="36"/>
      <c r="T20" s="36"/>
      <c r="U20" s="36"/>
      <c r="V20" s="36"/>
      <c r="W20" s="36"/>
      <c r="X20" s="36"/>
      <c r="Y20" s="36"/>
      <c r="Z20" s="36"/>
      <c r="AA20" s="36"/>
    </row>
    <row r="21">
      <c r="A21" s="13">
        <f t="shared" si="1"/>
        <v>19</v>
      </c>
      <c r="B21" s="33" t="s">
        <v>322</v>
      </c>
      <c r="C21" s="33" t="s">
        <v>323</v>
      </c>
      <c r="D21" s="33" t="s">
        <v>324</v>
      </c>
      <c r="E21" s="33" t="s">
        <v>326</v>
      </c>
      <c r="F21" s="34"/>
      <c r="G21" s="35" t="s">
        <v>60</v>
      </c>
      <c r="H21" s="35" t="s">
        <v>60</v>
      </c>
      <c r="I21" s="35" t="s">
        <v>60</v>
      </c>
      <c r="J21" s="35" t="s">
        <v>60</v>
      </c>
      <c r="K21" s="22" t="s">
        <v>60</v>
      </c>
      <c r="L21" s="35" t="s">
        <v>63</v>
      </c>
      <c r="M21" s="22" t="s">
        <v>60</v>
      </c>
      <c r="N21" s="35" t="s">
        <v>60</v>
      </c>
      <c r="O21" s="35" t="s">
        <v>60</v>
      </c>
      <c r="P21" s="22" t="s">
        <v>60</v>
      </c>
      <c r="Q21" s="35" t="s">
        <v>58</v>
      </c>
      <c r="R21" s="36"/>
      <c r="S21" s="36"/>
      <c r="T21" s="36"/>
      <c r="U21" s="36"/>
      <c r="V21" s="36"/>
      <c r="W21" s="36"/>
      <c r="X21" s="36"/>
      <c r="Y21" s="36"/>
      <c r="Z21" s="36"/>
      <c r="AA21" s="36"/>
    </row>
    <row r="22">
      <c r="A22" s="13">
        <f t="shared" si="1"/>
        <v>20</v>
      </c>
      <c r="B22" s="33" t="s">
        <v>334</v>
      </c>
      <c r="C22" s="33" t="s">
        <v>336</v>
      </c>
      <c r="D22" s="33" t="s">
        <v>337</v>
      </c>
      <c r="E22" s="33" t="s">
        <v>338</v>
      </c>
      <c r="F22" s="34"/>
      <c r="G22" s="35" t="s">
        <v>60</v>
      </c>
      <c r="H22" s="35" t="s">
        <v>60</v>
      </c>
      <c r="I22" s="35" t="s">
        <v>63</v>
      </c>
      <c r="J22" s="35" t="s">
        <v>60</v>
      </c>
      <c r="K22" s="22" t="s">
        <v>60</v>
      </c>
      <c r="L22" s="35" t="s">
        <v>60</v>
      </c>
      <c r="M22" s="22" t="s">
        <v>60</v>
      </c>
      <c r="N22" s="35" t="s">
        <v>60</v>
      </c>
      <c r="O22" s="35" t="s">
        <v>58</v>
      </c>
      <c r="P22" s="22" t="s">
        <v>60</v>
      </c>
      <c r="Q22" s="35" t="s">
        <v>63</v>
      </c>
      <c r="R22" s="36"/>
      <c r="S22" s="36"/>
      <c r="T22" s="36"/>
      <c r="U22" s="36"/>
      <c r="V22" s="36"/>
      <c r="W22" s="36"/>
      <c r="X22" s="36"/>
      <c r="Y22" s="36"/>
      <c r="Z22" s="36"/>
      <c r="AA22" s="36"/>
    </row>
    <row r="23">
      <c r="A23" s="13">
        <f t="shared" si="1"/>
        <v>21</v>
      </c>
      <c r="B23" s="33" t="s">
        <v>346</v>
      </c>
      <c r="C23" s="33" t="s">
        <v>347</v>
      </c>
      <c r="D23" s="33" t="s">
        <v>348</v>
      </c>
      <c r="E23" s="33" t="s">
        <v>350</v>
      </c>
      <c r="F23" s="34"/>
      <c r="G23" s="35" t="s">
        <v>60</v>
      </c>
      <c r="H23" s="35" t="s">
        <v>60</v>
      </c>
      <c r="I23" s="35" t="s">
        <v>60</v>
      </c>
      <c r="J23" s="35" t="s">
        <v>60</v>
      </c>
      <c r="K23" s="22" t="s">
        <v>60</v>
      </c>
      <c r="L23" s="35" t="s">
        <v>60</v>
      </c>
      <c r="M23" s="22" t="s">
        <v>60</v>
      </c>
      <c r="N23" s="35" t="s">
        <v>60</v>
      </c>
      <c r="O23" s="35" t="s">
        <v>58</v>
      </c>
      <c r="P23" s="22" t="s">
        <v>60</v>
      </c>
      <c r="Q23" s="35" t="s">
        <v>63</v>
      </c>
      <c r="R23" s="36"/>
      <c r="S23" s="36"/>
      <c r="T23" s="36"/>
      <c r="U23" s="36"/>
      <c r="V23" s="36"/>
      <c r="W23" s="36"/>
      <c r="X23" s="36"/>
      <c r="Y23" s="36"/>
      <c r="Z23" s="36"/>
      <c r="AA23" s="36"/>
    </row>
    <row r="24">
      <c r="A24" s="13">
        <f t="shared" si="1"/>
        <v>22</v>
      </c>
      <c r="B24" s="33" t="s">
        <v>358</v>
      </c>
      <c r="C24" s="33" t="s">
        <v>359</v>
      </c>
      <c r="D24" s="33" t="s">
        <v>360</v>
      </c>
      <c r="E24" s="33" t="s">
        <v>361</v>
      </c>
      <c r="F24" s="34"/>
      <c r="G24" s="35" t="s">
        <v>60</v>
      </c>
      <c r="H24" s="35" t="s">
        <v>60</v>
      </c>
      <c r="I24" s="35" t="s">
        <v>58</v>
      </c>
      <c r="J24" s="35" t="s">
        <v>60</v>
      </c>
      <c r="K24" s="22" t="s">
        <v>60</v>
      </c>
      <c r="L24" s="35" t="s">
        <v>60</v>
      </c>
      <c r="M24" s="22" t="s">
        <v>60</v>
      </c>
      <c r="N24" s="35" t="s">
        <v>60</v>
      </c>
      <c r="O24" s="35" t="s">
        <v>63</v>
      </c>
      <c r="P24" s="22" t="s">
        <v>60</v>
      </c>
      <c r="Q24" s="35" t="s">
        <v>60</v>
      </c>
      <c r="R24" s="36"/>
      <c r="S24" s="36"/>
      <c r="T24" s="36"/>
      <c r="U24" s="36"/>
      <c r="V24" s="36"/>
      <c r="W24" s="36"/>
      <c r="X24" s="36"/>
      <c r="Y24" s="36"/>
      <c r="Z24" s="36"/>
      <c r="AA24" s="36"/>
    </row>
    <row r="25">
      <c r="A25" s="13">
        <f t="shared" si="1"/>
        <v>23</v>
      </c>
      <c r="B25" s="37" t="s">
        <v>369</v>
      </c>
      <c r="C25" s="37" t="s">
        <v>370</v>
      </c>
      <c r="D25" s="37" t="s">
        <v>371</v>
      </c>
      <c r="E25" s="33" t="s">
        <v>372</v>
      </c>
      <c r="F25" s="34"/>
      <c r="G25" s="38" t="s">
        <v>60</v>
      </c>
      <c r="H25" s="38" t="s">
        <v>60</v>
      </c>
      <c r="I25" s="35" t="s">
        <v>63</v>
      </c>
      <c r="J25" s="38" t="s">
        <v>60</v>
      </c>
      <c r="K25" s="22" t="s">
        <v>60</v>
      </c>
      <c r="L25" s="35" t="s">
        <v>63</v>
      </c>
      <c r="M25" s="22" t="s">
        <v>60</v>
      </c>
      <c r="N25" s="35" t="s">
        <v>60</v>
      </c>
      <c r="O25" s="38" t="s">
        <v>58</v>
      </c>
      <c r="P25" s="22" t="s">
        <v>60</v>
      </c>
      <c r="Q25" s="35" t="s">
        <v>60</v>
      </c>
      <c r="R25" s="36"/>
      <c r="S25" s="36"/>
      <c r="T25" s="36"/>
      <c r="U25" s="36"/>
      <c r="V25" s="36"/>
      <c r="W25" s="36"/>
      <c r="X25" s="36"/>
      <c r="Y25" s="36"/>
      <c r="Z25" s="36"/>
      <c r="AA25" s="36"/>
    </row>
    <row r="26">
      <c r="A26" s="13">
        <f t="shared" si="1"/>
        <v>24</v>
      </c>
      <c r="B26" s="17" t="s">
        <v>381</v>
      </c>
      <c r="C26" s="17" t="s">
        <v>382</v>
      </c>
      <c r="D26" s="17" t="s">
        <v>383</v>
      </c>
      <c r="E26" s="17" t="s">
        <v>384</v>
      </c>
      <c r="F26" s="27"/>
      <c r="G26" s="40" t="s">
        <v>60</v>
      </c>
      <c r="H26" s="40" t="s">
        <v>60</v>
      </c>
      <c r="I26" s="22" t="s">
        <v>63</v>
      </c>
      <c r="J26" s="40" t="s">
        <v>60</v>
      </c>
      <c r="K26" s="40" t="s">
        <v>60</v>
      </c>
      <c r="L26" s="40" t="s">
        <v>60</v>
      </c>
      <c r="M26" s="40" t="s">
        <v>60</v>
      </c>
      <c r="N26" s="40" t="s">
        <v>60</v>
      </c>
      <c r="O26" s="22" t="s">
        <v>58</v>
      </c>
      <c r="P26" s="40" t="s">
        <v>60</v>
      </c>
      <c r="Q26" s="40" t="s">
        <v>60</v>
      </c>
    </row>
    <row r="27">
      <c r="A27" s="13">
        <f t="shared" si="1"/>
        <v>25</v>
      </c>
      <c r="B27" s="17" t="s">
        <v>391</v>
      </c>
      <c r="C27" s="17" t="s">
        <v>392</v>
      </c>
      <c r="D27" s="17" t="s">
        <v>393</v>
      </c>
      <c r="E27" s="17" t="s">
        <v>394</v>
      </c>
      <c r="F27" s="27"/>
      <c r="G27" s="22" t="s">
        <v>60</v>
      </c>
      <c r="H27" s="22" t="s">
        <v>60</v>
      </c>
      <c r="I27" s="22" t="s">
        <v>63</v>
      </c>
      <c r="J27" s="22" t="s">
        <v>60</v>
      </c>
      <c r="K27" s="22" t="s">
        <v>60</v>
      </c>
      <c r="L27" s="22" t="s">
        <v>58</v>
      </c>
      <c r="M27" s="22" t="s">
        <v>60</v>
      </c>
      <c r="N27" s="22" t="s">
        <v>60</v>
      </c>
      <c r="O27" s="22" t="s">
        <v>63</v>
      </c>
      <c r="P27" s="22" t="s">
        <v>60</v>
      </c>
      <c r="Q27" s="22" t="s">
        <v>60</v>
      </c>
    </row>
    <row r="28">
      <c r="A28" s="13">
        <f t="shared" si="1"/>
        <v>26</v>
      </c>
      <c r="B28" s="17" t="s">
        <v>402</v>
      </c>
      <c r="C28" s="17" t="s">
        <v>403</v>
      </c>
      <c r="D28" s="17" t="s">
        <v>404</v>
      </c>
      <c r="E28" s="17" t="s">
        <v>405</v>
      </c>
      <c r="F28" s="17"/>
      <c r="G28" s="22" t="s">
        <v>60</v>
      </c>
      <c r="H28" s="22" t="s">
        <v>58</v>
      </c>
      <c r="I28" s="22" t="s">
        <v>60</v>
      </c>
      <c r="J28" s="22" t="s">
        <v>60</v>
      </c>
      <c r="K28" s="22" t="s">
        <v>60</v>
      </c>
      <c r="L28" s="22" t="s">
        <v>63</v>
      </c>
      <c r="M28" s="22" t="s">
        <v>60</v>
      </c>
      <c r="N28" s="22" t="s">
        <v>60</v>
      </c>
      <c r="O28" s="22" t="s">
        <v>60</v>
      </c>
      <c r="P28" s="22" t="s">
        <v>60</v>
      </c>
      <c r="Q28" s="22" t="s">
        <v>60</v>
      </c>
    </row>
    <row r="29">
      <c r="A29" s="13">
        <f t="shared" si="1"/>
        <v>27</v>
      </c>
      <c r="B29" s="17" t="s">
        <v>410</v>
      </c>
      <c r="C29" s="17" t="s">
        <v>412</v>
      </c>
      <c r="D29" s="17" t="s">
        <v>413</v>
      </c>
      <c r="E29" s="17" t="s">
        <v>414</v>
      </c>
      <c r="F29" s="27"/>
      <c r="G29" s="22" t="s">
        <v>60</v>
      </c>
      <c r="H29" s="22" t="s">
        <v>60</v>
      </c>
      <c r="I29" s="22" t="s">
        <v>63</v>
      </c>
      <c r="J29" s="22" t="s">
        <v>60</v>
      </c>
      <c r="K29" s="22" t="s">
        <v>60</v>
      </c>
      <c r="L29" s="22" t="s">
        <v>60</v>
      </c>
      <c r="M29" s="22" t="s">
        <v>60</v>
      </c>
      <c r="N29" s="22" t="s">
        <v>58</v>
      </c>
      <c r="O29" s="22" t="s">
        <v>60</v>
      </c>
      <c r="P29" s="22" t="s">
        <v>60</v>
      </c>
      <c r="Q29" s="22" t="s">
        <v>60</v>
      </c>
    </row>
    <row r="30">
      <c r="A30" s="13">
        <f t="shared" si="1"/>
        <v>28</v>
      </c>
      <c r="B30" s="17" t="s">
        <v>419</v>
      </c>
      <c r="C30" s="17" t="s">
        <v>420</v>
      </c>
      <c r="D30" s="17" t="s">
        <v>421</v>
      </c>
      <c r="E30" s="17" t="s">
        <v>422</v>
      </c>
      <c r="F30" s="27"/>
      <c r="G30" s="22" t="s">
        <v>58</v>
      </c>
      <c r="H30" s="22" t="s">
        <v>60</v>
      </c>
      <c r="I30" s="22" t="s">
        <v>63</v>
      </c>
      <c r="J30" s="22" t="s">
        <v>60</v>
      </c>
      <c r="K30" s="22" t="s">
        <v>60</v>
      </c>
      <c r="L30" s="22" t="s">
        <v>63</v>
      </c>
      <c r="M30" s="22" t="s">
        <v>63</v>
      </c>
      <c r="N30" s="22" t="s">
        <v>60</v>
      </c>
      <c r="O30" s="22" t="s">
        <v>60</v>
      </c>
      <c r="P30" s="22" t="s">
        <v>63</v>
      </c>
      <c r="Q30" s="22" t="s">
        <v>63</v>
      </c>
    </row>
    <row r="31">
      <c r="A31" s="13">
        <f t="shared" si="1"/>
        <v>29</v>
      </c>
      <c r="B31" s="17" t="s">
        <v>426</v>
      </c>
      <c r="C31" s="17" t="s">
        <v>427</v>
      </c>
      <c r="D31" s="17" t="s">
        <v>428</v>
      </c>
      <c r="E31" s="17" t="s">
        <v>430</v>
      </c>
      <c r="F31" s="27"/>
      <c r="G31" s="22" t="s">
        <v>60</v>
      </c>
      <c r="H31" s="22" t="s">
        <v>60</v>
      </c>
      <c r="I31" s="22" t="s">
        <v>60</v>
      </c>
      <c r="J31" s="22" t="s">
        <v>60</v>
      </c>
      <c r="K31" s="22" t="s">
        <v>60</v>
      </c>
      <c r="L31" s="22" t="s">
        <v>60</v>
      </c>
      <c r="M31" s="22" t="s">
        <v>58</v>
      </c>
      <c r="N31" s="22" t="s">
        <v>60</v>
      </c>
      <c r="O31" s="22" t="s">
        <v>60</v>
      </c>
      <c r="P31" s="22" t="s">
        <v>63</v>
      </c>
      <c r="Q31" s="22" t="s">
        <v>63</v>
      </c>
    </row>
    <row r="32">
      <c r="A32" s="13">
        <f t="shared" si="1"/>
        <v>30</v>
      </c>
      <c r="B32" s="17" t="s">
        <v>433</v>
      </c>
      <c r="C32" s="17" t="s">
        <v>434</v>
      </c>
      <c r="D32" s="17" t="s">
        <v>436</v>
      </c>
      <c r="E32" s="17" t="s">
        <v>437</v>
      </c>
      <c r="F32" s="27"/>
      <c r="G32" s="22" t="s">
        <v>60</v>
      </c>
      <c r="H32" s="22" t="s">
        <v>60</v>
      </c>
      <c r="I32" s="22" t="s">
        <v>60</v>
      </c>
      <c r="J32" s="22" t="s">
        <v>60</v>
      </c>
      <c r="K32" s="22" t="s">
        <v>60</v>
      </c>
      <c r="L32" s="22" t="s">
        <v>63</v>
      </c>
      <c r="M32" s="22" t="s">
        <v>58</v>
      </c>
      <c r="N32" s="22" t="s">
        <v>60</v>
      </c>
      <c r="O32" s="22" t="s">
        <v>60</v>
      </c>
      <c r="P32" s="22" t="s">
        <v>60</v>
      </c>
      <c r="Q32" s="22" t="s">
        <v>60</v>
      </c>
    </row>
    <row r="33">
      <c r="A33" s="13">
        <f t="shared" si="1"/>
        <v>31</v>
      </c>
      <c r="B33" s="17" t="s">
        <v>443</v>
      </c>
      <c r="C33" s="17" t="s">
        <v>444</v>
      </c>
      <c r="D33" s="17" t="s">
        <v>445</v>
      </c>
      <c r="E33" s="17" t="s">
        <v>446</v>
      </c>
      <c r="F33" s="27"/>
      <c r="G33" s="22" t="s">
        <v>60</v>
      </c>
      <c r="H33" s="22" t="s">
        <v>60</v>
      </c>
      <c r="I33" s="22" t="s">
        <v>60</v>
      </c>
      <c r="J33" s="22" t="s">
        <v>58</v>
      </c>
      <c r="K33" s="22" t="s">
        <v>60</v>
      </c>
      <c r="L33" s="22" t="s">
        <v>60</v>
      </c>
      <c r="M33" s="22" t="s">
        <v>60</v>
      </c>
      <c r="N33" s="22" t="s">
        <v>60</v>
      </c>
      <c r="O33" s="22" t="s">
        <v>63</v>
      </c>
      <c r="P33" s="22" t="s">
        <v>60</v>
      </c>
      <c r="Q33" s="22" t="s">
        <v>60</v>
      </c>
    </row>
    <row r="34">
      <c r="A34" s="13">
        <f t="shared" si="1"/>
        <v>32</v>
      </c>
      <c r="B34" s="17" t="s">
        <v>452</v>
      </c>
      <c r="C34" s="17" t="s">
        <v>453</v>
      </c>
      <c r="D34" s="17" t="s">
        <v>454</v>
      </c>
      <c r="E34" s="17" t="s">
        <v>455</v>
      </c>
      <c r="F34" s="27"/>
      <c r="G34" s="22" t="s">
        <v>60</v>
      </c>
      <c r="H34" s="22" t="s">
        <v>60</v>
      </c>
      <c r="I34" s="22" t="s">
        <v>60</v>
      </c>
      <c r="J34" s="22" t="s">
        <v>60</v>
      </c>
      <c r="K34" s="22" t="s">
        <v>60</v>
      </c>
      <c r="L34" s="22" t="s">
        <v>58</v>
      </c>
      <c r="M34" s="22" t="s">
        <v>60</v>
      </c>
      <c r="N34" s="22" t="s">
        <v>60</v>
      </c>
      <c r="O34" s="22" t="s">
        <v>60</v>
      </c>
      <c r="P34" s="22" t="s">
        <v>60</v>
      </c>
      <c r="Q34" s="22" t="s">
        <v>63</v>
      </c>
    </row>
    <row r="35">
      <c r="A35" s="13">
        <f t="shared" si="1"/>
        <v>33</v>
      </c>
      <c r="B35" s="17" t="s">
        <v>464</v>
      </c>
      <c r="C35" s="17" t="s">
        <v>465</v>
      </c>
      <c r="D35" s="17" t="s">
        <v>466</v>
      </c>
      <c r="E35" s="17" t="s">
        <v>467</v>
      </c>
      <c r="F35" s="27"/>
      <c r="G35" s="22" t="s">
        <v>58</v>
      </c>
      <c r="H35" s="22" t="s">
        <v>60</v>
      </c>
      <c r="I35" s="22" t="s">
        <v>60</v>
      </c>
      <c r="J35" s="22" t="s">
        <v>60</v>
      </c>
      <c r="K35" s="22" t="s">
        <v>60</v>
      </c>
      <c r="L35" s="22" t="s">
        <v>60</v>
      </c>
      <c r="M35" s="22" t="s">
        <v>60</v>
      </c>
      <c r="N35" s="22" t="s">
        <v>60</v>
      </c>
      <c r="O35" s="22" t="s">
        <v>60</v>
      </c>
      <c r="P35" s="22" t="s">
        <v>60</v>
      </c>
      <c r="Q35" s="22" t="s">
        <v>63</v>
      </c>
    </row>
    <row r="36">
      <c r="A36" s="13">
        <f t="shared" si="1"/>
        <v>34</v>
      </c>
      <c r="B36" s="17" t="s">
        <v>474</v>
      </c>
      <c r="C36" s="17" t="s">
        <v>475</v>
      </c>
      <c r="D36" s="17" t="s">
        <v>476</v>
      </c>
      <c r="E36" s="17" t="s">
        <v>477</v>
      </c>
      <c r="F36" s="27"/>
      <c r="G36" s="22" t="s">
        <v>58</v>
      </c>
      <c r="H36" s="22" t="s">
        <v>60</v>
      </c>
      <c r="I36" s="22" t="s">
        <v>60</v>
      </c>
      <c r="J36" s="22" t="s">
        <v>60</v>
      </c>
      <c r="K36" s="22" t="s">
        <v>60</v>
      </c>
      <c r="L36" s="22" t="s">
        <v>63</v>
      </c>
      <c r="M36" s="22" t="s">
        <v>60</v>
      </c>
      <c r="N36" s="22" t="s">
        <v>60</v>
      </c>
      <c r="O36" s="22" t="s">
        <v>60</v>
      </c>
      <c r="P36" s="22" t="s">
        <v>60</v>
      </c>
      <c r="Q36" s="22" t="s">
        <v>60</v>
      </c>
    </row>
    <row r="37">
      <c r="A37" s="13">
        <f t="shared" si="1"/>
        <v>35</v>
      </c>
      <c r="B37" s="17" t="s">
        <v>485</v>
      </c>
      <c r="C37" s="17" t="s">
        <v>486</v>
      </c>
      <c r="D37" s="17" t="s">
        <v>487</v>
      </c>
      <c r="E37" s="17" t="s">
        <v>477</v>
      </c>
      <c r="F37" s="27"/>
      <c r="G37" s="22" t="s">
        <v>58</v>
      </c>
      <c r="H37" s="22" t="s">
        <v>60</v>
      </c>
      <c r="I37" s="22" t="s">
        <v>60</v>
      </c>
      <c r="J37" s="22" t="s">
        <v>60</v>
      </c>
      <c r="K37" s="22" t="s">
        <v>63</v>
      </c>
      <c r="L37" s="22" t="s">
        <v>60</v>
      </c>
      <c r="M37" s="22" t="s">
        <v>60</v>
      </c>
      <c r="N37" s="22" t="s">
        <v>60</v>
      </c>
      <c r="O37" s="22" t="s">
        <v>60</v>
      </c>
      <c r="P37" s="22" t="s">
        <v>60</v>
      </c>
      <c r="Q37" s="22" t="s">
        <v>60</v>
      </c>
    </row>
    <row r="38">
      <c r="A38" s="13">
        <f t="shared" si="1"/>
        <v>36</v>
      </c>
      <c r="B38" s="17" t="s">
        <v>499</v>
      </c>
      <c r="C38" s="17" t="s">
        <v>501</v>
      </c>
      <c r="D38" s="17" t="s">
        <v>502</v>
      </c>
      <c r="E38" s="17" t="s">
        <v>504</v>
      </c>
      <c r="F38" s="27"/>
      <c r="G38" s="22" t="s">
        <v>60</v>
      </c>
      <c r="H38" s="22" t="s">
        <v>60</v>
      </c>
      <c r="I38" s="22" t="s">
        <v>60</v>
      </c>
      <c r="J38" s="22" t="s">
        <v>60</v>
      </c>
      <c r="K38" s="22" t="s">
        <v>58</v>
      </c>
      <c r="L38" s="22" t="s">
        <v>60</v>
      </c>
      <c r="M38" s="22" t="s">
        <v>63</v>
      </c>
      <c r="N38" s="22" t="s">
        <v>60</v>
      </c>
      <c r="O38" s="22" t="s">
        <v>60</v>
      </c>
      <c r="P38" s="22" t="s">
        <v>63</v>
      </c>
      <c r="Q38" s="22" t="s">
        <v>63</v>
      </c>
    </row>
    <row r="39">
      <c r="A39" s="13">
        <f t="shared" si="1"/>
        <v>37</v>
      </c>
      <c r="B39" s="17" t="s">
        <v>514</v>
      </c>
      <c r="C39" s="17" t="s">
        <v>516</v>
      </c>
      <c r="D39" s="17" t="s">
        <v>518</v>
      </c>
      <c r="E39" s="17" t="s">
        <v>520</v>
      </c>
      <c r="F39" s="27"/>
      <c r="G39" s="22" t="s">
        <v>60</v>
      </c>
      <c r="H39" s="22" t="s">
        <v>60</v>
      </c>
      <c r="I39" s="22" t="s">
        <v>60</v>
      </c>
      <c r="J39" s="22" t="s">
        <v>60</v>
      </c>
      <c r="K39" s="22" t="s">
        <v>58</v>
      </c>
      <c r="L39" s="22" t="s">
        <v>60</v>
      </c>
      <c r="M39" s="22" t="s">
        <v>63</v>
      </c>
      <c r="N39" s="22" t="s">
        <v>60</v>
      </c>
      <c r="O39" s="22" t="s">
        <v>60</v>
      </c>
      <c r="P39" s="22" t="s">
        <v>60</v>
      </c>
      <c r="Q39" s="22" t="s">
        <v>63</v>
      </c>
    </row>
    <row r="40">
      <c r="A40" s="13">
        <f t="shared" si="1"/>
        <v>38</v>
      </c>
      <c r="B40" s="17" t="s">
        <v>533</v>
      </c>
      <c r="C40" s="17" t="s">
        <v>536</v>
      </c>
      <c r="D40" s="17" t="s">
        <v>537</v>
      </c>
      <c r="E40" s="17" t="s">
        <v>538</v>
      </c>
      <c r="F40" s="27"/>
      <c r="G40" s="22" t="s">
        <v>60</v>
      </c>
      <c r="H40" s="22" t="s">
        <v>60</v>
      </c>
      <c r="I40" s="22" t="s">
        <v>60</v>
      </c>
      <c r="J40" s="22" t="s">
        <v>60</v>
      </c>
      <c r="K40" s="22" t="s">
        <v>60</v>
      </c>
      <c r="L40" s="22" t="s">
        <v>60</v>
      </c>
      <c r="M40" s="22" t="s">
        <v>58</v>
      </c>
      <c r="N40" s="22" t="s">
        <v>60</v>
      </c>
      <c r="O40" s="22" t="s">
        <v>63</v>
      </c>
      <c r="P40" s="22" t="s">
        <v>60</v>
      </c>
      <c r="Q40" s="22" t="s">
        <v>63</v>
      </c>
    </row>
    <row r="41">
      <c r="A41" s="13">
        <f t="shared" si="1"/>
        <v>39</v>
      </c>
      <c r="B41" s="17" t="s">
        <v>552</v>
      </c>
      <c r="C41" s="17" t="s">
        <v>553</v>
      </c>
      <c r="D41" s="17" t="s">
        <v>554</v>
      </c>
      <c r="E41" s="17" t="s">
        <v>555</v>
      </c>
      <c r="F41" s="27"/>
      <c r="G41" s="22" t="s">
        <v>60</v>
      </c>
      <c r="H41" s="22" t="s">
        <v>60</v>
      </c>
      <c r="I41" s="22" t="s">
        <v>60</v>
      </c>
      <c r="J41" s="22" t="s">
        <v>60</v>
      </c>
      <c r="K41" s="22" t="s">
        <v>60</v>
      </c>
      <c r="L41" s="22" t="s">
        <v>60</v>
      </c>
      <c r="M41" s="22" t="s">
        <v>63</v>
      </c>
      <c r="N41" s="22" t="s">
        <v>60</v>
      </c>
      <c r="O41" s="22" t="s">
        <v>58</v>
      </c>
      <c r="P41" s="22" t="s">
        <v>60</v>
      </c>
      <c r="Q41" s="22" t="s">
        <v>63</v>
      </c>
    </row>
    <row r="42">
      <c r="A42" s="13">
        <f t="shared" si="1"/>
        <v>40</v>
      </c>
      <c r="B42" s="17" t="s">
        <v>562</v>
      </c>
      <c r="C42" s="17" t="s">
        <v>563</v>
      </c>
      <c r="D42" s="17" t="s">
        <v>565</v>
      </c>
      <c r="E42" s="17" t="s">
        <v>568</v>
      </c>
      <c r="F42" s="27"/>
      <c r="G42" s="22" t="s">
        <v>60</v>
      </c>
      <c r="H42" s="22" t="s">
        <v>60</v>
      </c>
      <c r="I42" s="22" t="s">
        <v>63</v>
      </c>
      <c r="J42" s="22" t="s">
        <v>60</v>
      </c>
      <c r="K42" s="22" t="s">
        <v>60</v>
      </c>
      <c r="L42" s="22" t="s">
        <v>63</v>
      </c>
      <c r="M42" s="22" t="s">
        <v>63</v>
      </c>
      <c r="N42" s="22" t="s">
        <v>60</v>
      </c>
      <c r="O42" s="22" t="s">
        <v>63</v>
      </c>
      <c r="P42" s="22" t="s">
        <v>63</v>
      </c>
      <c r="Q42" s="22" t="s">
        <v>58</v>
      </c>
    </row>
    <row r="43">
      <c r="A43" s="13">
        <f t="shared" si="1"/>
        <v>41</v>
      </c>
      <c r="B43" s="17" t="s">
        <v>584</v>
      </c>
      <c r="C43" s="17" t="s">
        <v>585</v>
      </c>
      <c r="D43" s="17" t="s">
        <v>587</v>
      </c>
      <c r="E43" s="17" t="s">
        <v>588</v>
      </c>
      <c r="F43" s="27"/>
      <c r="G43" s="22" t="s">
        <v>60</v>
      </c>
      <c r="H43" s="22" t="s">
        <v>60</v>
      </c>
      <c r="I43" s="22" t="s">
        <v>60</v>
      </c>
      <c r="J43" s="22" t="s">
        <v>60</v>
      </c>
      <c r="K43" s="22" t="s">
        <v>60</v>
      </c>
      <c r="L43" s="22" t="s">
        <v>60</v>
      </c>
      <c r="M43" s="22" t="s">
        <v>58</v>
      </c>
      <c r="N43" s="22" t="s">
        <v>60</v>
      </c>
      <c r="O43" s="22" t="s">
        <v>60</v>
      </c>
      <c r="P43" s="22" t="s">
        <v>63</v>
      </c>
      <c r="Q43" s="22" t="s">
        <v>63</v>
      </c>
    </row>
    <row r="44">
      <c r="A44" s="13">
        <f t="shared" si="1"/>
        <v>42</v>
      </c>
      <c r="B44" s="17" t="s">
        <v>602</v>
      </c>
      <c r="C44" s="17" t="s">
        <v>603</v>
      </c>
      <c r="D44" s="17" t="s">
        <v>604</v>
      </c>
      <c r="E44" s="17" t="s">
        <v>605</v>
      </c>
      <c r="F44" s="27"/>
      <c r="G44" s="22" t="s">
        <v>60</v>
      </c>
      <c r="H44" s="22" t="s">
        <v>60</v>
      </c>
      <c r="I44" s="22" t="s">
        <v>63</v>
      </c>
      <c r="J44" s="22" t="s">
        <v>63</v>
      </c>
      <c r="K44" s="22" t="s">
        <v>60</v>
      </c>
      <c r="L44" s="22" t="s">
        <v>60</v>
      </c>
      <c r="M44" s="22" t="s">
        <v>63</v>
      </c>
      <c r="N44" s="22" t="s">
        <v>60</v>
      </c>
      <c r="O44" s="22" t="s">
        <v>60</v>
      </c>
      <c r="P44" s="22" t="s">
        <v>60</v>
      </c>
      <c r="Q44" s="22" t="s">
        <v>58</v>
      </c>
    </row>
    <row r="45">
      <c r="A45" s="13">
        <f t="shared" si="1"/>
        <v>43</v>
      </c>
      <c r="B45" s="17" t="s">
        <v>622</v>
      </c>
      <c r="C45" s="17" t="s">
        <v>624</v>
      </c>
      <c r="D45" s="17" t="s">
        <v>625</v>
      </c>
      <c r="E45" s="17" t="s">
        <v>626</v>
      </c>
      <c r="F45" s="27"/>
      <c r="G45" s="22" t="s">
        <v>63</v>
      </c>
      <c r="H45" s="22" t="s">
        <v>60</v>
      </c>
      <c r="I45" s="22" t="s">
        <v>60</v>
      </c>
      <c r="J45" s="22" t="s">
        <v>58</v>
      </c>
      <c r="K45" s="22" t="s">
        <v>60</v>
      </c>
      <c r="L45" s="22" t="s">
        <v>60</v>
      </c>
      <c r="M45" s="22" t="s">
        <v>60</v>
      </c>
      <c r="N45" s="22" t="s">
        <v>60</v>
      </c>
      <c r="O45" s="22" t="s">
        <v>60</v>
      </c>
      <c r="P45" s="22" t="s">
        <v>60</v>
      </c>
      <c r="Q45" s="22" t="s">
        <v>60</v>
      </c>
    </row>
    <row r="46">
      <c r="A46" s="13">
        <f t="shared" si="1"/>
        <v>44</v>
      </c>
      <c r="B46" s="17" t="s">
        <v>638</v>
      </c>
      <c r="C46" s="17" t="s">
        <v>639</v>
      </c>
      <c r="D46" s="17" t="s">
        <v>641</v>
      </c>
      <c r="E46" s="17" t="s">
        <v>643</v>
      </c>
      <c r="F46" s="27"/>
      <c r="G46" s="22" t="s">
        <v>63</v>
      </c>
      <c r="H46" s="22" t="s">
        <v>60</v>
      </c>
      <c r="I46" s="22" t="s">
        <v>60</v>
      </c>
      <c r="J46" s="22" t="s">
        <v>60</v>
      </c>
      <c r="K46" s="22" t="s">
        <v>60</v>
      </c>
      <c r="L46" s="22" t="s">
        <v>60</v>
      </c>
      <c r="M46" s="22" t="s">
        <v>60</v>
      </c>
      <c r="N46" s="22" t="s">
        <v>60</v>
      </c>
      <c r="O46" s="22" t="s">
        <v>60</v>
      </c>
      <c r="P46" s="22" t="s">
        <v>60</v>
      </c>
      <c r="Q46" s="22" t="s">
        <v>58</v>
      </c>
    </row>
    <row r="47">
      <c r="A47" s="13">
        <f t="shared" si="1"/>
        <v>45</v>
      </c>
      <c r="B47" s="17" t="s">
        <v>649</v>
      </c>
      <c r="C47" s="17" t="s">
        <v>650</v>
      </c>
      <c r="D47" s="17" t="s">
        <v>651</v>
      </c>
      <c r="E47" s="17" t="s">
        <v>652</v>
      </c>
      <c r="F47" s="27"/>
      <c r="G47" s="22" t="s">
        <v>60</v>
      </c>
      <c r="H47" s="22" t="s">
        <v>60</v>
      </c>
      <c r="I47" s="22" t="s">
        <v>60</v>
      </c>
      <c r="J47" s="22" t="s">
        <v>58</v>
      </c>
      <c r="K47" s="22" t="s">
        <v>60</v>
      </c>
      <c r="L47" s="22" t="s">
        <v>60</v>
      </c>
      <c r="M47" s="22" t="s">
        <v>63</v>
      </c>
      <c r="N47" s="22" t="s">
        <v>60</v>
      </c>
      <c r="O47" s="22" t="s">
        <v>60</v>
      </c>
      <c r="P47" s="22" t="s">
        <v>60</v>
      </c>
      <c r="Q47" s="22" t="s">
        <v>63</v>
      </c>
    </row>
    <row r="48">
      <c r="A48" s="13">
        <f t="shared" si="1"/>
        <v>46</v>
      </c>
      <c r="B48" s="17" t="s">
        <v>661</v>
      </c>
      <c r="C48" s="17" t="s">
        <v>663</v>
      </c>
      <c r="D48" s="17" t="s">
        <v>664</v>
      </c>
      <c r="E48" s="17" t="s">
        <v>665</v>
      </c>
      <c r="F48" s="27"/>
      <c r="G48" s="22" t="s">
        <v>60</v>
      </c>
      <c r="H48" s="22" t="s">
        <v>60</v>
      </c>
      <c r="I48" s="22" t="s">
        <v>60</v>
      </c>
      <c r="J48" s="22" t="s">
        <v>60</v>
      </c>
      <c r="K48" s="22" t="s">
        <v>60</v>
      </c>
      <c r="L48" s="22" t="s">
        <v>60</v>
      </c>
      <c r="M48" s="22" t="s">
        <v>63</v>
      </c>
      <c r="N48" s="22" t="s">
        <v>60</v>
      </c>
      <c r="O48" s="22" t="s">
        <v>58</v>
      </c>
      <c r="P48" s="22" t="s">
        <v>60</v>
      </c>
      <c r="Q48" s="22" t="s">
        <v>60</v>
      </c>
    </row>
    <row r="49">
      <c r="A49" s="13">
        <f t="shared" si="1"/>
        <v>47</v>
      </c>
      <c r="B49" s="17" t="s">
        <v>676</v>
      </c>
      <c r="C49" s="17" t="s">
        <v>677</v>
      </c>
      <c r="D49" s="17" t="s">
        <v>678</v>
      </c>
      <c r="E49" s="17" t="s">
        <v>680</v>
      </c>
      <c r="F49" s="27"/>
      <c r="G49" s="22" t="s">
        <v>60</v>
      </c>
      <c r="H49" s="22" t="s">
        <v>60</v>
      </c>
      <c r="I49" s="22" t="s">
        <v>60</v>
      </c>
      <c r="J49" s="22" t="s">
        <v>60</v>
      </c>
      <c r="K49" s="22" t="s">
        <v>60</v>
      </c>
      <c r="L49" s="22" t="s">
        <v>60</v>
      </c>
      <c r="M49" s="22" t="s">
        <v>60</v>
      </c>
      <c r="N49" s="22" t="s">
        <v>60</v>
      </c>
      <c r="O49" s="22" t="s">
        <v>60</v>
      </c>
      <c r="P49" s="22" t="s">
        <v>58</v>
      </c>
      <c r="Q49" s="22" t="s">
        <v>63</v>
      </c>
    </row>
    <row r="50">
      <c r="A50" s="13">
        <f t="shared" si="1"/>
        <v>48</v>
      </c>
      <c r="B50" s="17" t="s">
        <v>689</v>
      </c>
      <c r="C50" s="17" t="s">
        <v>690</v>
      </c>
      <c r="D50" s="17" t="s">
        <v>691</v>
      </c>
      <c r="E50" s="17" t="s">
        <v>692</v>
      </c>
      <c r="F50" s="27"/>
      <c r="G50" s="22" t="s">
        <v>60</v>
      </c>
      <c r="H50" s="22" t="s">
        <v>60</v>
      </c>
      <c r="I50" s="22" t="s">
        <v>60</v>
      </c>
      <c r="J50" s="22" t="s">
        <v>60</v>
      </c>
      <c r="K50" s="22" t="s">
        <v>60</v>
      </c>
      <c r="L50" s="22" t="s">
        <v>63</v>
      </c>
      <c r="M50" s="22" t="s">
        <v>60</v>
      </c>
      <c r="N50" s="22" t="s">
        <v>60</v>
      </c>
      <c r="O50" s="22" t="s">
        <v>60</v>
      </c>
      <c r="P50" s="22" t="s">
        <v>58</v>
      </c>
      <c r="Q50" s="22" t="s">
        <v>60</v>
      </c>
    </row>
    <row r="51">
      <c r="A51" s="13">
        <f t="shared" si="1"/>
        <v>49</v>
      </c>
      <c r="B51" s="17" t="s">
        <v>707</v>
      </c>
      <c r="C51" s="17" t="s">
        <v>708</v>
      </c>
      <c r="D51" s="17" t="s">
        <v>709</v>
      </c>
      <c r="E51" s="17" t="s">
        <v>711</v>
      </c>
      <c r="F51" s="27"/>
      <c r="G51" s="22" t="s">
        <v>60</v>
      </c>
      <c r="H51" s="22" t="s">
        <v>60</v>
      </c>
      <c r="I51" s="22" t="s">
        <v>58</v>
      </c>
      <c r="J51" s="22" t="s">
        <v>60</v>
      </c>
      <c r="K51" s="22" t="s">
        <v>60</v>
      </c>
      <c r="L51" s="22" t="s">
        <v>60</v>
      </c>
      <c r="M51" s="22" t="s">
        <v>60</v>
      </c>
      <c r="N51" s="22" t="s">
        <v>60</v>
      </c>
      <c r="O51" s="22" t="s">
        <v>60</v>
      </c>
      <c r="P51" s="22" t="s">
        <v>60</v>
      </c>
      <c r="Q51" s="22" t="s">
        <v>63</v>
      </c>
    </row>
    <row r="52">
      <c r="A52" s="13">
        <f t="shared" si="1"/>
        <v>50</v>
      </c>
      <c r="B52" s="17" t="s">
        <v>720</v>
      </c>
      <c r="C52" s="17" t="s">
        <v>721</v>
      </c>
      <c r="D52" s="17" t="s">
        <v>722</v>
      </c>
      <c r="E52" s="17" t="s">
        <v>723</v>
      </c>
      <c r="F52" s="27"/>
      <c r="G52" s="22" t="s">
        <v>60</v>
      </c>
      <c r="H52" s="22" t="s">
        <v>60</v>
      </c>
      <c r="I52" s="22" t="s">
        <v>63</v>
      </c>
      <c r="J52" s="22" t="s">
        <v>58</v>
      </c>
      <c r="K52" s="22" t="s">
        <v>60</v>
      </c>
      <c r="L52" s="22" t="s">
        <v>60</v>
      </c>
      <c r="M52" s="22" t="s">
        <v>60</v>
      </c>
      <c r="N52" s="22" t="s">
        <v>60</v>
      </c>
      <c r="O52" s="22" t="s">
        <v>60</v>
      </c>
      <c r="P52" s="22" t="s">
        <v>60</v>
      </c>
      <c r="Q52" s="22" t="s">
        <v>60</v>
      </c>
    </row>
    <row r="53">
      <c r="A53" s="13">
        <f t="shared" si="1"/>
        <v>51</v>
      </c>
      <c r="B53" s="17" t="s">
        <v>732</v>
      </c>
      <c r="C53" s="15" t="s">
        <v>142</v>
      </c>
      <c r="D53" s="15" t="s">
        <v>143</v>
      </c>
      <c r="E53" s="17" t="s">
        <v>736</v>
      </c>
      <c r="F53" s="27"/>
      <c r="G53" s="22" t="s">
        <v>58</v>
      </c>
      <c r="H53" s="22" t="s">
        <v>60</v>
      </c>
      <c r="I53" s="22" t="s">
        <v>60</v>
      </c>
      <c r="J53" s="22" t="s">
        <v>60</v>
      </c>
      <c r="K53" s="22" t="s">
        <v>60</v>
      </c>
      <c r="L53" s="22" t="s">
        <v>60</v>
      </c>
      <c r="M53" s="22" t="s">
        <v>60</v>
      </c>
      <c r="N53" s="22" t="s">
        <v>60</v>
      </c>
      <c r="O53" s="22" t="s">
        <v>60</v>
      </c>
      <c r="P53" s="22" t="s">
        <v>60</v>
      </c>
      <c r="Q53" s="22" t="s">
        <v>60</v>
      </c>
    </row>
  </sheetData>
  <dataValidations>
    <dataValidation type="list" allowBlank="1" showErrorMessage="1" sqref="K2:K53 M2:M53 P2:P53">
      <formula1>"W,X,-"</formula1>
    </dataValidation>
    <dataValidation type="custom" allowBlank="1" showDropDown="1" sqref="A2:A53">
      <formula1>AND(ISNUMBER(A2),(NOT(OR(NOT(ISERROR(DATEVALUE(A2))), AND(ISNUMBER(A2), LEFT(CELL("format", A2))="D")))))</formula1>
    </dataValidation>
    <dataValidation type="list" allowBlank="1" showErrorMessage="1" sqref="G2:J53 L2:L53 N2:O53 Q2:Q53">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0</v>
      </c>
      <c r="B1" s="1" t="s">
        <v>1</v>
      </c>
      <c r="C1" s="3" t="s">
        <v>2</v>
      </c>
      <c r="D1" s="3" t="s">
        <v>4</v>
      </c>
      <c r="E1" s="3" t="s">
        <v>5</v>
      </c>
      <c r="F1" s="3" t="s">
        <v>7</v>
      </c>
      <c r="G1" s="1" t="s">
        <v>10</v>
      </c>
      <c r="H1" s="3" t="s">
        <v>12</v>
      </c>
      <c r="I1" s="5" t="s">
        <v>15</v>
      </c>
      <c r="J1" s="5" t="s">
        <v>19</v>
      </c>
    </row>
    <row r="2">
      <c r="A2" s="7">
        <f t="shared" ref="A2:A78" si="1">ROW()-ROW($A$2)</f>
        <v>0</v>
      </c>
      <c r="B2" s="7" t="s">
        <v>42</v>
      </c>
      <c r="C2" s="9" t="s">
        <v>45</v>
      </c>
      <c r="D2" s="10" t="s">
        <v>47</v>
      </c>
      <c r="E2" s="12" t="s">
        <v>48</v>
      </c>
      <c r="F2" s="9" t="s">
        <v>48</v>
      </c>
      <c r="G2" s="16" t="b">
        <v>0</v>
      </c>
      <c r="H2" s="9" t="s">
        <v>48</v>
      </c>
      <c r="I2" s="18" t="s">
        <v>56</v>
      </c>
      <c r="J2" s="20" t="s">
        <v>59</v>
      </c>
    </row>
    <row r="3">
      <c r="A3" s="7">
        <f t="shared" si="1"/>
        <v>1</v>
      </c>
      <c r="B3" s="7" t="s">
        <v>73</v>
      </c>
      <c r="C3" s="9" t="s">
        <v>75</v>
      </c>
      <c r="D3" s="10" t="s">
        <v>76</v>
      </c>
      <c r="E3" s="12" t="s">
        <v>78</v>
      </c>
      <c r="F3" s="9" t="s">
        <v>48</v>
      </c>
      <c r="G3" s="16" t="b">
        <v>0</v>
      </c>
      <c r="H3" s="9" t="s">
        <v>48</v>
      </c>
      <c r="I3" s="18" t="s">
        <v>85</v>
      </c>
      <c r="J3" s="20" t="s">
        <v>59</v>
      </c>
    </row>
    <row r="4">
      <c r="A4" s="7">
        <f t="shared" si="1"/>
        <v>2</v>
      </c>
      <c r="B4" s="7" t="s">
        <v>97</v>
      </c>
      <c r="C4" s="9" t="s">
        <v>99</v>
      </c>
      <c r="D4" s="10" t="s">
        <v>101</v>
      </c>
      <c r="E4" s="12" t="s">
        <v>104</v>
      </c>
      <c r="F4" s="9" t="s">
        <v>105</v>
      </c>
      <c r="G4" s="16" t="b">
        <v>0</v>
      </c>
      <c r="H4" s="9" t="s">
        <v>48</v>
      </c>
      <c r="I4" s="18" t="s">
        <v>56</v>
      </c>
      <c r="J4" s="20" t="s">
        <v>107</v>
      </c>
    </row>
    <row r="5">
      <c r="A5" s="7">
        <f t="shared" si="1"/>
        <v>3</v>
      </c>
      <c r="B5" s="7" t="s">
        <v>117</v>
      </c>
      <c r="C5" s="9" t="s">
        <v>119</v>
      </c>
      <c r="D5" s="10" t="s">
        <v>101</v>
      </c>
      <c r="E5" s="12" t="s">
        <v>122</v>
      </c>
      <c r="F5" s="9" t="s">
        <v>122</v>
      </c>
      <c r="G5" s="16" t="b">
        <v>1</v>
      </c>
      <c r="H5" s="9" t="s">
        <v>126</v>
      </c>
      <c r="I5" s="18" t="s">
        <v>56</v>
      </c>
      <c r="J5" s="20" t="s">
        <v>128</v>
      </c>
    </row>
    <row r="6">
      <c r="A6" s="7">
        <f t="shared" si="1"/>
        <v>4</v>
      </c>
      <c r="B6" s="7" t="s">
        <v>132</v>
      </c>
      <c r="C6" s="9" t="s">
        <v>134</v>
      </c>
      <c r="D6" s="10" t="s">
        <v>101</v>
      </c>
      <c r="E6" s="12" t="s">
        <v>136</v>
      </c>
      <c r="F6" s="9" t="s">
        <v>136</v>
      </c>
      <c r="G6" s="16" t="b">
        <v>0</v>
      </c>
      <c r="H6" s="9" t="s">
        <v>48</v>
      </c>
      <c r="I6" s="18" t="s">
        <v>56</v>
      </c>
      <c r="J6" s="20" t="s">
        <v>137</v>
      </c>
    </row>
    <row r="7">
      <c r="A7" s="7">
        <f t="shared" si="1"/>
        <v>5</v>
      </c>
      <c r="B7" s="7" t="s">
        <v>140</v>
      </c>
      <c r="C7" s="9" t="s">
        <v>134</v>
      </c>
      <c r="D7" s="10" t="s">
        <v>101</v>
      </c>
      <c r="E7" s="12" t="s">
        <v>144</v>
      </c>
      <c r="F7" s="9" t="s">
        <v>144</v>
      </c>
      <c r="G7" s="16" t="b">
        <v>0</v>
      </c>
      <c r="H7" s="9" t="s">
        <v>48</v>
      </c>
      <c r="I7" s="18" t="s">
        <v>56</v>
      </c>
      <c r="J7" s="20" t="s">
        <v>147</v>
      </c>
    </row>
    <row r="8">
      <c r="A8" s="7">
        <f t="shared" si="1"/>
        <v>6</v>
      </c>
      <c r="B8" s="7" t="s">
        <v>148</v>
      </c>
      <c r="C8" s="9" t="s">
        <v>149</v>
      </c>
      <c r="D8" s="10" t="s">
        <v>150</v>
      </c>
      <c r="E8" s="12" t="s">
        <v>136</v>
      </c>
      <c r="F8" s="9" t="s">
        <v>136</v>
      </c>
      <c r="G8" s="16" t="b">
        <v>0</v>
      </c>
      <c r="H8" s="9" t="s">
        <v>48</v>
      </c>
      <c r="I8" s="18" t="s">
        <v>56</v>
      </c>
      <c r="J8" s="20" t="s">
        <v>59</v>
      </c>
    </row>
    <row r="9">
      <c r="A9" s="7">
        <f t="shared" si="1"/>
        <v>7</v>
      </c>
      <c r="B9" s="7" t="s">
        <v>156</v>
      </c>
      <c r="C9" s="9" t="s">
        <v>157</v>
      </c>
      <c r="D9" s="10" t="s">
        <v>158</v>
      </c>
      <c r="E9" s="12" t="s">
        <v>159</v>
      </c>
      <c r="F9" s="9" t="s">
        <v>159</v>
      </c>
      <c r="G9" s="16" t="b">
        <v>0</v>
      </c>
      <c r="H9" s="9" t="s">
        <v>48</v>
      </c>
      <c r="I9" s="18" t="s">
        <v>56</v>
      </c>
      <c r="J9" s="20" t="s">
        <v>164</v>
      </c>
    </row>
    <row r="10">
      <c r="A10" s="7">
        <f t="shared" si="1"/>
        <v>8</v>
      </c>
      <c r="B10" s="7" t="s">
        <v>165</v>
      </c>
      <c r="C10" s="9" t="s">
        <v>149</v>
      </c>
      <c r="D10" s="10" t="s">
        <v>150</v>
      </c>
      <c r="E10" s="12" t="s">
        <v>136</v>
      </c>
      <c r="F10" s="9" t="s">
        <v>136</v>
      </c>
      <c r="G10" s="16" t="b">
        <v>0</v>
      </c>
      <c r="H10" s="9" t="s">
        <v>48</v>
      </c>
      <c r="I10" s="18" t="s">
        <v>56</v>
      </c>
      <c r="J10" s="20" t="s">
        <v>59</v>
      </c>
    </row>
    <row r="11">
      <c r="A11" s="7">
        <f t="shared" si="1"/>
        <v>9</v>
      </c>
      <c r="B11" s="7" t="s">
        <v>175</v>
      </c>
      <c r="C11" s="9" t="s">
        <v>149</v>
      </c>
      <c r="D11" s="10" t="s">
        <v>150</v>
      </c>
      <c r="E11" s="12" t="s">
        <v>136</v>
      </c>
      <c r="F11" s="9" t="s">
        <v>136</v>
      </c>
      <c r="G11" s="16" t="b">
        <v>0</v>
      </c>
      <c r="H11" s="9" t="s">
        <v>48</v>
      </c>
      <c r="I11" s="18" t="s">
        <v>56</v>
      </c>
      <c r="J11" s="20" t="s">
        <v>59</v>
      </c>
    </row>
    <row r="12">
      <c r="A12" s="7">
        <f t="shared" si="1"/>
        <v>10</v>
      </c>
      <c r="B12" s="7" t="s">
        <v>188</v>
      </c>
      <c r="C12" s="9" t="s">
        <v>189</v>
      </c>
      <c r="D12" s="10" t="s">
        <v>101</v>
      </c>
      <c r="E12" s="12" t="s">
        <v>136</v>
      </c>
      <c r="F12" s="9" t="s">
        <v>136</v>
      </c>
      <c r="G12" s="16" t="b">
        <v>0</v>
      </c>
      <c r="H12" s="9" t="s">
        <v>48</v>
      </c>
      <c r="I12" s="18" t="s">
        <v>56</v>
      </c>
      <c r="J12" s="20" t="s">
        <v>195</v>
      </c>
    </row>
    <row r="13">
      <c r="A13" s="7">
        <f t="shared" si="1"/>
        <v>11</v>
      </c>
      <c r="B13" s="7" t="s">
        <v>200</v>
      </c>
      <c r="C13" s="9" t="s">
        <v>202</v>
      </c>
      <c r="D13" s="10" t="s">
        <v>101</v>
      </c>
      <c r="E13" s="12" t="s">
        <v>136</v>
      </c>
      <c r="F13" s="9" t="s">
        <v>136</v>
      </c>
      <c r="G13" s="16" t="b">
        <v>0</v>
      </c>
      <c r="H13" s="9" t="s">
        <v>48</v>
      </c>
      <c r="I13" s="18" t="s">
        <v>56</v>
      </c>
      <c r="J13" s="20" t="s">
        <v>206</v>
      </c>
    </row>
    <row r="14">
      <c r="A14" s="7">
        <f t="shared" si="1"/>
        <v>12</v>
      </c>
      <c r="B14" s="7" t="s">
        <v>212</v>
      </c>
      <c r="C14" s="9" t="s">
        <v>149</v>
      </c>
      <c r="D14" s="10" t="s">
        <v>150</v>
      </c>
      <c r="E14" s="12" t="s">
        <v>136</v>
      </c>
      <c r="F14" s="9" t="s">
        <v>136</v>
      </c>
      <c r="G14" s="16" t="b">
        <v>0</v>
      </c>
      <c r="H14" s="9" t="s">
        <v>48</v>
      </c>
      <c r="I14" s="18" t="s">
        <v>56</v>
      </c>
      <c r="J14" s="20" t="s">
        <v>217</v>
      </c>
    </row>
    <row r="15">
      <c r="A15" s="7">
        <f t="shared" si="1"/>
        <v>13</v>
      </c>
      <c r="B15" s="7" t="s">
        <v>223</v>
      </c>
      <c r="C15" s="9" t="s">
        <v>225</v>
      </c>
      <c r="D15" s="10" t="s">
        <v>101</v>
      </c>
      <c r="E15" s="12" t="s">
        <v>136</v>
      </c>
      <c r="F15" s="9" t="s">
        <v>136</v>
      </c>
      <c r="G15" s="16" t="b">
        <v>0</v>
      </c>
      <c r="H15" s="9" t="s">
        <v>48</v>
      </c>
      <c r="I15" s="18" t="s">
        <v>56</v>
      </c>
      <c r="J15" s="20" t="s">
        <v>229</v>
      </c>
    </row>
    <row r="16">
      <c r="A16" s="7">
        <f t="shared" si="1"/>
        <v>14</v>
      </c>
      <c r="B16" s="7" t="s">
        <v>231</v>
      </c>
      <c r="C16" s="9" t="s">
        <v>233</v>
      </c>
      <c r="D16" s="10" t="s">
        <v>101</v>
      </c>
      <c r="E16" s="12" t="s">
        <v>136</v>
      </c>
      <c r="F16" s="9" t="s">
        <v>136</v>
      </c>
      <c r="G16" s="16" t="b">
        <v>1</v>
      </c>
      <c r="H16" s="9" t="s">
        <v>240</v>
      </c>
      <c r="I16" s="18" t="s">
        <v>56</v>
      </c>
      <c r="J16" s="20" t="s">
        <v>242</v>
      </c>
    </row>
    <row r="17">
      <c r="A17" s="7">
        <f t="shared" si="1"/>
        <v>15</v>
      </c>
      <c r="B17" s="7" t="s">
        <v>243</v>
      </c>
      <c r="C17" s="9" t="s">
        <v>244</v>
      </c>
      <c r="D17" s="10" t="s">
        <v>101</v>
      </c>
      <c r="E17" s="12" t="s">
        <v>136</v>
      </c>
      <c r="F17" s="9" t="s">
        <v>136</v>
      </c>
      <c r="G17" s="16" t="b">
        <v>0</v>
      </c>
      <c r="H17" s="9" t="s">
        <v>48</v>
      </c>
      <c r="I17" s="18" t="s">
        <v>56</v>
      </c>
      <c r="J17" s="20" t="s">
        <v>252</v>
      </c>
    </row>
    <row r="18">
      <c r="A18" s="7">
        <f t="shared" si="1"/>
        <v>16</v>
      </c>
      <c r="B18" s="7" t="s">
        <v>255</v>
      </c>
      <c r="C18" s="9" t="s">
        <v>256</v>
      </c>
      <c r="D18" s="10" t="s">
        <v>150</v>
      </c>
      <c r="E18" s="12" t="s">
        <v>136</v>
      </c>
      <c r="F18" s="9" t="s">
        <v>136</v>
      </c>
      <c r="G18" s="16" t="b">
        <v>0</v>
      </c>
      <c r="H18" s="9" t="s">
        <v>48</v>
      </c>
      <c r="I18" s="18" t="s">
        <v>56</v>
      </c>
      <c r="J18" s="20" t="s">
        <v>262</v>
      </c>
    </row>
    <row r="19">
      <c r="A19" s="7">
        <f t="shared" si="1"/>
        <v>17</v>
      </c>
      <c r="B19" s="7" t="s">
        <v>268</v>
      </c>
      <c r="C19" s="9" t="s">
        <v>269</v>
      </c>
      <c r="D19" s="10" t="s">
        <v>150</v>
      </c>
      <c r="E19" s="12" t="s">
        <v>136</v>
      </c>
      <c r="F19" s="9" t="s">
        <v>136</v>
      </c>
      <c r="G19" s="16" t="b">
        <v>0</v>
      </c>
      <c r="H19" s="9" t="s">
        <v>48</v>
      </c>
      <c r="I19" s="18" t="s">
        <v>56</v>
      </c>
      <c r="J19" s="20" t="s">
        <v>59</v>
      </c>
    </row>
    <row r="20">
      <c r="A20" s="7">
        <f t="shared" si="1"/>
        <v>18</v>
      </c>
      <c r="B20" s="7" t="s">
        <v>276</v>
      </c>
      <c r="C20" s="9" t="s">
        <v>277</v>
      </c>
      <c r="D20" s="10" t="s">
        <v>150</v>
      </c>
      <c r="E20" s="12" t="s">
        <v>136</v>
      </c>
      <c r="F20" s="9" t="s">
        <v>136</v>
      </c>
      <c r="G20" s="16" t="b">
        <v>0</v>
      </c>
      <c r="H20" s="9" t="s">
        <v>48</v>
      </c>
      <c r="I20" s="18" t="s">
        <v>56</v>
      </c>
      <c r="J20" s="20" t="s">
        <v>59</v>
      </c>
    </row>
    <row r="21">
      <c r="A21" s="7">
        <f t="shared" si="1"/>
        <v>19</v>
      </c>
      <c r="B21" s="7" t="s">
        <v>289</v>
      </c>
      <c r="C21" s="9" t="s">
        <v>290</v>
      </c>
      <c r="D21" s="10" t="s">
        <v>150</v>
      </c>
      <c r="E21" s="12" t="s">
        <v>136</v>
      </c>
      <c r="F21" s="9" t="s">
        <v>136</v>
      </c>
      <c r="G21" s="16" t="b">
        <v>0</v>
      </c>
      <c r="H21" s="9" t="s">
        <v>48</v>
      </c>
      <c r="I21" s="18" t="s">
        <v>56</v>
      </c>
      <c r="J21" s="20" t="s">
        <v>59</v>
      </c>
    </row>
    <row r="22">
      <c r="A22" s="7">
        <f t="shared" si="1"/>
        <v>20</v>
      </c>
      <c r="B22" s="7" t="s">
        <v>299</v>
      </c>
      <c r="C22" s="9" t="s">
        <v>301</v>
      </c>
      <c r="D22" s="10" t="s">
        <v>158</v>
      </c>
      <c r="E22" s="12" t="s">
        <v>303</v>
      </c>
      <c r="F22" s="9" t="s">
        <v>303</v>
      </c>
      <c r="G22" s="16" t="b">
        <v>0</v>
      </c>
      <c r="H22" s="9" t="s">
        <v>48</v>
      </c>
      <c r="I22" s="18" t="s">
        <v>56</v>
      </c>
      <c r="J22" s="20" t="s">
        <v>59</v>
      </c>
    </row>
    <row r="23">
      <c r="A23" s="7">
        <f t="shared" si="1"/>
        <v>21</v>
      </c>
      <c r="B23" s="7" t="s">
        <v>308</v>
      </c>
      <c r="C23" s="9" t="s">
        <v>309</v>
      </c>
      <c r="D23" s="10" t="s">
        <v>158</v>
      </c>
      <c r="E23" s="12" t="s">
        <v>311</v>
      </c>
      <c r="F23" s="9" t="s">
        <v>311</v>
      </c>
      <c r="G23" s="16" t="b">
        <v>0</v>
      </c>
      <c r="H23" s="9" t="s">
        <v>48</v>
      </c>
      <c r="I23" s="18" t="s">
        <v>56</v>
      </c>
      <c r="J23" s="20" t="s">
        <v>315</v>
      </c>
    </row>
    <row r="24">
      <c r="A24" s="7">
        <f t="shared" si="1"/>
        <v>22</v>
      </c>
      <c r="B24" s="7" t="s">
        <v>318</v>
      </c>
      <c r="C24" s="9" t="s">
        <v>319</v>
      </c>
      <c r="D24" s="10" t="s">
        <v>101</v>
      </c>
      <c r="E24" s="12" t="s">
        <v>321</v>
      </c>
      <c r="F24" s="9" t="s">
        <v>321</v>
      </c>
      <c r="G24" s="16" t="b">
        <v>1</v>
      </c>
      <c r="H24" s="9" t="s">
        <v>325</v>
      </c>
      <c r="I24" s="18" t="s">
        <v>56</v>
      </c>
      <c r="J24" s="20" t="s">
        <v>327</v>
      </c>
    </row>
    <row r="25">
      <c r="A25" s="7">
        <f t="shared" si="1"/>
        <v>23</v>
      </c>
      <c r="B25" s="7" t="s">
        <v>331</v>
      </c>
      <c r="C25" s="9" t="s">
        <v>332</v>
      </c>
      <c r="D25" s="10" t="s">
        <v>150</v>
      </c>
      <c r="E25" s="12" t="s">
        <v>136</v>
      </c>
      <c r="F25" s="9" t="s">
        <v>136</v>
      </c>
      <c r="G25" s="16" t="b">
        <v>0</v>
      </c>
      <c r="H25" s="9" t="s">
        <v>48</v>
      </c>
      <c r="I25" s="18" t="s">
        <v>56</v>
      </c>
      <c r="J25" s="20" t="s">
        <v>59</v>
      </c>
    </row>
    <row r="26">
      <c r="A26" s="7">
        <f t="shared" si="1"/>
        <v>24</v>
      </c>
      <c r="B26" s="7" t="s">
        <v>343</v>
      </c>
      <c r="C26" s="9" t="s">
        <v>344</v>
      </c>
      <c r="D26" s="10" t="s">
        <v>158</v>
      </c>
      <c r="E26" s="12" t="s">
        <v>345</v>
      </c>
      <c r="F26" s="9" t="s">
        <v>345</v>
      </c>
      <c r="G26" s="16" t="b">
        <v>0</v>
      </c>
      <c r="H26" s="9" t="s">
        <v>48</v>
      </c>
      <c r="I26" s="18" t="s">
        <v>56</v>
      </c>
      <c r="J26" s="20" t="s">
        <v>352</v>
      </c>
    </row>
    <row r="27">
      <c r="A27" s="7">
        <f t="shared" si="1"/>
        <v>25</v>
      </c>
      <c r="B27" s="7" t="s">
        <v>356</v>
      </c>
      <c r="C27" s="9" t="s">
        <v>357</v>
      </c>
      <c r="D27" s="10" t="s">
        <v>101</v>
      </c>
      <c r="E27" s="12" t="s">
        <v>136</v>
      </c>
      <c r="F27" s="9" t="s">
        <v>136</v>
      </c>
      <c r="G27" s="16" t="b">
        <v>0</v>
      </c>
      <c r="H27" s="9" t="s">
        <v>48</v>
      </c>
      <c r="I27" s="18" t="s">
        <v>56</v>
      </c>
      <c r="J27" s="20" t="s">
        <v>362</v>
      </c>
    </row>
    <row r="28">
      <c r="A28" s="7">
        <f t="shared" si="1"/>
        <v>26</v>
      </c>
      <c r="B28" s="7" t="s">
        <v>368</v>
      </c>
      <c r="C28" s="9" t="s">
        <v>344</v>
      </c>
      <c r="D28" s="10" t="s">
        <v>158</v>
      </c>
      <c r="E28" s="12" t="s">
        <v>136</v>
      </c>
      <c r="F28" s="9" t="s">
        <v>136</v>
      </c>
      <c r="G28" s="16" t="b">
        <v>0</v>
      </c>
      <c r="H28" s="9" t="s">
        <v>48</v>
      </c>
      <c r="I28" s="18" t="s">
        <v>56</v>
      </c>
      <c r="J28" s="20" t="s">
        <v>352</v>
      </c>
    </row>
    <row r="29">
      <c r="A29" s="7">
        <f t="shared" si="1"/>
        <v>27</v>
      </c>
      <c r="B29" s="7" t="s">
        <v>377</v>
      </c>
      <c r="C29" s="9" t="s">
        <v>379</v>
      </c>
      <c r="D29" s="10" t="s">
        <v>158</v>
      </c>
      <c r="E29" s="12" t="s">
        <v>136</v>
      </c>
      <c r="F29" s="9" t="s">
        <v>136</v>
      </c>
      <c r="G29" s="16" t="b">
        <v>0</v>
      </c>
      <c r="H29" s="9" t="s">
        <v>48</v>
      </c>
      <c r="I29" s="18" t="s">
        <v>56</v>
      </c>
      <c r="J29" s="20" t="s">
        <v>59</v>
      </c>
    </row>
    <row r="30">
      <c r="A30" s="7">
        <f t="shared" si="1"/>
        <v>28</v>
      </c>
      <c r="B30" s="7" t="s">
        <v>387</v>
      </c>
      <c r="C30" s="9" t="s">
        <v>389</v>
      </c>
      <c r="D30" s="10" t="s">
        <v>158</v>
      </c>
      <c r="E30" s="12" t="s">
        <v>390</v>
      </c>
      <c r="F30" s="9" t="s">
        <v>390</v>
      </c>
      <c r="G30" s="16" t="b">
        <v>0</v>
      </c>
      <c r="H30" s="9" t="s">
        <v>48</v>
      </c>
      <c r="I30" s="18" t="s">
        <v>56</v>
      </c>
      <c r="J30" s="20" t="s">
        <v>396</v>
      </c>
    </row>
    <row r="31">
      <c r="A31" s="7">
        <f t="shared" si="1"/>
        <v>29</v>
      </c>
      <c r="B31" s="7" t="s">
        <v>398</v>
      </c>
      <c r="C31" s="9" t="s">
        <v>399</v>
      </c>
      <c r="D31" s="10" t="s">
        <v>101</v>
      </c>
      <c r="E31" s="12" t="s">
        <v>401</v>
      </c>
      <c r="F31" s="9" t="s">
        <v>401</v>
      </c>
      <c r="G31" s="16" t="b">
        <v>0</v>
      </c>
      <c r="H31" s="9" t="s">
        <v>48</v>
      </c>
      <c r="I31" s="18" t="s">
        <v>56</v>
      </c>
      <c r="J31" s="20" t="s">
        <v>406</v>
      </c>
    </row>
    <row r="32">
      <c r="A32" s="7">
        <f t="shared" si="1"/>
        <v>30</v>
      </c>
      <c r="B32" s="7" t="s">
        <v>408</v>
      </c>
      <c r="C32" s="9" t="s">
        <v>409</v>
      </c>
      <c r="D32" s="10" t="s">
        <v>101</v>
      </c>
      <c r="E32" s="12" t="s">
        <v>136</v>
      </c>
      <c r="F32" s="9" t="s">
        <v>136</v>
      </c>
      <c r="G32" s="16" t="b">
        <v>0</v>
      </c>
      <c r="H32" s="9" t="s">
        <v>48</v>
      </c>
      <c r="I32" s="18" t="s">
        <v>56</v>
      </c>
      <c r="J32" s="20" t="s">
        <v>415</v>
      </c>
    </row>
    <row r="33">
      <c r="A33" s="7">
        <f t="shared" si="1"/>
        <v>31</v>
      </c>
      <c r="B33" s="7" t="s">
        <v>416</v>
      </c>
      <c r="C33" s="9" t="s">
        <v>417</v>
      </c>
      <c r="D33" s="10" t="s">
        <v>101</v>
      </c>
      <c r="E33" s="12" t="s">
        <v>136</v>
      </c>
      <c r="F33" s="9" t="s">
        <v>136</v>
      </c>
      <c r="G33" s="16" t="b">
        <v>0</v>
      </c>
      <c r="H33" s="9" t="s">
        <v>48</v>
      </c>
      <c r="I33" s="18" t="s">
        <v>56</v>
      </c>
      <c r="J33" s="20" t="s">
        <v>424</v>
      </c>
    </row>
    <row r="34">
      <c r="A34" s="7">
        <f t="shared" si="1"/>
        <v>32</v>
      </c>
      <c r="B34" s="7" t="s">
        <v>425</v>
      </c>
      <c r="C34" s="9" t="s">
        <v>409</v>
      </c>
      <c r="D34" s="10" t="s">
        <v>101</v>
      </c>
      <c r="E34" s="12" t="s">
        <v>136</v>
      </c>
      <c r="F34" s="9" t="s">
        <v>136</v>
      </c>
      <c r="G34" s="16" t="b">
        <v>0</v>
      </c>
      <c r="H34" s="9" t="s">
        <v>48</v>
      </c>
      <c r="I34" s="18" t="s">
        <v>56</v>
      </c>
      <c r="J34" s="20" t="s">
        <v>432</v>
      </c>
    </row>
    <row r="35">
      <c r="A35" s="7">
        <f t="shared" si="1"/>
        <v>33</v>
      </c>
      <c r="B35" s="7" t="s">
        <v>435</v>
      </c>
      <c r="C35" s="9" t="s">
        <v>438</v>
      </c>
      <c r="D35" s="10" t="s">
        <v>101</v>
      </c>
      <c r="E35" s="12" t="s">
        <v>439</v>
      </c>
      <c r="F35" s="9" t="s">
        <v>439</v>
      </c>
      <c r="G35" s="16" t="b">
        <v>1</v>
      </c>
      <c r="H35" s="9" t="s">
        <v>440</v>
      </c>
      <c r="I35" s="18" t="s">
        <v>56</v>
      </c>
      <c r="J35" s="20" t="s">
        <v>442</v>
      </c>
    </row>
    <row r="36">
      <c r="A36" s="7">
        <f t="shared" si="1"/>
        <v>34</v>
      </c>
      <c r="B36" s="7" t="s">
        <v>447</v>
      </c>
      <c r="C36" s="9" t="s">
        <v>448</v>
      </c>
      <c r="D36" s="10" t="s">
        <v>101</v>
      </c>
      <c r="E36" s="12" t="s">
        <v>449</v>
      </c>
      <c r="F36" s="9" t="s">
        <v>449</v>
      </c>
      <c r="G36" s="16" t="b">
        <v>0</v>
      </c>
      <c r="H36" s="9" t="s">
        <v>48</v>
      </c>
      <c r="I36" s="18" t="s">
        <v>56</v>
      </c>
      <c r="J36" s="20" t="s">
        <v>451</v>
      </c>
    </row>
    <row r="37">
      <c r="A37" s="7">
        <f t="shared" si="1"/>
        <v>35</v>
      </c>
      <c r="B37" s="7" t="s">
        <v>456</v>
      </c>
      <c r="C37" s="9" t="s">
        <v>457</v>
      </c>
      <c r="D37" s="10" t="s">
        <v>158</v>
      </c>
      <c r="E37" s="12" t="s">
        <v>458</v>
      </c>
      <c r="F37" s="9" t="s">
        <v>458</v>
      </c>
      <c r="G37" s="16" t="b">
        <v>0</v>
      </c>
      <c r="H37" s="9" t="s">
        <v>48</v>
      </c>
      <c r="I37" s="18" t="s">
        <v>56</v>
      </c>
      <c r="J37" s="20" t="s">
        <v>463</v>
      </c>
    </row>
    <row r="38">
      <c r="A38" s="7">
        <f t="shared" si="1"/>
        <v>36</v>
      </c>
      <c r="B38" s="7" t="s">
        <v>468</v>
      </c>
      <c r="C38" s="9" t="s">
        <v>469</v>
      </c>
      <c r="D38" s="10" t="s">
        <v>101</v>
      </c>
      <c r="E38" s="12" t="s">
        <v>136</v>
      </c>
      <c r="F38" s="9" t="s">
        <v>136</v>
      </c>
      <c r="G38" s="16" t="b">
        <v>1</v>
      </c>
      <c r="H38" s="9" t="s">
        <v>471</v>
      </c>
      <c r="I38" s="18" t="s">
        <v>472</v>
      </c>
      <c r="J38" s="20" t="s">
        <v>59</v>
      </c>
    </row>
    <row r="39">
      <c r="A39" s="7">
        <f t="shared" si="1"/>
        <v>37</v>
      </c>
      <c r="B39" s="7" t="s">
        <v>482</v>
      </c>
      <c r="C39" s="9" t="s">
        <v>483</v>
      </c>
      <c r="D39" s="10" t="s">
        <v>101</v>
      </c>
      <c r="E39" s="12" t="s">
        <v>136</v>
      </c>
      <c r="F39" s="9" t="s">
        <v>136</v>
      </c>
      <c r="G39" s="16" t="b">
        <v>0</v>
      </c>
      <c r="H39" s="9" t="s">
        <v>48</v>
      </c>
      <c r="I39" s="18" t="s">
        <v>56</v>
      </c>
      <c r="J39" s="20" t="s">
        <v>488</v>
      </c>
    </row>
    <row r="40">
      <c r="A40" s="7">
        <f t="shared" si="1"/>
        <v>38</v>
      </c>
      <c r="B40" s="7" t="s">
        <v>492</v>
      </c>
      <c r="C40" s="9" t="s">
        <v>493</v>
      </c>
      <c r="D40" s="10" t="s">
        <v>101</v>
      </c>
      <c r="E40" s="12" t="s">
        <v>494</v>
      </c>
      <c r="F40" s="9" t="s">
        <v>494</v>
      </c>
      <c r="G40" s="16" t="b">
        <v>0</v>
      </c>
      <c r="H40" s="9" t="s">
        <v>48</v>
      </c>
      <c r="I40" s="18" t="s">
        <v>56</v>
      </c>
      <c r="J40" s="20" t="s">
        <v>498</v>
      </c>
    </row>
    <row r="41">
      <c r="A41" s="7">
        <f t="shared" si="1"/>
        <v>39</v>
      </c>
      <c r="B41" s="7" t="s">
        <v>505</v>
      </c>
      <c r="C41" s="9" t="s">
        <v>507</v>
      </c>
      <c r="D41" s="10" t="s">
        <v>101</v>
      </c>
      <c r="E41" s="12" t="s">
        <v>509</v>
      </c>
      <c r="F41" s="9" t="s">
        <v>509</v>
      </c>
      <c r="G41" s="16" t="b">
        <v>0</v>
      </c>
      <c r="H41" s="9" t="s">
        <v>48</v>
      </c>
      <c r="I41" s="18" t="s">
        <v>56</v>
      </c>
      <c r="J41" s="20" t="s">
        <v>513</v>
      </c>
    </row>
    <row r="42">
      <c r="A42" s="7">
        <f t="shared" si="1"/>
        <v>40</v>
      </c>
      <c r="B42" s="7" t="s">
        <v>523</v>
      </c>
      <c r="C42" s="9" t="s">
        <v>524</v>
      </c>
      <c r="D42" s="10" t="s">
        <v>158</v>
      </c>
      <c r="E42" s="12" t="s">
        <v>525</v>
      </c>
      <c r="F42" s="9" t="s">
        <v>525</v>
      </c>
      <c r="G42" s="16" t="b">
        <v>0</v>
      </c>
      <c r="H42" s="9" t="s">
        <v>48</v>
      </c>
      <c r="I42" s="18" t="s">
        <v>56</v>
      </c>
      <c r="J42" s="20" t="s">
        <v>529</v>
      </c>
    </row>
    <row r="43">
      <c r="A43" s="7">
        <f t="shared" si="1"/>
        <v>41</v>
      </c>
      <c r="B43" s="7" t="s">
        <v>539</v>
      </c>
      <c r="C43" s="9" t="s">
        <v>149</v>
      </c>
      <c r="D43" s="10" t="s">
        <v>150</v>
      </c>
      <c r="E43" s="12" t="s">
        <v>136</v>
      </c>
      <c r="F43" s="9" t="s">
        <v>136</v>
      </c>
      <c r="G43" s="16" t="b">
        <v>0</v>
      </c>
      <c r="H43" s="9" t="s">
        <v>48</v>
      </c>
      <c r="I43" s="18" t="s">
        <v>56</v>
      </c>
      <c r="J43" s="20" t="s">
        <v>543</v>
      </c>
    </row>
    <row r="44">
      <c r="A44" s="7">
        <f t="shared" si="1"/>
        <v>42</v>
      </c>
      <c r="B44" s="7" t="s">
        <v>551</v>
      </c>
      <c r="C44" s="9" t="s">
        <v>149</v>
      </c>
      <c r="D44" s="10" t="s">
        <v>150</v>
      </c>
      <c r="E44" s="12" t="s">
        <v>556</v>
      </c>
      <c r="F44" s="9" t="s">
        <v>556</v>
      </c>
      <c r="G44" s="16" t="b">
        <v>0</v>
      </c>
      <c r="H44" s="9" t="s">
        <v>48</v>
      </c>
      <c r="I44" s="18" t="s">
        <v>56</v>
      </c>
      <c r="J44" s="20" t="s">
        <v>59</v>
      </c>
    </row>
    <row r="45">
      <c r="A45" s="7">
        <f t="shared" si="1"/>
        <v>43</v>
      </c>
      <c r="B45" s="7" t="s">
        <v>567</v>
      </c>
      <c r="C45" s="9" t="s">
        <v>570</v>
      </c>
      <c r="D45" s="10" t="s">
        <v>101</v>
      </c>
      <c r="E45" s="12" t="s">
        <v>571</v>
      </c>
      <c r="F45" s="9" t="s">
        <v>572</v>
      </c>
      <c r="G45" s="16" t="b">
        <v>0</v>
      </c>
      <c r="H45" s="9" t="s">
        <v>48</v>
      </c>
      <c r="I45" s="18" t="s">
        <v>56</v>
      </c>
      <c r="J45" s="20" t="s">
        <v>59</v>
      </c>
    </row>
    <row r="46">
      <c r="A46" s="7">
        <f t="shared" si="1"/>
        <v>44</v>
      </c>
      <c r="B46" s="7" t="s">
        <v>578</v>
      </c>
      <c r="C46" s="9" t="s">
        <v>149</v>
      </c>
      <c r="D46" s="10" t="s">
        <v>150</v>
      </c>
      <c r="E46" s="12" t="s">
        <v>582</v>
      </c>
      <c r="F46" s="9" t="s">
        <v>582</v>
      </c>
      <c r="G46" s="16" t="b">
        <v>0</v>
      </c>
      <c r="H46" s="9" t="s">
        <v>48</v>
      </c>
      <c r="I46" s="18" t="s">
        <v>56</v>
      </c>
      <c r="J46" s="20" t="s">
        <v>59</v>
      </c>
    </row>
    <row r="47">
      <c r="A47" s="7">
        <f t="shared" si="1"/>
        <v>45</v>
      </c>
      <c r="B47" s="7" t="s">
        <v>596</v>
      </c>
      <c r="C47" s="9" t="s">
        <v>597</v>
      </c>
      <c r="D47" s="10" t="s">
        <v>158</v>
      </c>
      <c r="E47" s="12" t="s">
        <v>600</v>
      </c>
      <c r="F47" s="9" t="s">
        <v>600</v>
      </c>
      <c r="G47" s="16" t="b">
        <v>0</v>
      </c>
      <c r="H47" s="9" t="s">
        <v>48</v>
      </c>
      <c r="I47" s="18" t="s">
        <v>56</v>
      </c>
      <c r="J47" s="20" t="s">
        <v>59</v>
      </c>
    </row>
    <row r="48">
      <c r="A48" s="7">
        <f t="shared" si="1"/>
        <v>46</v>
      </c>
      <c r="B48" s="7" t="s">
        <v>613</v>
      </c>
      <c r="C48" s="9" t="s">
        <v>615</v>
      </c>
      <c r="D48" s="10" t="s">
        <v>158</v>
      </c>
      <c r="E48" s="12" t="s">
        <v>619</v>
      </c>
      <c r="F48" s="9" t="s">
        <v>619</v>
      </c>
      <c r="G48" s="16" t="b">
        <v>0</v>
      </c>
      <c r="H48" s="9" t="s">
        <v>48</v>
      </c>
      <c r="I48" s="18" t="s">
        <v>56</v>
      </c>
      <c r="J48" s="20" t="s">
        <v>623</v>
      </c>
    </row>
    <row r="49">
      <c r="A49" s="7">
        <f t="shared" si="1"/>
        <v>47</v>
      </c>
      <c r="B49" s="7" t="s">
        <v>630</v>
      </c>
      <c r="C49" s="9" t="s">
        <v>632</v>
      </c>
      <c r="D49" s="10" t="s">
        <v>158</v>
      </c>
      <c r="E49" s="12" t="s">
        <v>634</v>
      </c>
      <c r="F49" s="9" t="s">
        <v>634</v>
      </c>
      <c r="G49" s="16" t="b">
        <v>0</v>
      </c>
      <c r="H49" s="9" t="s">
        <v>48</v>
      </c>
      <c r="I49" s="18" t="s">
        <v>56</v>
      </c>
      <c r="J49" s="20" t="s">
        <v>640</v>
      </c>
    </row>
    <row r="50">
      <c r="A50" s="7">
        <f t="shared" si="1"/>
        <v>48</v>
      </c>
      <c r="B50" s="7" t="s">
        <v>644</v>
      </c>
      <c r="C50" s="9" t="s">
        <v>457</v>
      </c>
      <c r="D50" s="10" t="s">
        <v>101</v>
      </c>
      <c r="E50" s="12" t="s">
        <v>458</v>
      </c>
      <c r="F50" s="9" t="s">
        <v>458</v>
      </c>
      <c r="G50" s="16" t="b">
        <v>0</v>
      </c>
      <c r="H50" s="9" t="s">
        <v>48</v>
      </c>
      <c r="I50" s="18" t="s">
        <v>56</v>
      </c>
      <c r="J50" s="20" t="s">
        <v>647</v>
      </c>
    </row>
    <row r="51">
      <c r="A51" s="7">
        <f t="shared" si="1"/>
        <v>49</v>
      </c>
      <c r="B51" s="7" t="s">
        <v>653</v>
      </c>
      <c r="C51" s="9" t="s">
        <v>654</v>
      </c>
      <c r="D51" s="10" t="s">
        <v>158</v>
      </c>
      <c r="E51" s="12" t="s">
        <v>656</v>
      </c>
      <c r="F51" s="9" t="s">
        <v>656</v>
      </c>
      <c r="G51" s="16" t="b">
        <v>0</v>
      </c>
      <c r="H51" s="9" t="s">
        <v>48</v>
      </c>
      <c r="I51" s="18" t="s">
        <v>56</v>
      </c>
      <c r="J51" s="20" t="s">
        <v>658</v>
      </c>
    </row>
    <row r="52">
      <c r="A52" s="7">
        <f t="shared" si="1"/>
        <v>50</v>
      </c>
      <c r="B52" s="7" t="s">
        <v>668</v>
      </c>
      <c r="C52" s="9" t="s">
        <v>670</v>
      </c>
      <c r="D52" s="10" t="s">
        <v>158</v>
      </c>
      <c r="E52" s="12" t="s">
        <v>671</v>
      </c>
      <c r="F52" s="9" t="s">
        <v>671</v>
      </c>
      <c r="G52" s="16" t="b">
        <v>0</v>
      </c>
      <c r="H52" s="9" t="s">
        <v>48</v>
      </c>
      <c r="I52" s="18" t="s">
        <v>56</v>
      </c>
      <c r="J52" s="20" t="s">
        <v>673</v>
      </c>
    </row>
    <row r="53">
      <c r="A53" s="7">
        <f t="shared" si="1"/>
        <v>51</v>
      </c>
      <c r="B53" s="7" t="s">
        <v>679</v>
      </c>
      <c r="C53" s="9" t="s">
        <v>469</v>
      </c>
      <c r="D53" s="10" t="s">
        <v>101</v>
      </c>
      <c r="E53" s="12" t="s">
        <v>681</v>
      </c>
      <c r="F53" s="9" t="s">
        <v>681</v>
      </c>
      <c r="G53" s="16" t="b">
        <v>1</v>
      </c>
      <c r="H53" s="9" t="s">
        <v>681</v>
      </c>
      <c r="I53" s="18" t="s">
        <v>56</v>
      </c>
      <c r="J53" s="20" t="s">
        <v>59</v>
      </c>
    </row>
    <row r="54">
      <c r="A54" s="7">
        <f t="shared" si="1"/>
        <v>52</v>
      </c>
      <c r="B54" s="7" t="s">
        <v>686</v>
      </c>
      <c r="C54" s="9" t="s">
        <v>688</v>
      </c>
      <c r="D54" s="10" t="s">
        <v>101</v>
      </c>
      <c r="E54" s="12" t="s">
        <v>136</v>
      </c>
      <c r="F54" s="9" t="s">
        <v>136</v>
      </c>
      <c r="G54" s="16" t="b">
        <v>0</v>
      </c>
      <c r="H54" s="9" t="s">
        <v>48</v>
      </c>
      <c r="I54" s="18" t="s">
        <v>56</v>
      </c>
      <c r="J54" s="20" t="s">
        <v>697</v>
      </c>
    </row>
    <row r="55">
      <c r="A55" s="7">
        <f t="shared" si="1"/>
        <v>53</v>
      </c>
      <c r="B55" s="7" t="s">
        <v>703</v>
      </c>
      <c r="C55" s="9" t="s">
        <v>704</v>
      </c>
      <c r="D55" s="10" t="s">
        <v>101</v>
      </c>
      <c r="E55" s="12" t="s">
        <v>706</v>
      </c>
      <c r="F55" s="9" t="s">
        <v>706</v>
      </c>
      <c r="G55" s="16" t="b">
        <v>0</v>
      </c>
      <c r="H55" s="9" t="s">
        <v>48</v>
      </c>
      <c r="I55" s="18" t="s">
        <v>56</v>
      </c>
      <c r="J55" s="20" t="s">
        <v>713</v>
      </c>
    </row>
    <row r="56">
      <c r="A56" s="7">
        <f t="shared" si="1"/>
        <v>54</v>
      </c>
      <c r="B56" s="7" t="s">
        <v>717</v>
      </c>
      <c r="C56" s="9" t="s">
        <v>718</v>
      </c>
      <c r="D56" s="10" t="s">
        <v>101</v>
      </c>
      <c r="E56" s="12" t="s">
        <v>719</v>
      </c>
      <c r="F56" s="9" t="s">
        <v>719</v>
      </c>
      <c r="G56" s="16" t="b">
        <v>0</v>
      </c>
      <c r="H56" s="9" t="s">
        <v>48</v>
      </c>
      <c r="I56" s="18" t="s">
        <v>56</v>
      </c>
      <c r="J56" s="20" t="s">
        <v>725</v>
      </c>
    </row>
    <row r="57">
      <c r="A57" s="7">
        <f t="shared" si="1"/>
        <v>55</v>
      </c>
      <c r="B57" s="7" t="s">
        <v>727</v>
      </c>
      <c r="C57" s="9" t="s">
        <v>729</v>
      </c>
      <c r="D57" s="10" t="s">
        <v>101</v>
      </c>
      <c r="E57" s="12" t="s">
        <v>730</v>
      </c>
      <c r="F57" s="9" t="s">
        <v>730</v>
      </c>
      <c r="G57" s="16" t="b">
        <v>1</v>
      </c>
      <c r="H57" s="9" t="s">
        <v>730</v>
      </c>
      <c r="I57" s="18" t="s">
        <v>56</v>
      </c>
      <c r="J57" s="20" t="s">
        <v>733</v>
      </c>
    </row>
    <row r="58">
      <c r="A58" s="7">
        <f t="shared" si="1"/>
        <v>56</v>
      </c>
      <c r="B58" s="7" t="s">
        <v>740</v>
      </c>
      <c r="C58" s="9" t="s">
        <v>742</v>
      </c>
      <c r="D58" s="10" t="s">
        <v>101</v>
      </c>
      <c r="E58" s="12" t="s">
        <v>136</v>
      </c>
      <c r="F58" s="9" t="s">
        <v>136</v>
      </c>
      <c r="G58" s="16" t="b">
        <v>0</v>
      </c>
      <c r="H58" s="9" t="s">
        <v>48</v>
      </c>
      <c r="I58" s="18" t="s">
        <v>56</v>
      </c>
      <c r="J58" s="20" t="s">
        <v>745</v>
      </c>
    </row>
    <row r="59">
      <c r="A59" s="7">
        <f t="shared" si="1"/>
        <v>57</v>
      </c>
      <c r="B59" s="7" t="s">
        <v>751</v>
      </c>
      <c r="C59" s="9" t="s">
        <v>753</v>
      </c>
      <c r="D59" s="10" t="s">
        <v>101</v>
      </c>
      <c r="E59" s="12" t="s">
        <v>754</v>
      </c>
      <c r="F59" s="45" t="s">
        <v>754</v>
      </c>
      <c r="G59" s="16" t="b">
        <v>1</v>
      </c>
      <c r="H59" s="45" t="s">
        <v>754</v>
      </c>
      <c r="I59" s="18" t="s">
        <v>56</v>
      </c>
      <c r="J59" s="20" t="s">
        <v>759</v>
      </c>
    </row>
    <row r="60">
      <c r="A60" s="7">
        <f t="shared" si="1"/>
        <v>58</v>
      </c>
      <c r="B60" s="7" t="s">
        <v>764</v>
      </c>
      <c r="C60" s="9" t="s">
        <v>670</v>
      </c>
      <c r="D60" s="10" t="s">
        <v>158</v>
      </c>
      <c r="E60" s="12" t="s">
        <v>766</v>
      </c>
      <c r="F60" s="9" t="s">
        <v>766</v>
      </c>
      <c r="G60" s="16" t="b">
        <v>0</v>
      </c>
      <c r="H60" s="9" t="s">
        <v>48</v>
      </c>
      <c r="I60" s="18" t="s">
        <v>56</v>
      </c>
      <c r="J60" s="20" t="s">
        <v>59</v>
      </c>
    </row>
    <row r="61">
      <c r="A61" s="7">
        <f t="shared" si="1"/>
        <v>59</v>
      </c>
      <c r="B61" s="7" t="s">
        <v>769</v>
      </c>
      <c r="C61" s="9" t="s">
        <v>670</v>
      </c>
      <c r="D61" s="10" t="s">
        <v>158</v>
      </c>
      <c r="E61" s="12" t="s">
        <v>770</v>
      </c>
      <c r="F61" s="46" t="s">
        <v>770</v>
      </c>
      <c r="G61" s="16" t="b">
        <v>0</v>
      </c>
      <c r="H61" s="9" t="s">
        <v>48</v>
      </c>
      <c r="I61" s="18" t="s">
        <v>56</v>
      </c>
      <c r="J61" s="20" t="s">
        <v>772</v>
      </c>
    </row>
    <row r="62">
      <c r="A62" s="7">
        <f t="shared" si="1"/>
        <v>60</v>
      </c>
      <c r="B62" s="7" t="s">
        <v>777</v>
      </c>
      <c r="C62" s="9" t="s">
        <v>778</v>
      </c>
      <c r="D62" s="10" t="s">
        <v>158</v>
      </c>
      <c r="E62" s="12" t="s">
        <v>779</v>
      </c>
      <c r="F62" s="9" t="s">
        <v>779</v>
      </c>
      <c r="G62" s="16" t="b">
        <v>0</v>
      </c>
      <c r="H62" s="9" t="s">
        <v>48</v>
      </c>
      <c r="I62" s="18" t="s">
        <v>56</v>
      </c>
      <c r="J62" s="20" t="s">
        <v>59</v>
      </c>
    </row>
    <row r="63">
      <c r="A63" s="7">
        <f t="shared" si="1"/>
        <v>61</v>
      </c>
      <c r="B63" s="7" t="s">
        <v>784</v>
      </c>
      <c r="C63" s="9" t="s">
        <v>524</v>
      </c>
      <c r="D63" s="10" t="s">
        <v>158</v>
      </c>
      <c r="E63" s="12" t="s">
        <v>525</v>
      </c>
      <c r="F63" s="45" t="s">
        <v>525</v>
      </c>
      <c r="G63" s="16" t="b">
        <v>0</v>
      </c>
      <c r="H63" s="9" t="s">
        <v>48</v>
      </c>
      <c r="I63" s="18" t="s">
        <v>56</v>
      </c>
      <c r="J63" s="20" t="s">
        <v>59</v>
      </c>
    </row>
    <row r="64">
      <c r="A64" s="7">
        <f t="shared" si="1"/>
        <v>62</v>
      </c>
      <c r="B64" s="7" t="s">
        <v>795</v>
      </c>
      <c r="C64" s="9" t="s">
        <v>75</v>
      </c>
      <c r="D64" s="10" t="s">
        <v>76</v>
      </c>
      <c r="E64" s="12" t="s">
        <v>48</v>
      </c>
      <c r="F64" s="9" t="s">
        <v>48</v>
      </c>
      <c r="G64" s="16" t="b">
        <v>0</v>
      </c>
      <c r="H64" s="9" t="s">
        <v>48</v>
      </c>
      <c r="I64" s="18" t="s">
        <v>798</v>
      </c>
      <c r="J64" s="20" t="s">
        <v>59</v>
      </c>
    </row>
    <row r="65">
      <c r="A65" s="7">
        <f t="shared" si="1"/>
        <v>63</v>
      </c>
      <c r="B65" s="7" t="s">
        <v>804</v>
      </c>
      <c r="C65" s="9" t="s">
        <v>807</v>
      </c>
      <c r="D65" s="10" t="s">
        <v>101</v>
      </c>
      <c r="E65" s="12" t="s">
        <v>136</v>
      </c>
      <c r="F65" s="9" t="s">
        <v>136</v>
      </c>
      <c r="G65" s="16" t="b">
        <v>0</v>
      </c>
      <c r="H65" s="9" t="s">
        <v>48</v>
      </c>
      <c r="I65" s="18" t="s">
        <v>56</v>
      </c>
      <c r="J65" s="20" t="s">
        <v>810</v>
      </c>
    </row>
    <row r="66">
      <c r="A66" s="7">
        <f t="shared" si="1"/>
        <v>64</v>
      </c>
      <c r="B66" s="7" t="s">
        <v>815</v>
      </c>
      <c r="C66" s="9" t="s">
        <v>820</v>
      </c>
      <c r="D66" s="10" t="s">
        <v>101</v>
      </c>
      <c r="E66" s="12" t="s">
        <v>136</v>
      </c>
      <c r="F66" s="9" t="s">
        <v>136</v>
      </c>
      <c r="G66" s="16" t="b">
        <v>0</v>
      </c>
      <c r="H66" s="9" t="s">
        <v>48</v>
      </c>
      <c r="I66" s="18" t="s">
        <v>56</v>
      </c>
      <c r="J66" s="20" t="s">
        <v>824</v>
      </c>
    </row>
    <row r="67">
      <c r="A67" s="7">
        <f t="shared" si="1"/>
        <v>65</v>
      </c>
      <c r="B67" s="7" t="s">
        <v>832</v>
      </c>
      <c r="C67" s="9" t="s">
        <v>834</v>
      </c>
      <c r="D67" s="10" t="s">
        <v>101</v>
      </c>
      <c r="E67" s="12" t="s">
        <v>136</v>
      </c>
      <c r="F67" s="9" t="s">
        <v>136</v>
      </c>
      <c r="G67" s="16" t="b">
        <v>0</v>
      </c>
      <c r="H67" s="9" t="s">
        <v>48</v>
      </c>
      <c r="I67" s="18" t="s">
        <v>56</v>
      </c>
      <c r="J67" s="20" t="s">
        <v>840</v>
      </c>
    </row>
    <row r="68">
      <c r="A68" s="7">
        <f t="shared" si="1"/>
        <v>66</v>
      </c>
      <c r="B68" s="7" t="s">
        <v>848</v>
      </c>
      <c r="C68" s="9" t="s">
        <v>850</v>
      </c>
      <c r="D68" s="10" t="s">
        <v>158</v>
      </c>
      <c r="E68" s="12" t="s">
        <v>799</v>
      </c>
      <c r="F68" s="45" t="s">
        <v>799</v>
      </c>
      <c r="G68" s="16" t="b">
        <v>0</v>
      </c>
      <c r="H68" s="9" t="s">
        <v>48</v>
      </c>
      <c r="I68" s="18" t="s">
        <v>56</v>
      </c>
      <c r="J68" s="20" t="s">
        <v>854</v>
      </c>
    </row>
    <row r="69">
      <c r="A69" s="7">
        <f t="shared" si="1"/>
        <v>67</v>
      </c>
      <c r="B69" s="7" t="s">
        <v>857</v>
      </c>
      <c r="C69" s="9" t="s">
        <v>859</v>
      </c>
      <c r="D69" s="10" t="s">
        <v>158</v>
      </c>
      <c r="E69" s="12" t="s">
        <v>801</v>
      </c>
      <c r="F69" s="10" t="s">
        <v>801</v>
      </c>
      <c r="G69" s="16" t="b">
        <v>0</v>
      </c>
      <c r="H69" s="9" t="s">
        <v>48</v>
      </c>
      <c r="I69" s="18" t="s">
        <v>56</v>
      </c>
      <c r="J69" s="20" t="s">
        <v>862</v>
      </c>
    </row>
    <row r="70">
      <c r="A70" s="7">
        <f t="shared" si="1"/>
        <v>68</v>
      </c>
      <c r="B70" s="7" t="s">
        <v>98</v>
      </c>
      <c r="C70" s="9" t="s">
        <v>867</v>
      </c>
      <c r="D70" s="10" t="s">
        <v>158</v>
      </c>
      <c r="E70" s="12" t="s">
        <v>814</v>
      </c>
      <c r="F70" s="9" t="s">
        <v>814</v>
      </c>
      <c r="G70" s="16" t="b">
        <v>0</v>
      </c>
      <c r="H70" s="9" t="s">
        <v>48</v>
      </c>
      <c r="I70" s="18" t="s">
        <v>56</v>
      </c>
      <c r="J70" s="20" t="s">
        <v>870</v>
      </c>
    </row>
    <row r="71">
      <c r="A71" s="7">
        <f t="shared" si="1"/>
        <v>69</v>
      </c>
      <c r="B71" s="7" t="s">
        <v>873</v>
      </c>
      <c r="C71" s="9" t="s">
        <v>149</v>
      </c>
      <c r="D71" s="10" t="s">
        <v>150</v>
      </c>
      <c r="E71" s="12" t="s">
        <v>136</v>
      </c>
      <c r="F71" s="9" t="s">
        <v>136</v>
      </c>
      <c r="G71" s="16" t="b">
        <v>0</v>
      </c>
      <c r="H71" s="9" t="s">
        <v>48</v>
      </c>
      <c r="I71" s="18" t="s">
        <v>56</v>
      </c>
      <c r="J71" s="20" t="s">
        <v>877</v>
      </c>
    </row>
    <row r="72">
      <c r="A72" s="7">
        <f t="shared" si="1"/>
        <v>70</v>
      </c>
      <c r="B72" s="7" t="s">
        <v>881</v>
      </c>
      <c r="C72" s="9" t="s">
        <v>75</v>
      </c>
      <c r="D72" s="10" t="s">
        <v>76</v>
      </c>
      <c r="E72" s="12" t="s">
        <v>136</v>
      </c>
      <c r="F72" s="9" t="s">
        <v>136</v>
      </c>
      <c r="G72" s="16" t="b">
        <v>0</v>
      </c>
      <c r="H72" s="9" t="s">
        <v>48</v>
      </c>
      <c r="I72" s="18" t="s">
        <v>56</v>
      </c>
      <c r="J72" s="20" t="s">
        <v>59</v>
      </c>
    </row>
    <row r="73">
      <c r="A73" s="7">
        <f t="shared" si="1"/>
        <v>71</v>
      </c>
      <c r="B73" s="7" t="s">
        <v>895</v>
      </c>
      <c r="C73" s="9" t="s">
        <v>44</v>
      </c>
      <c r="D73" s="10" t="s">
        <v>101</v>
      </c>
      <c r="E73" s="12" t="s">
        <v>828</v>
      </c>
      <c r="F73" s="9" t="s">
        <v>828</v>
      </c>
      <c r="G73" s="16" t="b">
        <v>1</v>
      </c>
      <c r="H73" s="9" t="s">
        <v>828</v>
      </c>
      <c r="I73" s="18" t="s">
        <v>56</v>
      </c>
      <c r="J73" s="20" t="s">
        <v>902</v>
      </c>
    </row>
    <row r="74">
      <c r="A74" s="7">
        <f t="shared" si="1"/>
        <v>72</v>
      </c>
      <c r="B74" s="7" t="s">
        <v>909</v>
      </c>
      <c r="C74" s="9" t="s">
        <v>911</v>
      </c>
      <c r="D74" s="10" t="s">
        <v>101</v>
      </c>
      <c r="E74" s="12" t="s">
        <v>846</v>
      </c>
      <c r="F74" s="9" t="s">
        <v>846</v>
      </c>
      <c r="G74" s="16" t="b">
        <v>0</v>
      </c>
      <c r="H74" s="9" t="s">
        <v>48</v>
      </c>
      <c r="I74" s="18" t="s">
        <v>916</v>
      </c>
      <c r="J74" s="20" t="s">
        <v>59</v>
      </c>
    </row>
    <row r="75">
      <c r="A75" s="7">
        <f t="shared" si="1"/>
        <v>73</v>
      </c>
      <c r="B75" s="7" t="s">
        <v>924</v>
      </c>
      <c r="C75" s="9" t="s">
        <v>277</v>
      </c>
      <c r="D75" s="10" t="s">
        <v>928</v>
      </c>
      <c r="E75" s="12" t="s">
        <v>136</v>
      </c>
      <c r="F75" s="9" t="s">
        <v>136</v>
      </c>
      <c r="G75" s="16" t="b">
        <v>0</v>
      </c>
      <c r="H75" s="9" t="s">
        <v>48</v>
      </c>
      <c r="I75" s="18" t="s">
        <v>56</v>
      </c>
      <c r="J75" s="20" t="s">
        <v>59</v>
      </c>
    </row>
    <row r="76">
      <c r="A76" s="7">
        <f t="shared" si="1"/>
        <v>74</v>
      </c>
      <c r="B76" s="7" t="s">
        <v>942</v>
      </c>
      <c r="C76" s="9" t="s">
        <v>269</v>
      </c>
      <c r="D76" s="10" t="s">
        <v>928</v>
      </c>
      <c r="E76" s="12" t="s">
        <v>136</v>
      </c>
      <c r="F76" s="9" t="s">
        <v>136</v>
      </c>
      <c r="G76" s="16" t="b">
        <v>0</v>
      </c>
      <c r="H76" s="9" t="s">
        <v>48</v>
      </c>
      <c r="I76" s="18" t="s">
        <v>56</v>
      </c>
      <c r="J76" s="20" t="s">
        <v>59</v>
      </c>
    </row>
    <row r="77">
      <c r="A77" s="7">
        <f t="shared" si="1"/>
        <v>75</v>
      </c>
      <c r="B77" s="7" t="s">
        <v>956</v>
      </c>
      <c r="C77" s="9" t="s">
        <v>256</v>
      </c>
      <c r="D77" s="10" t="s">
        <v>928</v>
      </c>
      <c r="E77" s="47" t="s">
        <v>136</v>
      </c>
      <c r="F77" s="48" t="s">
        <v>136</v>
      </c>
      <c r="G77" s="49" t="b">
        <v>0</v>
      </c>
      <c r="H77" s="48" t="s">
        <v>48</v>
      </c>
      <c r="I77" s="50" t="s">
        <v>56</v>
      </c>
      <c r="J77" s="51" t="s">
        <v>262</v>
      </c>
    </row>
    <row r="78">
      <c r="A78" s="7">
        <f t="shared" si="1"/>
        <v>76</v>
      </c>
      <c r="B78" s="7" t="s">
        <v>975</v>
      </c>
      <c r="C78" s="9" t="s">
        <v>976</v>
      </c>
      <c r="D78" s="10" t="s">
        <v>47</v>
      </c>
      <c r="E78" s="12" t="s">
        <v>853</v>
      </c>
      <c r="F78" s="9" t="s">
        <v>853</v>
      </c>
      <c r="G78" s="16" t="b">
        <v>0</v>
      </c>
      <c r="H78" s="9" t="s">
        <v>48</v>
      </c>
      <c r="I78" s="18" t="s">
        <v>56</v>
      </c>
      <c r="J78" s="20" t="s">
        <v>59</v>
      </c>
    </row>
  </sheetData>
  <dataValidations>
    <dataValidation type="list" allowBlank="1" sqref="E2:E78 J2:J78">
      <formula1>#REF!</formula1>
    </dataValidation>
    <dataValidation type="list" allowBlank="1" sqref="C2:D78 F2:F78 H2:I7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1" t="s">
        <v>0</v>
      </c>
      <c r="B1" s="1" t="s">
        <v>171</v>
      </c>
      <c r="C1" s="1" t="s">
        <v>172</v>
      </c>
      <c r="D1" s="3" t="s">
        <v>173</v>
      </c>
      <c r="E1" s="3" t="s">
        <v>174</v>
      </c>
      <c r="F1" s="3" t="s">
        <v>176</v>
      </c>
      <c r="G1" s="3" t="s">
        <v>177</v>
      </c>
      <c r="H1" s="5" t="s">
        <v>178</v>
      </c>
    </row>
    <row r="2">
      <c r="A2" s="28">
        <f>ROW()-ROW(Table_Action_Conditions[N])</f>
        <v>0</v>
      </c>
      <c r="B2" s="28" t="s">
        <v>59</v>
      </c>
      <c r="C2" s="29" t="s">
        <v>183</v>
      </c>
      <c r="D2" s="30" t="s">
        <v>184</v>
      </c>
      <c r="E2" s="30" t="s">
        <v>185</v>
      </c>
      <c r="F2" s="30" t="s">
        <v>42</v>
      </c>
      <c r="G2" s="30" t="s">
        <v>186</v>
      </c>
      <c r="H2" s="31" t="s">
        <v>187</v>
      </c>
    </row>
    <row r="3">
      <c r="A3" s="28">
        <f>ROW()-ROW(Table_Action_Conditions[N])</f>
        <v>1</v>
      </c>
      <c r="B3" s="28" t="s">
        <v>198</v>
      </c>
      <c r="C3" s="32" t="s">
        <v>199</v>
      </c>
      <c r="D3" s="30" t="s">
        <v>184</v>
      </c>
      <c r="E3" s="30" t="s">
        <v>201</v>
      </c>
      <c r="F3" s="30" t="s">
        <v>42</v>
      </c>
      <c r="G3" s="30" t="s">
        <v>203</v>
      </c>
      <c r="H3" s="31" t="s">
        <v>204</v>
      </c>
    </row>
    <row r="4">
      <c r="A4" s="28">
        <f>ROW()-ROW(Table_Action_Conditions[N])</f>
        <v>2</v>
      </c>
      <c r="B4" s="28" t="s">
        <v>214</v>
      </c>
      <c r="C4" s="32" t="s">
        <v>215</v>
      </c>
      <c r="D4" s="30" t="s">
        <v>184</v>
      </c>
      <c r="E4" s="30" t="s">
        <v>201</v>
      </c>
      <c r="F4" s="30" t="s">
        <v>42</v>
      </c>
      <c r="G4" s="30" t="s">
        <v>203</v>
      </c>
      <c r="H4" s="31" t="s">
        <v>216</v>
      </c>
    </row>
    <row r="5">
      <c r="A5" s="28">
        <f>ROW()-ROW(Table_Action_Conditions[N])</f>
        <v>3</v>
      </c>
      <c r="B5" s="28" t="s">
        <v>128</v>
      </c>
      <c r="C5" s="32" t="s">
        <v>227</v>
      </c>
      <c r="D5" s="30" t="s">
        <v>184</v>
      </c>
      <c r="E5" s="30" t="s">
        <v>201</v>
      </c>
      <c r="F5" s="30" t="s">
        <v>42</v>
      </c>
      <c r="G5" s="30" t="s">
        <v>203</v>
      </c>
      <c r="H5" s="31" t="s">
        <v>228</v>
      </c>
    </row>
    <row r="6">
      <c r="A6" s="28">
        <f>ROW()-ROW(Table_Action_Conditions[N])</f>
        <v>4</v>
      </c>
      <c r="B6" s="28" t="s">
        <v>137</v>
      </c>
      <c r="C6" s="32" t="s">
        <v>238</v>
      </c>
      <c r="D6" s="30" t="s">
        <v>184</v>
      </c>
      <c r="E6" s="30" t="s">
        <v>201</v>
      </c>
      <c r="F6" s="30" t="s">
        <v>42</v>
      </c>
      <c r="G6" s="30" t="s">
        <v>203</v>
      </c>
      <c r="H6" s="31" t="s">
        <v>241</v>
      </c>
    </row>
    <row r="7">
      <c r="A7" s="28">
        <f>ROW()-ROW(Table_Action_Conditions[N])</f>
        <v>5</v>
      </c>
      <c r="B7" s="28" t="s">
        <v>147</v>
      </c>
      <c r="C7" s="32" t="s">
        <v>249</v>
      </c>
      <c r="D7" s="30" t="s">
        <v>184</v>
      </c>
      <c r="E7" s="30" t="s">
        <v>201</v>
      </c>
      <c r="F7" s="30" t="s">
        <v>42</v>
      </c>
      <c r="G7" s="30" t="s">
        <v>203</v>
      </c>
      <c r="H7" s="31" t="s">
        <v>254</v>
      </c>
    </row>
    <row r="8">
      <c r="A8" s="28">
        <f>ROW()-ROW(Table_Action_Conditions[N])</f>
        <v>6</v>
      </c>
      <c r="B8" s="28" t="s">
        <v>261</v>
      </c>
      <c r="C8" s="32" t="s">
        <v>183</v>
      </c>
      <c r="D8" s="30" t="s">
        <v>184</v>
      </c>
      <c r="E8" s="30" t="s">
        <v>201</v>
      </c>
      <c r="F8" s="30" t="s">
        <v>42</v>
      </c>
      <c r="G8" s="30" t="s">
        <v>263</v>
      </c>
      <c r="H8" s="31" t="s">
        <v>264</v>
      </c>
    </row>
    <row r="9">
      <c r="A9" s="28">
        <f>ROW()-ROW(Table_Action_Conditions[N])</f>
        <v>7</v>
      </c>
      <c r="B9" s="28" t="s">
        <v>206</v>
      </c>
      <c r="C9" s="32" t="s">
        <v>183</v>
      </c>
      <c r="D9" s="30" t="s">
        <v>184</v>
      </c>
      <c r="E9" s="30" t="s">
        <v>201</v>
      </c>
      <c r="F9" s="30" t="s">
        <v>42</v>
      </c>
      <c r="G9" s="30" t="s">
        <v>274</v>
      </c>
      <c r="H9" s="31" t="s">
        <v>275</v>
      </c>
    </row>
    <row r="10">
      <c r="A10" s="28">
        <f>ROW()-ROW(Table_Action_Conditions[N])</f>
        <v>8</v>
      </c>
      <c r="B10" s="28" t="s">
        <v>280</v>
      </c>
      <c r="C10" s="32" t="s">
        <v>282</v>
      </c>
      <c r="D10" s="30" t="s">
        <v>184</v>
      </c>
      <c r="E10" s="30" t="s">
        <v>201</v>
      </c>
      <c r="F10" s="30" t="s">
        <v>42</v>
      </c>
      <c r="G10" s="30" t="s">
        <v>284</v>
      </c>
      <c r="H10" s="31" t="s">
        <v>286</v>
      </c>
    </row>
    <row r="11">
      <c r="A11" s="28">
        <f>ROW()-ROW(Table_Action_Conditions[N])</f>
        <v>9</v>
      </c>
      <c r="B11" s="28" t="s">
        <v>291</v>
      </c>
      <c r="C11" s="32" t="s">
        <v>292</v>
      </c>
      <c r="D11" s="30" t="s">
        <v>184</v>
      </c>
      <c r="E11" s="30" t="s">
        <v>201</v>
      </c>
      <c r="F11" s="30" t="s">
        <v>42</v>
      </c>
      <c r="G11" s="30" t="s">
        <v>284</v>
      </c>
      <c r="H11" s="31" t="s">
        <v>295</v>
      </c>
    </row>
    <row r="12">
      <c r="A12" s="28">
        <f>ROW()-ROW(Table_Action_Conditions[N])</f>
        <v>10</v>
      </c>
      <c r="B12" s="28" t="s">
        <v>304</v>
      </c>
      <c r="C12" s="32" t="s">
        <v>305</v>
      </c>
      <c r="D12" s="30" t="s">
        <v>184</v>
      </c>
      <c r="E12" s="30" t="s">
        <v>201</v>
      </c>
      <c r="F12" s="30" t="s">
        <v>42</v>
      </c>
      <c r="G12" s="30" t="s">
        <v>284</v>
      </c>
      <c r="H12" s="31" t="s">
        <v>306</v>
      </c>
    </row>
    <row r="13">
      <c r="A13" s="28">
        <f>ROW()-ROW(Table_Action_Conditions[N])</f>
        <v>11</v>
      </c>
      <c r="B13" s="28" t="s">
        <v>316</v>
      </c>
      <c r="C13" s="32" t="s">
        <v>183</v>
      </c>
      <c r="D13" s="30" t="s">
        <v>184</v>
      </c>
      <c r="E13" s="30" t="s">
        <v>201</v>
      </c>
      <c r="F13" s="30" t="s">
        <v>42</v>
      </c>
      <c r="G13" s="30" t="s">
        <v>203</v>
      </c>
      <c r="H13" s="31" t="s">
        <v>317</v>
      </c>
    </row>
    <row r="14">
      <c r="A14" s="28">
        <f>ROW()-ROW(Table_Action_Conditions[N])</f>
        <v>12</v>
      </c>
      <c r="B14" s="28" t="s">
        <v>328</v>
      </c>
      <c r="C14" s="32" t="s">
        <v>292</v>
      </c>
      <c r="D14" s="30" t="s">
        <v>184</v>
      </c>
      <c r="E14" s="30" t="s">
        <v>201</v>
      </c>
      <c r="F14" s="30" t="s">
        <v>231</v>
      </c>
      <c r="G14" s="30" t="s">
        <v>329</v>
      </c>
      <c r="H14" s="31" t="s">
        <v>330</v>
      </c>
    </row>
    <row r="15">
      <c r="A15" s="28">
        <f>ROW()-ROW(Table_Action_Conditions[N])</f>
        <v>13</v>
      </c>
      <c r="B15" s="28" t="s">
        <v>340</v>
      </c>
      <c r="C15" s="32" t="s">
        <v>341</v>
      </c>
      <c r="D15" s="30" t="s">
        <v>184</v>
      </c>
      <c r="E15" s="30" t="s">
        <v>201</v>
      </c>
      <c r="F15" s="30" t="s">
        <v>231</v>
      </c>
      <c r="G15" s="30" t="s">
        <v>329</v>
      </c>
      <c r="H15" s="31" t="s">
        <v>342</v>
      </c>
    </row>
    <row r="16">
      <c r="A16" s="28">
        <f>ROW()-ROW(Table_Action_Conditions[N])</f>
        <v>14</v>
      </c>
      <c r="B16" s="28" t="s">
        <v>242</v>
      </c>
      <c r="C16" s="32" t="s">
        <v>354</v>
      </c>
      <c r="D16" s="30" t="s">
        <v>184</v>
      </c>
      <c r="E16" s="30" t="s">
        <v>201</v>
      </c>
      <c r="F16" s="30" t="s">
        <v>42</v>
      </c>
      <c r="G16" s="30" t="s">
        <v>203</v>
      </c>
      <c r="H16" s="31" t="s">
        <v>355</v>
      </c>
    </row>
    <row r="17">
      <c r="A17" s="28">
        <f>ROW()-ROW(Table_Action_Conditions[N])</f>
        <v>15</v>
      </c>
      <c r="B17" s="28" t="s">
        <v>363</v>
      </c>
      <c r="C17" s="32" t="s">
        <v>365</v>
      </c>
      <c r="D17" s="30" t="s">
        <v>184</v>
      </c>
      <c r="E17" s="30" t="s">
        <v>201</v>
      </c>
      <c r="F17" s="30" t="s">
        <v>42</v>
      </c>
      <c r="G17" s="30" t="s">
        <v>203</v>
      </c>
      <c r="H17" s="31" t="s">
        <v>367</v>
      </c>
    </row>
    <row r="18">
      <c r="A18" s="28">
        <f>ROW()-ROW(Table_Action_Conditions[N])</f>
        <v>16</v>
      </c>
      <c r="B18" s="28" t="s">
        <v>373</v>
      </c>
      <c r="C18" s="32" t="s">
        <v>374</v>
      </c>
      <c r="D18" s="30" t="s">
        <v>184</v>
      </c>
      <c r="E18" s="30" t="s">
        <v>201</v>
      </c>
      <c r="F18" s="30" t="s">
        <v>42</v>
      </c>
      <c r="G18" s="30" t="s">
        <v>203</v>
      </c>
      <c r="H18" s="31" t="s">
        <v>375</v>
      </c>
    </row>
    <row r="19">
      <c r="A19" s="28">
        <f>ROW()-ROW(Table_Action_Conditions[N])</f>
        <v>17</v>
      </c>
      <c r="B19" s="28" t="s">
        <v>385</v>
      </c>
      <c r="C19" s="32" t="s">
        <v>386</v>
      </c>
      <c r="D19" s="30" t="s">
        <v>184</v>
      </c>
      <c r="E19" s="30" t="s">
        <v>201</v>
      </c>
      <c r="F19" s="30" t="s">
        <v>42</v>
      </c>
      <c r="G19" s="30" t="s">
        <v>203</v>
      </c>
      <c r="H19" s="31" t="s">
        <v>388</v>
      </c>
    </row>
    <row r="20">
      <c r="A20" s="28">
        <f>ROW()-ROW(Table_Action_Conditions[N])</f>
        <v>18</v>
      </c>
      <c r="B20" s="28" t="s">
        <v>397</v>
      </c>
      <c r="C20" s="32" t="s">
        <v>183</v>
      </c>
      <c r="D20" s="30" t="s">
        <v>184</v>
      </c>
      <c r="E20" s="30" t="s">
        <v>201</v>
      </c>
      <c r="F20" s="30" t="s">
        <v>117</v>
      </c>
      <c r="G20" s="30" t="s">
        <v>329</v>
      </c>
      <c r="H20" s="31" t="s">
        <v>400</v>
      </c>
    </row>
    <row r="21">
      <c r="A21" s="28">
        <f>ROW()-ROW(Table_Action_Conditions[N])</f>
        <v>19</v>
      </c>
      <c r="B21" s="28" t="s">
        <v>407</v>
      </c>
      <c r="C21" s="32" t="s">
        <v>183</v>
      </c>
      <c r="D21" s="30" t="s">
        <v>184</v>
      </c>
      <c r="E21" s="30" t="s">
        <v>201</v>
      </c>
      <c r="F21" s="30" t="s">
        <v>42</v>
      </c>
      <c r="G21" s="30" t="s">
        <v>203</v>
      </c>
      <c r="H21" s="31" t="s">
        <v>411</v>
      </c>
    </row>
    <row r="22">
      <c r="A22" s="28">
        <f>ROW()-ROW(Table_Action_Conditions[N])</f>
        <v>20</v>
      </c>
      <c r="B22" s="28" t="s">
        <v>262</v>
      </c>
      <c r="C22" s="32" t="s">
        <v>418</v>
      </c>
      <c r="D22" s="30" t="s">
        <v>184</v>
      </c>
      <c r="E22" s="30" t="s">
        <v>185</v>
      </c>
      <c r="F22" s="30" t="s">
        <v>42</v>
      </c>
      <c r="G22" s="30" t="s">
        <v>284</v>
      </c>
      <c r="H22" s="31" t="s">
        <v>423</v>
      </c>
    </row>
    <row r="23">
      <c r="A23" s="28">
        <f>ROW()-ROW(Table_Action_Conditions[N])</f>
        <v>21</v>
      </c>
      <c r="B23" s="28" t="s">
        <v>315</v>
      </c>
      <c r="C23" s="32" t="s">
        <v>429</v>
      </c>
      <c r="D23" s="30" t="s">
        <v>184</v>
      </c>
      <c r="E23" s="30" t="s">
        <v>201</v>
      </c>
      <c r="F23" s="30" t="s">
        <v>42</v>
      </c>
      <c r="G23" s="30" t="s">
        <v>263</v>
      </c>
      <c r="H23" s="31" t="s">
        <v>431</v>
      </c>
    </row>
    <row r="24">
      <c r="A24" s="28">
        <f>ROW()-ROW(Table_Action_Conditions[N])</f>
        <v>22</v>
      </c>
      <c r="B24" s="28" t="s">
        <v>362</v>
      </c>
      <c r="C24" s="32" t="s">
        <v>183</v>
      </c>
      <c r="D24" s="30" t="s">
        <v>184</v>
      </c>
      <c r="E24" s="30" t="s">
        <v>201</v>
      </c>
      <c r="F24" s="30" t="s">
        <v>42</v>
      </c>
      <c r="G24" s="30" t="s">
        <v>263</v>
      </c>
      <c r="H24" s="31" t="s">
        <v>441</v>
      </c>
    </row>
    <row r="25">
      <c r="A25" s="28">
        <f>ROW()-ROW(Table_Action_Conditions[N])</f>
        <v>23</v>
      </c>
      <c r="B25" s="28" t="s">
        <v>352</v>
      </c>
      <c r="C25" s="32" t="s">
        <v>183</v>
      </c>
      <c r="D25" s="30" t="s">
        <v>184</v>
      </c>
      <c r="E25" s="30" t="s">
        <v>201</v>
      </c>
      <c r="F25" s="30" t="s">
        <v>42</v>
      </c>
      <c r="G25" s="30" t="s">
        <v>263</v>
      </c>
      <c r="H25" s="31" t="s">
        <v>450</v>
      </c>
    </row>
    <row r="26">
      <c r="A26" s="28">
        <f>ROW()-ROW(Table_Action_Conditions[N])</f>
        <v>24</v>
      </c>
      <c r="B26" s="28" t="s">
        <v>459</v>
      </c>
      <c r="C26" s="32" t="s">
        <v>460</v>
      </c>
      <c r="D26" s="30" t="s">
        <v>461</v>
      </c>
      <c r="E26" s="30" t="s">
        <v>201</v>
      </c>
      <c r="F26" s="30" t="s">
        <v>42</v>
      </c>
      <c r="G26" s="30" t="s">
        <v>203</v>
      </c>
      <c r="H26" s="31" t="s">
        <v>462</v>
      </c>
    </row>
    <row r="27">
      <c r="A27" s="28">
        <f>ROW()-ROW(Table_Action_Conditions[N])</f>
        <v>25</v>
      </c>
      <c r="B27" s="28" t="s">
        <v>470</v>
      </c>
      <c r="C27" s="32" t="s">
        <v>460</v>
      </c>
      <c r="D27" s="30" t="s">
        <v>473</v>
      </c>
      <c r="E27" s="30" t="s">
        <v>201</v>
      </c>
      <c r="F27" s="30" t="s">
        <v>42</v>
      </c>
      <c r="G27" s="30" t="s">
        <v>203</v>
      </c>
      <c r="H27" s="31" t="s">
        <v>479</v>
      </c>
    </row>
    <row r="28">
      <c r="A28" s="28">
        <f>ROW()-ROW(Table_Action_Conditions[N])</f>
        <v>26</v>
      </c>
      <c r="B28" s="28" t="s">
        <v>484</v>
      </c>
      <c r="C28" s="32" t="s">
        <v>183</v>
      </c>
      <c r="D28" s="30" t="s">
        <v>184</v>
      </c>
      <c r="E28" s="30" t="s">
        <v>201</v>
      </c>
      <c r="F28" s="30" t="s">
        <v>42</v>
      </c>
      <c r="G28" s="30" t="s">
        <v>274</v>
      </c>
      <c r="H28" s="31" t="s">
        <v>489</v>
      </c>
    </row>
    <row r="29">
      <c r="A29" s="28">
        <f>ROW()-ROW(Table_Action_Conditions[N])</f>
        <v>27</v>
      </c>
      <c r="B29" s="28" t="s">
        <v>496</v>
      </c>
      <c r="C29" s="32" t="s">
        <v>183</v>
      </c>
      <c r="D29" s="30" t="s">
        <v>184</v>
      </c>
      <c r="E29" s="30" t="s">
        <v>201</v>
      </c>
      <c r="F29" s="30" t="s">
        <v>42</v>
      </c>
      <c r="G29" s="30" t="s">
        <v>263</v>
      </c>
      <c r="H29" s="31" t="s">
        <v>500</v>
      </c>
    </row>
    <row r="30">
      <c r="A30" s="28">
        <f>ROW()-ROW(Table_Action_Conditions[N])</f>
        <v>28</v>
      </c>
      <c r="B30" s="28" t="s">
        <v>512</v>
      </c>
      <c r="C30" s="32" t="s">
        <v>183</v>
      </c>
      <c r="D30" s="30" t="s">
        <v>184</v>
      </c>
      <c r="E30" s="30" t="s">
        <v>201</v>
      </c>
      <c r="F30" s="30" t="s">
        <v>42</v>
      </c>
      <c r="G30" s="30" t="s">
        <v>274</v>
      </c>
      <c r="H30" s="31" t="s">
        <v>519</v>
      </c>
    </row>
    <row r="31">
      <c r="A31" s="28">
        <f>ROW()-ROW(Table_Action_Conditions[N])</f>
        <v>29</v>
      </c>
      <c r="B31" s="28" t="s">
        <v>531</v>
      </c>
      <c r="C31" s="32" t="s">
        <v>532</v>
      </c>
      <c r="D31" s="30" t="s">
        <v>184</v>
      </c>
      <c r="E31" s="30" t="s">
        <v>201</v>
      </c>
      <c r="F31" s="30" t="s">
        <v>42</v>
      </c>
      <c r="G31" s="30" t="s">
        <v>274</v>
      </c>
      <c r="H31" s="31" t="s">
        <v>535</v>
      </c>
    </row>
    <row r="32">
      <c r="A32" s="28">
        <f>ROW()-ROW(Table_Action_Conditions[N])</f>
        <v>30</v>
      </c>
      <c r="B32" s="28" t="s">
        <v>545</v>
      </c>
      <c r="C32" s="32" t="s">
        <v>547</v>
      </c>
      <c r="D32" s="30" t="s">
        <v>184</v>
      </c>
      <c r="E32" s="30" t="s">
        <v>201</v>
      </c>
      <c r="F32" s="30" t="s">
        <v>42</v>
      </c>
      <c r="G32" s="30" t="s">
        <v>274</v>
      </c>
      <c r="H32" s="31" t="s">
        <v>549</v>
      </c>
    </row>
    <row r="33">
      <c r="A33" s="28">
        <f>ROW()-ROW(Table_Action_Conditions[N])</f>
        <v>31</v>
      </c>
      <c r="B33" s="28" t="s">
        <v>560</v>
      </c>
      <c r="C33" s="32" t="s">
        <v>183</v>
      </c>
      <c r="D33" s="30" t="s">
        <v>184</v>
      </c>
      <c r="E33" s="30" t="s">
        <v>201</v>
      </c>
      <c r="F33" s="30" t="s">
        <v>42</v>
      </c>
      <c r="G33" s="30" t="s">
        <v>203</v>
      </c>
      <c r="H33" s="31" t="s">
        <v>564</v>
      </c>
    </row>
    <row r="34">
      <c r="A34" s="28">
        <f>ROW()-ROW(Table_Action_Conditions[N])</f>
        <v>32</v>
      </c>
      <c r="B34" s="28" t="s">
        <v>576</v>
      </c>
      <c r="C34" s="32" t="s">
        <v>577</v>
      </c>
      <c r="D34" s="30" t="s">
        <v>184</v>
      </c>
      <c r="E34" s="30" t="s">
        <v>201</v>
      </c>
      <c r="F34" s="30" t="s">
        <v>42</v>
      </c>
      <c r="G34" s="30" t="s">
        <v>274</v>
      </c>
      <c r="H34" s="44" t="s">
        <v>579</v>
      </c>
    </row>
    <row r="35">
      <c r="A35" s="28">
        <f>ROW()-ROW(Table_Action_Conditions[N])</f>
        <v>33</v>
      </c>
      <c r="B35" s="28" t="s">
        <v>591</v>
      </c>
      <c r="C35" s="32" t="s">
        <v>593</v>
      </c>
      <c r="D35" s="30" t="s">
        <v>184</v>
      </c>
      <c r="E35" s="30" t="s">
        <v>201</v>
      </c>
      <c r="F35" s="30" t="s">
        <v>42</v>
      </c>
      <c r="G35" s="30" t="s">
        <v>274</v>
      </c>
      <c r="H35" s="44" t="s">
        <v>598</v>
      </c>
    </row>
    <row r="36">
      <c r="A36" s="28">
        <f>ROW()-ROW(Table_Action_Conditions[N])</f>
        <v>34</v>
      </c>
      <c r="B36" s="28" t="s">
        <v>611</v>
      </c>
      <c r="C36" s="32" t="s">
        <v>612</v>
      </c>
      <c r="D36" s="30" t="s">
        <v>184</v>
      </c>
      <c r="E36" s="30" t="s">
        <v>201</v>
      </c>
      <c r="F36" s="30" t="s">
        <v>42</v>
      </c>
      <c r="G36" s="30" t="s">
        <v>274</v>
      </c>
      <c r="H36" s="44" t="s">
        <v>618</v>
      </c>
    </row>
    <row r="37">
      <c r="A37" s="28">
        <f>ROW()-ROW(Table_Action_Conditions[N])</f>
        <v>35</v>
      </c>
      <c r="B37" s="28" t="s">
        <v>629</v>
      </c>
      <c r="C37" s="32" t="s">
        <v>631</v>
      </c>
      <c r="D37" s="30" t="s">
        <v>184</v>
      </c>
      <c r="E37" s="30" t="s">
        <v>201</v>
      </c>
      <c r="F37" s="30" t="s">
        <v>42</v>
      </c>
      <c r="G37" s="30" t="s">
        <v>274</v>
      </c>
      <c r="H37" s="44" t="s">
        <v>636</v>
      </c>
    </row>
    <row r="38">
      <c r="A38" s="28">
        <f>ROW()-ROW(Table_Action_Conditions[N])</f>
        <v>36</v>
      </c>
      <c r="B38" s="28" t="s">
        <v>645</v>
      </c>
      <c r="C38" s="32" t="s">
        <v>631</v>
      </c>
      <c r="D38" s="30" t="s">
        <v>473</v>
      </c>
      <c r="E38" s="30" t="s">
        <v>201</v>
      </c>
      <c r="F38" s="30" t="s">
        <v>42</v>
      </c>
      <c r="G38" s="30" t="s">
        <v>203</v>
      </c>
      <c r="H38" s="44" t="s">
        <v>646</v>
      </c>
    </row>
    <row r="39">
      <c r="A39" s="28">
        <f>ROW()-ROW(Table_Action_Conditions[N])</f>
        <v>37</v>
      </c>
      <c r="B39" s="28" t="s">
        <v>655</v>
      </c>
      <c r="C39" s="32" t="s">
        <v>631</v>
      </c>
      <c r="D39" s="30" t="s">
        <v>461</v>
      </c>
      <c r="E39" s="30" t="s">
        <v>201</v>
      </c>
      <c r="F39" s="30" t="s">
        <v>42</v>
      </c>
      <c r="G39" s="30" t="s">
        <v>203</v>
      </c>
      <c r="H39" s="44" t="s">
        <v>657</v>
      </c>
    </row>
    <row r="40">
      <c r="A40" s="28">
        <f>ROW()-ROW(Table_Action_Conditions[N])</f>
        <v>38</v>
      </c>
      <c r="B40" s="28" t="s">
        <v>672</v>
      </c>
      <c r="C40" s="32" t="s">
        <v>183</v>
      </c>
      <c r="D40" s="30" t="s">
        <v>184</v>
      </c>
      <c r="E40" s="30" t="s">
        <v>201</v>
      </c>
      <c r="F40" s="30" t="s">
        <v>42</v>
      </c>
      <c r="G40" s="30" t="s">
        <v>274</v>
      </c>
      <c r="H40" s="44" t="s">
        <v>674</v>
      </c>
    </row>
    <row r="41">
      <c r="A41" s="28">
        <f>ROW()-ROW(Table_Action_Conditions[N])</f>
        <v>39</v>
      </c>
      <c r="B41" s="28" t="s">
        <v>682</v>
      </c>
      <c r="C41" s="32" t="s">
        <v>683</v>
      </c>
      <c r="D41" s="30" t="s">
        <v>184</v>
      </c>
      <c r="E41" s="30" t="s">
        <v>201</v>
      </c>
      <c r="F41" s="30" t="s">
        <v>42</v>
      </c>
      <c r="G41" s="30" t="s">
        <v>203</v>
      </c>
      <c r="H41" s="44" t="s">
        <v>684</v>
      </c>
    </row>
    <row r="42">
      <c r="A42" s="28">
        <f>ROW()-ROW(Table_Action_Conditions[N])</f>
        <v>40</v>
      </c>
      <c r="B42" s="28" t="s">
        <v>695</v>
      </c>
      <c r="C42" s="32" t="s">
        <v>696</v>
      </c>
      <c r="D42" s="30" t="s">
        <v>461</v>
      </c>
      <c r="E42" s="30" t="s">
        <v>201</v>
      </c>
      <c r="F42" s="30" t="s">
        <v>42</v>
      </c>
      <c r="G42" s="30" t="s">
        <v>203</v>
      </c>
      <c r="H42" s="44" t="s">
        <v>700</v>
      </c>
    </row>
    <row r="43">
      <c r="A43" s="28">
        <f>ROW()-ROW(Table_Action_Conditions[N])</f>
        <v>41</v>
      </c>
      <c r="B43" s="28" t="s">
        <v>712</v>
      </c>
      <c r="C43" s="32" t="s">
        <v>696</v>
      </c>
      <c r="D43" s="30" t="s">
        <v>473</v>
      </c>
      <c r="E43" s="30" t="s">
        <v>201</v>
      </c>
      <c r="F43" s="30" t="s">
        <v>42</v>
      </c>
      <c r="G43" s="30" t="s">
        <v>203</v>
      </c>
      <c r="H43" s="44" t="s">
        <v>715</v>
      </c>
    </row>
    <row r="44">
      <c r="A44" s="28">
        <f>ROW()-ROW(Table_Action_Conditions[N])</f>
        <v>42</v>
      </c>
      <c r="B44" s="28" t="s">
        <v>724</v>
      </c>
      <c r="C44" s="32" t="s">
        <v>183</v>
      </c>
      <c r="D44" s="30" t="s">
        <v>184</v>
      </c>
      <c r="E44" s="30" t="s">
        <v>201</v>
      </c>
      <c r="F44" s="30" t="s">
        <v>42</v>
      </c>
      <c r="G44" s="30" t="s">
        <v>274</v>
      </c>
      <c r="H44" s="44" t="s">
        <v>726</v>
      </c>
    </row>
    <row r="45">
      <c r="A45" s="28">
        <f>ROW()-ROW(Table_Action_Conditions[N])</f>
        <v>43</v>
      </c>
      <c r="B45" s="28" t="s">
        <v>734</v>
      </c>
      <c r="C45" s="32" t="s">
        <v>735</v>
      </c>
      <c r="D45" s="30" t="s">
        <v>473</v>
      </c>
      <c r="E45" s="30" t="s">
        <v>201</v>
      </c>
      <c r="F45" s="30" t="s">
        <v>435</v>
      </c>
      <c r="G45" s="30" t="s">
        <v>329</v>
      </c>
      <c r="H45" s="44" t="s">
        <v>738</v>
      </c>
    </row>
    <row r="46">
      <c r="A46" s="28">
        <f>ROW()-ROW(Table_Action_Conditions[N])</f>
        <v>44</v>
      </c>
      <c r="B46" s="28" t="s">
        <v>747</v>
      </c>
      <c r="C46" s="32" t="s">
        <v>748</v>
      </c>
      <c r="D46" s="30" t="s">
        <v>473</v>
      </c>
      <c r="E46" s="30" t="s">
        <v>201</v>
      </c>
      <c r="F46" s="30" t="s">
        <v>42</v>
      </c>
      <c r="G46" s="30" t="s">
        <v>203</v>
      </c>
      <c r="H46" s="44" t="s">
        <v>750</v>
      </c>
    </row>
    <row r="47">
      <c r="A47" s="28">
        <f>ROW()-ROW(Table_Action_Conditions[N])</f>
        <v>45</v>
      </c>
      <c r="B47" s="28" t="s">
        <v>758</v>
      </c>
      <c r="C47" s="32" t="s">
        <v>760</v>
      </c>
      <c r="D47" s="30" t="s">
        <v>184</v>
      </c>
      <c r="E47" s="30" t="s">
        <v>201</v>
      </c>
      <c r="F47" s="30" t="s">
        <v>42</v>
      </c>
      <c r="G47" s="30" t="s">
        <v>203</v>
      </c>
      <c r="H47" s="44" t="s">
        <v>762</v>
      </c>
    </row>
    <row r="48">
      <c r="A48" s="28">
        <f>ROW()-ROW(Table_Action_Conditions[N])</f>
        <v>46</v>
      </c>
      <c r="B48" s="28" t="s">
        <v>767</v>
      </c>
      <c r="C48" s="32" t="s">
        <v>183</v>
      </c>
      <c r="D48" s="30" t="s">
        <v>184</v>
      </c>
      <c r="E48" s="30" t="s">
        <v>201</v>
      </c>
      <c r="F48" s="30" t="s">
        <v>42</v>
      </c>
      <c r="G48" s="30" t="s">
        <v>274</v>
      </c>
      <c r="H48" s="44" t="s">
        <v>768</v>
      </c>
    </row>
    <row r="49">
      <c r="A49" s="28">
        <f>ROW()-ROW(Table_Action_Conditions[N])</f>
        <v>47</v>
      </c>
      <c r="B49" s="28" t="s">
        <v>771</v>
      </c>
      <c r="C49" s="32" t="s">
        <v>183</v>
      </c>
      <c r="D49" s="30" t="s">
        <v>184</v>
      </c>
      <c r="E49" s="30" t="s">
        <v>201</v>
      </c>
      <c r="F49" s="30" t="s">
        <v>42</v>
      </c>
      <c r="G49" s="30" t="s">
        <v>263</v>
      </c>
      <c r="H49" s="44" t="s">
        <v>773</v>
      </c>
    </row>
    <row r="50">
      <c r="A50" s="28">
        <f>ROW()-ROW(Table_Action_Conditions[N])</f>
        <v>48</v>
      </c>
      <c r="B50" s="28" t="s">
        <v>780</v>
      </c>
      <c r="C50" s="32" t="s">
        <v>781</v>
      </c>
      <c r="D50" s="30" t="s">
        <v>184</v>
      </c>
      <c r="E50" s="30" t="s">
        <v>201</v>
      </c>
      <c r="F50" s="30" t="s">
        <v>42</v>
      </c>
      <c r="G50" s="30" t="s">
        <v>274</v>
      </c>
      <c r="H50" s="44" t="s">
        <v>783</v>
      </c>
    </row>
    <row r="51">
      <c r="A51" s="28">
        <f>ROW()-ROW(Table_Action_Conditions[N])</f>
        <v>49</v>
      </c>
      <c r="B51" s="28" t="s">
        <v>788</v>
      </c>
      <c r="C51" s="32" t="s">
        <v>790</v>
      </c>
      <c r="D51" s="30" t="s">
        <v>184</v>
      </c>
      <c r="E51" s="30" t="s">
        <v>201</v>
      </c>
      <c r="F51" s="30" t="s">
        <v>42</v>
      </c>
      <c r="G51" s="30" t="s">
        <v>274</v>
      </c>
      <c r="H51" s="44" t="s">
        <v>792</v>
      </c>
    </row>
    <row r="52">
      <c r="A52" s="28">
        <f>ROW()-ROW(Table_Action_Conditions[N])</f>
        <v>50</v>
      </c>
      <c r="B52" s="28" t="s">
        <v>802</v>
      </c>
      <c r="C52" s="32" t="s">
        <v>183</v>
      </c>
      <c r="D52" s="30" t="s">
        <v>184</v>
      </c>
      <c r="E52" s="30" t="s">
        <v>201</v>
      </c>
      <c r="F52" s="30" t="s">
        <v>42</v>
      </c>
      <c r="G52" s="30" t="s">
        <v>274</v>
      </c>
      <c r="H52" s="44" t="s">
        <v>805</v>
      </c>
    </row>
    <row r="53">
      <c r="A53" s="28">
        <f>ROW()-ROW(Table_Action_Conditions[N])</f>
        <v>51</v>
      </c>
      <c r="B53" s="28" t="s">
        <v>813</v>
      </c>
      <c r="C53" s="32" t="s">
        <v>183</v>
      </c>
      <c r="D53" s="30" t="s">
        <v>184</v>
      </c>
      <c r="E53" s="30" t="s">
        <v>201</v>
      </c>
      <c r="F53" s="30" t="s">
        <v>42</v>
      </c>
      <c r="G53" s="30" t="s">
        <v>274</v>
      </c>
      <c r="H53" s="44" t="s">
        <v>818</v>
      </c>
    </row>
    <row r="54">
      <c r="A54" s="28">
        <f>ROW()-ROW(Table_Action_Conditions[N])</f>
        <v>52</v>
      </c>
      <c r="B54" s="28" t="s">
        <v>829</v>
      </c>
      <c r="C54" s="32" t="s">
        <v>831</v>
      </c>
      <c r="D54" s="30" t="s">
        <v>184</v>
      </c>
      <c r="E54" s="30" t="s">
        <v>201</v>
      </c>
      <c r="F54" s="30" t="s">
        <v>42</v>
      </c>
      <c r="G54" s="30" t="s">
        <v>203</v>
      </c>
      <c r="H54" s="44" t="s">
        <v>836</v>
      </c>
    </row>
    <row r="55">
      <c r="A55" s="28">
        <f>ROW()-ROW(Table_Action_Conditions[N])</f>
        <v>53</v>
      </c>
      <c r="B55" s="28" t="s">
        <v>847</v>
      </c>
      <c r="C55" s="32" t="s">
        <v>849</v>
      </c>
      <c r="D55" s="30" t="s">
        <v>184</v>
      </c>
      <c r="E55" s="30" t="s">
        <v>201</v>
      </c>
      <c r="F55" s="30" t="s">
        <v>42</v>
      </c>
      <c r="G55" s="30" t="s">
        <v>203</v>
      </c>
      <c r="H55" s="44" t="s">
        <v>851</v>
      </c>
    </row>
    <row r="56">
      <c r="A56" s="28">
        <f>ROW()-ROW(Table_Action_Conditions[N])</f>
        <v>54</v>
      </c>
      <c r="B56" s="28" t="s">
        <v>858</v>
      </c>
      <c r="C56" s="32" t="s">
        <v>849</v>
      </c>
      <c r="D56" s="30" t="s">
        <v>184</v>
      </c>
      <c r="E56" s="30" t="s">
        <v>201</v>
      </c>
      <c r="F56" s="30" t="s">
        <v>468</v>
      </c>
      <c r="G56" s="30" t="s">
        <v>329</v>
      </c>
      <c r="H56" s="44" t="s">
        <v>861</v>
      </c>
    </row>
    <row r="57">
      <c r="A57" s="28">
        <f>ROW()-ROW(Table_Action_Conditions[N])</f>
        <v>55</v>
      </c>
      <c r="B57" s="28" t="s">
        <v>865</v>
      </c>
      <c r="C57" s="32" t="s">
        <v>866</v>
      </c>
      <c r="D57" s="30" t="s">
        <v>184</v>
      </c>
      <c r="E57" s="30" t="s">
        <v>201</v>
      </c>
      <c r="F57" s="30" t="s">
        <v>318</v>
      </c>
      <c r="G57" s="30" t="s">
        <v>329</v>
      </c>
      <c r="H57" s="44" t="s">
        <v>869</v>
      </c>
    </row>
    <row r="58">
      <c r="A58" s="28">
        <f>ROW()-ROW(Table_Action_Conditions[N])</f>
        <v>56</v>
      </c>
      <c r="B58" s="28" t="s">
        <v>874</v>
      </c>
      <c r="C58" s="32" t="s">
        <v>781</v>
      </c>
      <c r="D58" s="30" t="s">
        <v>184</v>
      </c>
      <c r="E58" s="30" t="s">
        <v>201</v>
      </c>
      <c r="F58" s="30" t="s">
        <v>468</v>
      </c>
      <c r="G58" s="30" t="s">
        <v>329</v>
      </c>
      <c r="H58" s="44" t="s">
        <v>876</v>
      </c>
    </row>
    <row r="59">
      <c r="A59" s="28">
        <f>ROW()-ROW(Table_Action_Conditions[N])</f>
        <v>57</v>
      </c>
      <c r="B59" s="28" t="s">
        <v>884</v>
      </c>
      <c r="C59" s="32" t="s">
        <v>790</v>
      </c>
      <c r="D59" s="30" t="s">
        <v>184</v>
      </c>
      <c r="E59" s="30" t="s">
        <v>201</v>
      </c>
      <c r="F59" s="30" t="s">
        <v>468</v>
      </c>
      <c r="G59" s="30" t="s">
        <v>329</v>
      </c>
      <c r="H59" s="44" t="s">
        <v>888</v>
      </c>
    </row>
    <row r="60">
      <c r="A60" s="28">
        <f>ROW()-ROW(Table_Action_Conditions[N])</f>
        <v>58</v>
      </c>
      <c r="B60" s="28" t="s">
        <v>529</v>
      </c>
      <c r="C60" s="32" t="s">
        <v>898</v>
      </c>
      <c r="D60" s="30" t="s">
        <v>184</v>
      </c>
      <c r="E60" s="30" t="s">
        <v>201</v>
      </c>
      <c r="F60" s="30" t="s">
        <v>42</v>
      </c>
      <c r="G60" s="30" t="s">
        <v>263</v>
      </c>
      <c r="H60" s="31" t="s">
        <v>901</v>
      </c>
    </row>
    <row r="61">
      <c r="A61" s="28">
        <f>ROW()-ROW(Table_Action_Conditions[N])</f>
        <v>59</v>
      </c>
      <c r="B61" s="28" t="s">
        <v>543</v>
      </c>
      <c r="C61" s="32" t="s">
        <v>898</v>
      </c>
      <c r="D61" s="30" t="s">
        <v>184</v>
      </c>
      <c r="E61" s="30" t="s">
        <v>201</v>
      </c>
      <c r="F61" s="30" t="s">
        <v>42</v>
      </c>
      <c r="G61" s="30" t="s">
        <v>284</v>
      </c>
      <c r="H61" s="31" t="s">
        <v>917</v>
      </c>
    </row>
    <row r="62">
      <c r="A62" s="28">
        <f>ROW()-ROW(Table_Action_Conditions[N])</f>
        <v>60</v>
      </c>
      <c r="B62" s="28" t="s">
        <v>930</v>
      </c>
      <c r="C62" s="32" t="s">
        <v>931</v>
      </c>
      <c r="D62" s="30" t="s">
        <v>184</v>
      </c>
      <c r="E62" s="30" t="s">
        <v>201</v>
      </c>
      <c r="F62" s="30" t="s">
        <v>42</v>
      </c>
      <c r="G62" s="30" t="s">
        <v>263</v>
      </c>
      <c r="H62" s="31" t="s">
        <v>934</v>
      </c>
    </row>
    <row r="63">
      <c r="A63" s="28">
        <f>ROW()-ROW(Table_Action_Conditions[N])</f>
        <v>61</v>
      </c>
      <c r="B63" s="28" t="s">
        <v>945</v>
      </c>
      <c r="C63" s="32" t="s">
        <v>931</v>
      </c>
      <c r="D63" s="30" t="s">
        <v>184</v>
      </c>
      <c r="E63" s="30" t="s">
        <v>201</v>
      </c>
      <c r="F63" s="30" t="s">
        <v>468</v>
      </c>
      <c r="G63" s="30" t="s">
        <v>329</v>
      </c>
      <c r="H63" s="31" t="s">
        <v>950</v>
      </c>
    </row>
    <row r="64">
      <c r="A64" s="28">
        <f>ROW()-ROW(Table_Action_Conditions[N])</f>
        <v>62</v>
      </c>
      <c r="B64" s="28" t="s">
        <v>961</v>
      </c>
      <c r="C64" s="32" t="s">
        <v>183</v>
      </c>
      <c r="D64" s="30" t="s">
        <v>184</v>
      </c>
      <c r="E64" s="30" t="s">
        <v>201</v>
      </c>
      <c r="F64" s="30" t="s">
        <v>42</v>
      </c>
      <c r="G64" s="30" t="s">
        <v>263</v>
      </c>
      <c r="H64" s="31" t="s">
        <v>962</v>
      </c>
    </row>
    <row r="65">
      <c r="A65" s="28">
        <f>ROW()-ROW(Table_Action_Conditions[N])</f>
        <v>63</v>
      </c>
      <c r="B65" s="28" t="s">
        <v>974</v>
      </c>
      <c r="C65" s="32" t="s">
        <v>183</v>
      </c>
      <c r="D65" s="30" t="s">
        <v>184</v>
      </c>
      <c r="E65" s="30" t="s">
        <v>201</v>
      </c>
      <c r="F65" s="30" t="s">
        <v>42</v>
      </c>
      <c r="G65" s="30" t="s">
        <v>203</v>
      </c>
      <c r="H65" s="31" t="s">
        <v>979</v>
      </c>
    </row>
    <row r="66">
      <c r="A66" s="28">
        <f>ROW()-ROW(Table_Action_Conditions[N])</f>
        <v>64</v>
      </c>
      <c r="B66" s="28" t="s">
        <v>989</v>
      </c>
      <c r="C66" s="32" t="s">
        <v>183</v>
      </c>
      <c r="D66" s="30" t="s">
        <v>184</v>
      </c>
      <c r="E66" s="30" t="s">
        <v>185</v>
      </c>
      <c r="F66" s="30" t="s">
        <v>42</v>
      </c>
      <c r="G66" s="30" t="s">
        <v>274</v>
      </c>
      <c r="H66" s="31" t="s">
        <v>994</v>
      </c>
    </row>
    <row r="67">
      <c r="A67" s="28">
        <f>ROW()-ROW(Table_Action_Conditions[N])</f>
        <v>65</v>
      </c>
      <c r="B67" s="28" t="s">
        <v>1002</v>
      </c>
      <c r="C67" s="32" t="s">
        <v>183</v>
      </c>
      <c r="D67" s="30" t="s">
        <v>184</v>
      </c>
      <c r="E67" s="30" t="s">
        <v>201</v>
      </c>
      <c r="F67" s="30" t="s">
        <v>42</v>
      </c>
      <c r="G67" s="30" t="s">
        <v>263</v>
      </c>
      <c r="H67" s="31" t="s">
        <v>1003</v>
      </c>
    </row>
    <row r="68">
      <c r="A68" s="28">
        <f>ROW()-ROW(Table_Action_Conditions[N])</f>
        <v>66</v>
      </c>
      <c r="B68" s="28" t="s">
        <v>1011</v>
      </c>
      <c r="C68" s="32" t="s">
        <v>183</v>
      </c>
      <c r="D68" s="30" t="s">
        <v>184</v>
      </c>
      <c r="E68" s="30" t="s">
        <v>201</v>
      </c>
      <c r="F68" s="30" t="s">
        <v>42</v>
      </c>
      <c r="G68" s="30" t="s">
        <v>263</v>
      </c>
      <c r="H68" s="31" t="s">
        <v>1015</v>
      </c>
    </row>
    <row r="69">
      <c r="A69" s="28">
        <f>ROW()-ROW(Table_Action_Conditions[N])</f>
        <v>67</v>
      </c>
      <c r="B69" s="28" t="s">
        <v>1022</v>
      </c>
      <c r="C69" s="32" t="s">
        <v>1024</v>
      </c>
      <c r="D69" s="30" t="s">
        <v>184</v>
      </c>
      <c r="E69" s="30" t="s">
        <v>201</v>
      </c>
      <c r="F69" s="30" t="s">
        <v>42</v>
      </c>
      <c r="G69" s="30" t="s">
        <v>263</v>
      </c>
      <c r="H69" s="31" t="s">
        <v>1028</v>
      </c>
    </row>
    <row r="70">
      <c r="A70" s="28">
        <f>ROW()-ROW(Table_Action_Conditions[N])</f>
        <v>68</v>
      </c>
      <c r="B70" s="28" t="s">
        <v>1038</v>
      </c>
      <c r="C70" s="32" t="s">
        <v>183</v>
      </c>
      <c r="D70" s="30" t="s">
        <v>184</v>
      </c>
      <c r="E70" s="30" t="s">
        <v>201</v>
      </c>
      <c r="F70" s="30" t="s">
        <v>42</v>
      </c>
      <c r="G70" s="30" t="s">
        <v>274</v>
      </c>
      <c r="H70" s="31" t="s">
        <v>1040</v>
      </c>
    </row>
    <row r="71">
      <c r="A71" s="28">
        <f>ROW()-ROW(Table_Action_Conditions[N])</f>
        <v>69</v>
      </c>
      <c r="B71" s="28" t="s">
        <v>1053</v>
      </c>
      <c r="C71" s="32" t="s">
        <v>1054</v>
      </c>
      <c r="D71" s="30" t="s">
        <v>184</v>
      </c>
      <c r="E71" s="30" t="s">
        <v>201</v>
      </c>
      <c r="F71" s="30" t="s">
        <v>42</v>
      </c>
      <c r="G71" s="30" t="s">
        <v>203</v>
      </c>
      <c r="H71" s="31" t="s">
        <v>1062</v>
      </c>
    </row>
    <row r="72">
      <c r="A72" s="28">
        <f>ROW()-ROW(Table_Action_Conditions[N])</f>
        <v>70</v>
      </c>
      <c r="B72" s="28" t="s">
        <v>1078</v>
      </c>
      <c r="C72" s="32" t="s">
        <v>931</v>
      </c>
      <c r="D72" s="30" t="s">
        <v>184</v>
      </c>
      <c r="E72" s="30" t="s">
        <v>201</v>
      </c>
      <c r="F72" s="30" t="s">
        <v>679</v>
      </c>
      <c r="G72" s="30" t="s">
        <v>329</v>
      </c>
      <c r="H72" s="31" t="s">
        <v>1080</v>
      </c>
    </row>
    <row r="73">
      <c r="A73" s="28">
        <f>ROW()-ROW(Table_Action_Conditions[N])</f>
        <v>71</v>
      </c>
      <c r="B73" s="28" t="s">
        <v>1098</v>
      </c>
      <c r="C73" s="32" t="s">
        <v>1100</v>
      </c>
      <c r="D73" s="30" t="s">
        <v>184</v>
      </c>
      <c r="E73" s="30" t="s">
        <v>201</v>
      </c>
      <c r="F73" s="30" t="s">
        <v>42</v>
      </c>
      <c r="G73" s="30" t="s">
        <v>263</v>
      </c>
      <c r="H73" s="31" t="s">
        <v>1105</v>
      </c>
    </row>
    <row r="74">
      <c r="A74" s="28">
        <f>ROW()-ROW(Table_Action_Conditions[N])</f>
        <v>72</v>
      </c>
      <c r="B74" s="28" t="s">
        <v>1113</v>
      </c>
      <c r="C74" s="32" t="s">
        <v>183</v>
      </c>
      <c r="D74" s="30" t="s">
        <v>184</v>
      </c>
      <c r="E74" s="30" t="s">
        <v>201</v>
      </c>
      <c r="F74" s="30" t="s">
        <v>42</v>
      </c>
      <c r="G74" s="30" t="s">
        <v>274</v>
      </c>
      <c r="H74" s="31" t="s">
        <v>1117</v>
      </c>
    </row>
    <row r="75">
      <c r="A75" s="28">
        <f>ROW()-ROW(Table_Action_Conditions[N])</f>
        <v>73</v>
      </c>
      <c r="B75" s="28" t="s">
        <v>1126</v>
      </c>
      <c r="C75" s="32" t="s">
        <v>1127</v>
      </c>
      <c r="D75" s="30" t="s">
        <v>184</v>
      </c>
      <c r="E75" s="30" t="s">
        <v>201</v>
      </c>
      <c r="F75" s="30" t="s">
        <v>42</v>
      </c>
      <c r="G75" s="30" t="s">
        <v>203</v>
      </c>
      <c r="H75" s="31" t="s">
        <v>1131</v>
      </c>
    </row>
    <row r="76">
      <c r="A76" s="28">
        <f>ROW()-ROW(Table_Action_Conditions[N])</f>
        <v>74</v>
      </c>
      <c r="B76" s="28" t="s">
        <v>1141</v>
      </c>
      <c r="C76" s="32" t="s">
        <v>183</v>
      </c>
      <c r="D76" s="30" t="s">
        <v>184</v>
      </c>
      <c r="E76" s="30" t="s">
        <v>201</v>
      </c>
      <c r="F76" s="30" t="s">
        <v>42</v>
      </c>
      <c r="G76" s="30" t="s">
        <v>203</v>
      </c>
      <c r="H76" s="31" t="s">
        <v>1148</v>
      </c>
    </row>
    <row r="77">
      <c r="A77" s="28">
        <f>ROW()-ROW(Table_Action_Conditions[N])</f>
        <v>75</v>
      </c>
      <c r="B77" s="28" t="s">
        <v>1164</v>
      </c>
      <c r="C77" s="32" t="s">
        <v>183</v>
      </c>
      <c r="D77" s="30" t="s">
        <v>184</v>
      </c>
      <c r="E77" s="30" t="s">
        <v>201</v>
      </c>
      <c r="F77" s="30" t="s">
        <v>42</v>
      </c>
      <c r="G77" s="30" t="s">
        <v>274</v>
      </c>
      <c r="H77" s="31" t="s">
        <v>1169</v>
      </c>
    </row>
    <row r="78">
      <c r="A78" s="28">
        <f>ROW()-ROW(Table_Action_Conditions[N])</f>
        <v>76</v>
      </c>
      <c r="B78" s="28" t="s">
        <v>1182</v>
      </c>
      <c r="C78" s="32" t="s">
        <v>1184</v>
      </c>
      <c r="D78" s="30" t="s">
        <v>184</v>
      </c>
      <c r="E78" s="30" t="s">
        <v>201</v>
      </c>
      <c r="F78" s="30" t="s">
        <v>42</v>
      </c>
      <c r="G78" s="30" t="s">
        <v>203</v>
      </c>
      <c r="H78" s="31" t="s">
        <v>1190</v>
      </c>
    </row>
    <row r="79">
      <c r="A79" s="28">
        <f>ROW()-ROW(Table_Action_Conditions[N])</f>
        <v>77</v>
      </c>
      <c r="B79" s="57" t="s">
        <v>1205</v>
      </c>
      <c r="C79" s="31" t="s">
        <v>1207</v>
      </c>
      <c r="D79" s="58" t="s">
        <v>184</v>
      </c>
      <c r="E79" s="58" t="s">
        <v>201</v>
      </c>
      <c r="F79" s="58" t="s">
        <v>42</v>
      </c>
      <c r="G79" s="58" t="s">
        <v>203</v>
      </c>
      <c r="H79" s="31" t="s">
        <v>1215</v>
      </c>
    </row>
    <row r="80">
      <c r="A80" s="28">
        <f>ROW()-ROW(Table_Action_Conditions[N])</f>
        <v>78</v>
      </c>
      <c r="B80" s="28" t="s">
        <v>1230</v>
      </c>
      <c r="C80" s="31" t="s">
        <v>1232</v>
      </c>
      <c r="D80" s="58" t="s">
        <v>184</v>
      </c>
      <c r="E80" s="58" t="s">
        <v>201</v>
      </c>
      <c r="F80" s="58" t="s">
        <v>42</v>
      </c>
      <c r="G80" s="58" t="s">
        <v>203</v>
      </c>
      <c r="H80" s="31" t="s">
        <v>1236</v>
      </c>
    </row>
    <row r="81">
      <c r="A81" s="28">
        <f>ROW()-ROW(Table_Action_Conditions[N])</f>
        <v>79</v>
      </c>
      <c r="B81" s="28" t="s">
        <v>1247</v>
      </c>
      <c r="C81" s="32" t="s">
        <v>1248</v>
      </c>
      <c r="D81" s="30" t="s">
        <v>184</v>
      </c>
      <c r="E81" s="30" t="s">
        <v>201</v>
      </c>
      <c r="F81" s="30" t="s">
        <v>42</v>
      </c>
      <c r="G81" s="30" t="s">
        <v>263</v>
      </c>
      <c r="H81" s="31" t="s">
        <v>1254</v>
      </c>
    </row>
    <row r="82">
      <c r="A82" s="28">
        <f>ROW()-ROW(Table_Action_Conditions[N])</f>
        <v>80</v>
      </c>
      <c r="B82" s="28" t="s">
        <v>1267</v>
      </c>
      <c r="C82" s="32" t="s">
        <v>1248</v>
      </c>
      <c r="D82" s="30" t="s">
        <v>184</v>
      </c>
      <c r="E82" s="30" t="s">
        <v>201</v>
      </c>
      <c r="F82" s="30" t="s">
        <v>42</v>
      </c>
      <c r="G82" s="30" t="s">
        <v>263</v>
      </c>
      <c r="H82" s="31" t="s">
        <v>1271</v>
      </c>
    </row>
    <row r="83">
      <c r="A83" s="28">
        <f>ROW()-ROW(Table_Action_Conditions[N])</f>
        <v>81</v>
      </c>
      <c r="B83" s="28" t="s">
        <v>733</v>
      </c>
      <c r="C83" s="32" t="s">
        <v>183</v>
      </c>
      <c r="D83" s="30" t="s">
        <v>184</v>
      </c>
      <c r="E83" s="30" t="s">
        <v>201</v>
      </c>
      <c r="F83" s="30" t="s">
        <v>42</v>
      </c>
      <c r="G83" s="30" t="s">
        <v>274</v>
      </c>
      <c r="H83" s="31" t="s">
        <v>1293</v>
      </c>
    </row>
    <row r="84">
      <c r="A84" s="28">
        <f>ROW()-ROW(Table_Action_Conditions[N])</f>
        <v>82</v>
      </c>
      <c r="B84" s="28" t="s">
        <v>1305</v>
      </c>
      <c r="C84" s="32" t="s">
        <v>1306</v>
      </c>
      <c r="D84" s="30" t="s">
        <v>184</v>
      </c>
      <c r="E84" s="30" t="s">
        <v>201</v>
      </c>
      <c r="F84" s="30" t="s">
        <v>42</v>
      </c>
      <c r="G84" s="30" t="s">
        <v>263</v>
      </c>
      <c r="H84" s="31" t="s">
        <v>1310</v>
      </c>
    </row>
    <row r="85">
      <c r="A85" s="28">
        <f>ROW()-ROW(Table_Action_Conditions[N])</f>
        <v>83</v>
      </c>
      <c r="B85" s="28" t="s">
        <v>1320</v>
      </c>
      <c r="C85" s="32" t="s">
        <v>1306</v>
      </c>
      <c r="D85" s="30" t="s">
        <v>184</v>
      </c>
      <c r="E85" s="30" t="s">
        <v>201</v>
      </c>
      <c r="F85" s="30" t="s">
        <v>727</v>
      </c>
      <c r="G85" s="30" t="s">
        <v>329</v>
      </c>
      <c r="H85" s="31" t="s">
        <v>1324</v>
      </c>
    </row>
    <row r="86">
      <c r="A86" s="28">
        <f>ROW()-ROW(Table_Action_Conditions[N])</f>
        <v>84</v>
      </c>
      <c r="B86" s="28" t="s">
        <v>1338</v>
      </c>
      <c r="C86" s="32" t="s">
        <v>183</v>
      </c>
      <c r="D86" s="30" t="s">
        <v>184</v>
      </c>
      <c r="E86" s="30" t="s">
        <v>201</v>
      </c>
      <c r="F86" s="30" t="s">
        <v>42</v>
      </c>
      <c r="G86" s="30" t="s">
        <v>274</v>
      </c>
      <c r="H86" s="31" t="s">
        <v>1341</v>
      </c>
    </row>
    <row r="87">
      <c r="A87" s="28">
        <f>ROW()-ROW(Table_Action_Conditions[N])</f>
        <v>85</v>
      </c>
      <c r="B87" s="28" t="s">
        <v>759</v>
      </c>
      <c r="C87" s="32" t="s">
        <v>183</v>
      </c>
      <c r="D87" s="30" t="s">
        <v>184</v>
      </c>
      <c r="E87" s="30" t="s">
        <v>201</v>
      </c>
      <c r="F87" s="30" t="s">
        <v>42</v>
      </c>
      <c r="G87" s="30" t="s">
        <v>274</v>
      </c>
      <c r="H87" s="31" t="s">
        <v>1359</v>
      </c>
    </row>
    <row r="88">
      <c r="A88" s="28">
        <f>ROW()-ROW(Table_Action_Conditions[N])</f>
        <v>86</v>
      </c>
      <c r="B88" s="28" t="s">
        <v>1374</v>
      </c>
      <c r="C88" s="32" t="s">
        <v>183</v>
      </c>
      <c r="D88" s="30" t="s">
        <v>184</v>
      </c>
      <c r="E88" s="30" t="s">
        <v>201</v>
      </c>
      <c r="F88" s="30" t="s">
        <v>751</v>
      </c>
      <c r="G88" s="30" t="s">
        <v>329</v>
      </c>
      <c r="H88" s="31" t="s">
        <v>1379</v>
      </c>
    </row>
    <row r="89">
      <c r="A89" s="28">
        <f>ROW()-ROW(Table_Action_Conditions[N])</f>
        <v>87</v>
      </c>
      <c r="B89" s="28" t="s">
        <v>1392</v>
      </c>
      <c r="C89" s="32" t="s">
        <v>183</v>
      </c>
      <c r="D89" s="30" t="s">
        <v>184</v>
      </c>
      <c r="E89" s="30" t="s">
        <v>201</v>
      </c>
      <c r="F89" s="30" t="s">
        <v>42</v>
      </c>
      <c r="G89" s="30" t="s">
        <v>263</v>
      </c>
      <c r="H89" s="31" t="s">
        <v>1397</v>
      </c>
    </row>
    <row r="90">
      <c r="A90" s="28">
        <f>ROW()-ROW(Table_Action_Conditions[N])</f>
        <v>88</v>
      </c>
      <c r="B90" s="28" t="s">
        <v>1410</v>
      </c>
      <c r="C90" s="32" t="s">
        <v>1411</v>
      </c>
      <c r="D90" s="30" t="s">
        <v>184</v>
      </c>
      <c r="E90" s="30" t="s">
        <v>201</v>
      </c>
      <c r="F90" s="30" t="s">
        <v>42</v>
      </c>
      <c r="G90" s="30" t="s">
        <v>203</v>
      </c>
      <c r="H90" s="31" t="s">
        <v>1414</v>
      </c>
    </row>
    <row r="91">
      <c r="A91" s="28">
        <f>ROW()-ROW(Table_Action_Conditions[N])</f>
        <v>89</v>
      </c>
      <c r="B91" s="28" t="s">
        <v>1424</v>
      </c>
      <c r="C91" s="32" t="s">
        <v>183</v>
      </c>
      <c r="D91" s="30" t="s">
        <v>184</v>
      </c>
      <c r="E91" s="30" t="s">
        <v>49</v>
      </c>
      <c r="F91" s="30" t="s">
        <v>42</v>
      </c>
      <c r="G91" s="30" t="s">
        <v>274</v>
      </c>
      <c r="H91" s="31" t="s">
        <v>1428</v>
      </c>
    </row>
    <row r="92">
      <c r="A92" s="28">
        <f>ROW()-ROW(Table_Action_Conditions[N])</f>
        <v>90</v>
      </c>
      <c r="B92" s="28" t="s">
        <v>1441</v>
      </c>
      <c r="C92" s="32" t="s">
        <v>1443</v>
      </c>
      <c r="D92" s="30" t="s">
        <v>184</v>
      </c>
      <c r="E92" s="30" t="s">
        <v>49</v>
      </c>
      <c r="F92" s="30" t="s">
        <v>42</v>
      </c>
      <c r="G92" s="30" t="s">
        <v>203</v>
      </c>
      <c r="H92" s="31" t="s">
        <v>1449</v>
      </c>
    </row>
    <row r="93">
      <c r="A93" s="28">
        <f>ROW()-ROW(Table_Action_Conditions[N])</f>
        <v>91</v>
      </c>
      <c r="B93" s="28" t="s">
        <v>1459</v>
      </c>
      <c r="C93" s="32" t="s">
        <v>1461</v>
      </c>
      <c r="D93" s="30" t="s">
        <v>184</v>
      </c>
      <c r="E93" s="30" t="s">
        <v>49</v>
      </c>
      <c r="F93" s="30" t="s">
        <v>42</v>
      </c>
      <c r="G93" s="30" t="s">
        <v>203</v>
      </c>
      <c r="H93" s="31" t="s">
        <v>1465</v>
      </c>
    </row>
    <row r="94">
      <c r="A94" s="28">
        <f>ROW()-ROW(Table_Action_Conditions[N])</f>
        <v>92</v>
      </c>
      <c r="B94" s="28" t="s">
        <v>824</v>
      </c>
      <c r="C94" s="32" t="s">
        <v>183</v>
      </c>
      <c r="D94" s="30" t="s">
        <v>184</v>
      </c>
      <c r="E94" s="30" t="s">
        <v>49</v>
      </c>
      <c r="F94" s="30" t="s">
        <v>42</v>
      </c>
      <c r="G94" s="30" t="s">
        <v>186</v>
      </c>
      <c r="H94" s="31" t="s">
        <v>1483</v>
      </c>
    </row>
    <row r="95">
      <c r="A95" s="28">
        <f>ROW()-ROW(Table_Action_Conditions[N])</f>
        <v>93</v>
      </c>
      <c r="B95" s="28" t="s">
        <v>840</v>
      </c>
      <c r="C95" s="32" t="s">
        <v>183</v>
      </c>
      <c r="D95" s="30" t="s">
        <v>184</v>
      </c>
      <c r="E95" s="30" t="s">
        <v>49</v>
      </c>
      <c r="F95" s="30" t="s">
        <v>42</v>
      </c>
      <c r="G95" s="30" t="s">
        <v>186</v>
      </c>
      <c r="H95" s="31" t="s">
        <v>1496</v>
      </c>
    </row>
    <row r="96">
      <c r="A96" s="28">
        <f>ROW()-ROW(Table_Action_Conditions[N])</f>
        <v>94</v>
      </c>
      <c r="B96" s="28" t="s">
        <v>1506</v>
      </c>
      <c r="C96" s="32" t="s">
        <v>183</v>
      </c>
      <c r="D96" s="30" t="s">
        <v>184</v>
      </c>
      <c r="E96" s="30" t="s">
        <v>49</v>
      </c>
      <c r="F96" s="30" t="s">
        <v>42</v>
      </c>
      <c r="G96" s="30" t="s">
        <v>274</v>
      </c>
      <c r="H96" s="31" t="s">
        <v>1511</v>
      </c>
    </row>
    <row r="97">
      <c r="A97" s="28">
        <f>ROW()-ROW(Table_Action_Conditions[N])</f>
        <v>95</v>
      </c>
      <c r="B97" s="28" t="s">
        <v>1517</v>
      </c>
      <c r="C97" s="32" t="s">
        <v>183</v>
      </c>
      <c r="D97" s="30" t="s">
        <v>184</v>
      </c>
      <c r="E97" s="30" t="s">
        <v>49</v>
      </c>
      <c r="F97" s="30" t="s">
        <v>42</v>
      </c>
      <c r="G97" s="30" t="s">
        <v>274</v>
      </c>
      <c r="H97" s="31" t="s">
        <v>1519</v>
      </c>
    </row>
    <row r="98">
      <c r="A98" s="28">
        <f>ROW()-ROW(Table_Action_Conditions[N])</f>
        <v>96</v>
      </c>
      <c r="B98" s="28" t="s">
        <v>1527</v>
      </c>
      <c r="C98" s="32" t="s">
        <v>1528</v>
      </c>
      <c r="D98" s="30" t="s">
        <v>184</v>
      </c>
      <c r="E98" s="30" t="s">
        <v>49</v>
      </c>
      <c r="F98" s="30" t="s">
        <v>42</v>
      </c>
      <c r="G98" s="30" t="s">
        <v>263</v>
      </c>
      <c r="H98" s="31" t="s">
        <v>1530</v>
      </c>
    </row>
    <row r="99">
      <c r="A99" s="28">
        <f>ROW()-ROW(Table_Action_Conditions[N])</f>
        <v>97</v>
      </c>
      <c r="B99" s="28" t="s">
        <v>1537</v>
      </c>
      <c r="C99" s="32" t="s">
        <v>183</v>
      </c>
      <c r="D99" s="30" t="s">
        <v>184</v>
      </c>
      <c r="E99" s="30" t="s">
        <v>49</v>
      </c>
      <c r="F99" s="30" t="s">
        <v>42</v>
      </c>
      <c r="G99" s="30" t="s">
        <v>263</v>
      </c>
      <c r="H99" s="31" t="s">
        <v>1546</v>
      </c>
    </row>
    <row r="100">
      <c r="A100" s="28">
        <f>ROW()-ROW(Table_Action_Conditions[N])</f>
        <v>98</v>
      </c>
      <c r="B100" s="28" t="s">
        <v>877</v>
      </c>
      <c r="C100" s="32" t="s">
        <v>1528</v>
      </c>
      <c r="D100" s="30" t="s">
        <v>184</v>
      </c>
      <c r="E100" s="30" t="s">
        <v>49</v>
      </c>
      <c r="F100" s="30" t="s">
        <v>42</v>
      </c>
      <c r="G100" s="30" t="s">
        <v>284</v>
      </c>
      <c r="H100" s="31" t="s">
        <v>1559</v>
      </c>
    </row>
    <row r="101">
      <c r="A101" s="28">
        <f>ROW()-ROW(Table_Action_Conditions[N])</f>
        <v>99</v>
      </c>
      <c r="B101" s="28" t="s">
        <v>1570</v>
      </c>
      <c r="C101" s="32" t="s">
        <v>183</v>
      </c>
      <c r="D101" s="30" t="s">
        <v>184</v>
      </c>
      <c r="E101" s="30" t="s">
        <v>49</v>
      </c>
      <c r="F101" s="30" t="s">
        <v>42</v>
      </c>
      <c r="G101" s="30" t="s">
        <v>263</v>
      </c>
      <c r="H101" s="31" t="s">
        <v>1576</v>
      </c>
    </row>
    <row r="102">
      <c r="A102" s="28">
        <f>ROW()-ROW(Table_Action_Conditions[N])</f>
        <v>100</v>
      </c>
      <c r="B102" s="28" t="s">
        <v>1588</v>
      </c>
      <c r="C102" s="32" t="s">
        <v>183</v>
      </c>
      <c r="D102" s="30" t="s">
        <v>184</v>
      </c>
      <c r="E102" s="30" t="s">
        <v>49</v>
      </c>
      <c r="F102" s="30" t="s">
        <v>42</v>
      </c>
      <c r="G102" s="30" t="s">
        <v>274</v>
      </c>
      <c r="H102" s="31" t="s">
        <v>1591</v>
      </c>
    </row>
    <row r="103">
      <c r="A103" s="28">
        <f>ROW()-ROW(Table_Action_Conditions[N])</f>
        <v>101</v>
      </c>
      <c r="B103" s="28" t="s">
        <v>1602</v>
      </c>
      <c r="C103" s="32" t="s">
        <v>183</v>
      </c>
      <c r="D103" s="30" t="s">
        <v>184</v>
      </c>
      <c r="E103" s="30" t="s">
        <v>49</v>
      </c>
      <c r="F103" s="30" t="s">
        <v>42</v>
      </c>
      <c r="G103" s="30" t="s">
        <v>274</v>
      </c>
      <c r="H103" s="31" t="s">
        <v>1606</v>
      </c>
    </row>
    <row r="104">
      <c r="A104" s="28">
        <f>ROW()-ROW(Table_Action_Conditions[N])</f>
        <v>102</v>
      </c>
      <c r="B104" s="28" t="s">
        <v>1615</v>
      </c>
      <c r="C104" s="32" t="s">
        <v>183</v>
      </c>
      <c r="D104" s="30" t="s">
        <v>184</v>
      </c>
      <c r="E104" s="30" t="s">
        <v>49</v>
      </c>
      <c r="F104" s="30" t="s">
        <v>42</v>
      </c>
      <c r="G104" s="30" t="s">
        <v>203</v>
      </c>
      <c r="H104" s="31" t="s">
        <v>1621</v>
      </c>
    </row>
    <row r="105">
      <c r="A105" s="28">
        <f>ROW()-ROW(Table_Action_Conditions[N])</f>
        <v>103</v>
      </c>
      <c r="B105" s="28" t="s">
        <v>1630</v>
      </c>
      <c r="C105" s="32" t="s">
        <v>183</v>
      </c>
      <c r="D105" s="30" t="s">
        <v>184</v>
      </c>
      <c r="E105" s="30" t="s">
        <v>49</v>
      </c>
      <c r="F105" s="30" t="s">
        <v>895</v>
      </c>
      <c r="G105" s="30" t="s">
        <v>329</v>
      </c>
      <c r="H105" s="31" t="s">
        <v>1635</v>
      </c>
    </row>
    <row r="106">
      <c r="A106" s="28">
        <f>ROW()-ROW(Table_Action_Conditions[N])</f>
        <v>104</v>
      </c>
      <c r="B106" s="28" t="s">
        <v>1646</v>
      </c>
      <c r="C106" s="29" t="s">
        <v>183</v>
      </c>
      <c r="D106" s="30" t="s">
        <v>184</v>
      </c>
      <c r="E106" s="30" t="s">
        <v>185</v>
      </c>
      <c r="F106" s="30" t="s">
        <v>42</v>
      </c>
      <c r="G106" s="30" t="s">
        <v>186</v>
      </c>
      <c r="H106" s="31" t="s">
        <v>187</v>
      </c>
    </row>
    <row r="108">
      <c r="A108" s="1" t="s">
        <v>0</v>
      </c>
      <c r="B108" s="1" t="s">
        <v>1659</v>
      </c>
      <c r="C108" s="3" t="s">
        <v>1660</v>
      </c>
      <c r="D108" s="3" t="s">
        <v>1662</v>
      </c>
      <c r="E108" s="5" t="s">
        <v>1663</v>
      </c>
      <c r="F108" s="5" t="s">
        <v>1666</v>
      </c>
      <c r="G108" s="5" t="s">
        <v>172</v>
      </c>
      <c r="H108" s="5" t="s">
        <v>173</v>
      </c>
      <c r="I108" s="5" t="s">
        <v>178</v>
      </c>
    </row>
    <row r="109">
      <c r="A109" s="28">
        <f>ROW()-ROW(Table_Unchain_Conditions[N])</f>
        <v>0</v>
      </c>
      <c r="B109" s="28" t="s">
        <v>1671</v>
      </c>
      <c r="C109" s="65" t="b">
        <v>1</v>
      </c>
      <c r="D109" s="65" t="b">
        <v>0</v>
      </c>
      <c r="E109" s="66" t="b">
        <v>0</v>
      </c>
      <c r="F109" s="62" t="s">
        <v>183</v>
      </c>
      <c r="G109" s="31" t="s">
        <v>183</v>
      </c>
      <c r="H109" s="62" t="s">
        <v>184</v>
      </c>
      <c r="I109" s="31" t="s">
        <v>187</v>
      </c>
    </row>
    <row r="110">
      <c r="A110" s="28">
        <f>ROW()-ROW(Table_Unchain_Conditions[N])</f>
        <v>1</v>
      </c>
      <c r="B110" s="28" t="s">
        <v>1687</v>
      </c>
      <c r="C110" s="65" t="b">
        <v>0</v>
      </c>
      <c r="D110" s="65" t="b">
        <v>0</v>
      </c>
      <c r="E110" s="66" t="b">
        <v>1</v>
      </c>
      <c r="F110" s="62" t="s">
        <v>1690</v>
      </c>
      <c r="G110" s="31" t="s">
        <v>183</v>
      </c>
      <c r="H110" s="62" t="s">
        <v>184</v>
      </c>
      <c r="I110" s="31" t="s">
        <v>1695</v>
      </c>
    </row>
    <row r="111">
      <c r="A111" s="28">
        <f>ROW()-ROW(Table_Unchain_Conditions[N])</f>
        <v>2</v>
      </c>
      <c r="B111" s="28" t="s">
        <v>1699</v>
      </c>
      <c r="C111" s="65" t="b">
        <v>0</v>
      </c>
      <c r="D111" s="65" t="b">
        <v>1</v>
      </c>
      <c r="E111" s="66" t="b">
        <v>0</v>
      </c>
      <c r="F111" s="62" t="s">
        <v>183</v>
      </c>
      <c r="G111" s="31" t="s">
        <v>215</v>
      </c>
      <c r="H111" s="62" t="s">
        <v>184</v>
      </c>
      <c r="I111" s="31" t="s">
        <v>1705</v>
      </c>
    </row>
    <row r="112">
      <c r="A112" s="28">
        <f>ROW()-ROW(Table_Unchain_Conditions[N])</f>
        <v>3</v>
      </c>
      <c r="B112" s="28" t="s">
        <v>1713</v>
      </c>
      <c r="C112" s="65" t="b">
        <v>0</v>
      </c>
      <c r="D112" s="65" t="b">
        <v>1</v>
      </c>
      <c r="E112" s="66" t="b">
        <v>0</v>
      </c>
      <c r="F112" s="62" t="s">
        <v>183</v>
      </c>
      <c r="G112" s="31" t="s">
        <v>199</v>
      </c>
      <c r="H112" s="62" t="s">
        <v>184</v>
      </c>
      <c r="I112" s="31" t="s">
        <v>1717</v>
      </c>
    </row>
    <row r="113">
      <c r="A113" s="28">
        <f>ROW()-ROW(Table_Unchain_Conditions[N])</f>
        <v>4</v>
      </c>
      <c r="B113" s="28" t="s">
        <v>1724</v>
      </c>
      <c r="C113" s="65" t="b">
        <v>0</v>
      </c>
      <c r="D113" s="65" t="b">
        <v>0</v>
      </c>
      <c r="E113" s="66" t="b">
        <v>0</v>
      </c>
      <c r="F113" s="62" t="s">
        <v>183</v>
      </c>
      <c r="G113" s="31" t="s">
        <v>1728</v>
      </c>
      <c r="H113" s="62" t="s">
        <v>184</v>
      </c>
      <c r="I113" s="31" t="s">
        <v>1730</v>
      </c>
    </row>
    <row r="114">
      <c r="A114" s="28">
        <f>ROW()-ROW(Table_Unchain_Conditions[N])</f>
        <v>5</v>
      </c>
      <c r="B114" s="28" t="s">
        <v>1739</v>
      </c>
      <c r="C114" s="65" t="b">
        <v>0</v>
      </c>
      <c r="D114" s="65" t="b">
        <v>1</v>
      </c>
      <c r="E114" s="66" t="b">
        <v>0</v>
      </c>
      <c r="F114" s="62" t="s">
        <v>183</v>
      </c>
      <c r="G114" s="31" t="s">
        <v>249</v>
      </c>
      <c r="H114" s="62" t="s">
        <v>184</v>
      </c>
      <c r="I114" s="31" t="s">
        <v>1747</v>
      </c>
    </row>
    <row r="115">
      <c r="A115" s="28">
        <f>ROW()-ROW(Table_Unchain_Conditions[N])</f>
        <v>6</v>
      </c>
      <c r="B115" s="28" t="s">
        <v>1753</v>
      </c>
      <c r="C115" s="65" t="b">
        <v>0</v>
      </c>
      <c r="D115" s="65" t="b">
        <v>1</v>
      </c>
      <c r="E115" s="66" t="b">
        <v>0</v>
      </c>
      <c r="F115" s="62" t="s">
        <v>1757</v>
      </c>
      <c r="G115" s="31" t="s">
        <v>249</v>
      </c>
      <c r="H115" s="62" t="s">
        <v>184</v>
      </c>
      <c r="I115" s="31" t="s">
        <v>1759</v>
      </c>
    </row>
    <row r="116">
      <c r="A116" s="28">
        <f>ROW()-ROW(Table_Unchain_Conditions[N])</f>
        <v>7</v>
      </c>
      <c r="B116" s="28" t="s">
        <v>1767</v>
      </c>
      <c r="C116" s="65" t="b">
        <v>0</v>
      </c>
      <c r="D116" s="65" t="b">
        <v>1</v>
      </c>
      <c r="E116" s="66" t="b">
        <v>0</v>
      </c>
      <c r="F116" s="62" t="s">
        <v>183</v>
      </c>
      <c r="G116" s="31" t="s">
        <v>238</v>
      </c>
      <c r="H116" s="62" t="s">
        <v>184</v>
      </c>
      <c r="I116" s="31" t="s">
        <v>1773</v>
      </c>
    </row>
    <row r="117">
      <c r="A117" s="28">
        <f>ROW()-ROW(Table_Unchain_Conditions[N])</f>
        <v>8</v>
      </c>
      <c r="B117" s="28" t="s">
        <v>1779</v>
      </c>
      <c r="C117" s="65" t="b">
        <v>0</v>
      </c>
      <c r="D117" s="65" t="b">
        <v>1</v>
      </c>
      <c r="E117" s="66" t="b">
        <v>0</v>
      </c>
      <c r="F117" s="62" t="s">
        <v>1757</v>
      </c>
      <c r="G117" s="31" t="s">
        <v>238</v>
      </c>
      <c r="H117" s="62" t="s">
        <v>184</v>
      </c>
      <c r="I117" s="31" t="s">
        <v>1783</v>
      </c>
    </row>
    <row r="118">
      <c r="A118" s="28">
        <f>ROW()-ROW(Table_Unchain_Conditions[N])</f>
        <v>9</v>
      </c>
      <c r="B118" s="57" t="s">
        <v>1793</v>
      </c>
      <c r="C118" s="66" t="b">
        <v>0</v>
      </c>
      <c r="D118" s="66" t="b">
        <v>0</v>
      </c>
      <c r="E118" s="66" t="b">
        <v>0</v>
      </c>
      <c r="F118" s="62" t="s">
        <v>183</v>
      </c>
      <c r="G118" s="31" t="s">
        <v>1757</v>
      </c>
      <c r="H118" s="62" t="s">
        <v>184</v>
      </c>
      <c r="I118" s="31" t="s">
        <v>1798</v>
      </c>
    </row>
    <row r="119">
      <c r="A119" s="28">
        <f>ROW()-ROW(Table_Unchain_Conditions[N])</f>
        <v>10</v>
      </c>
      <c r="B119" s="57" t="s">
        <v>1805</v>
      </c>
      <c r="C119" s="66" t="b">
        <v>0</v>
      </c>
      <c r="D119" s="66" t="b">
        <v>0</v>
      </c>
      <c r="E119" s="66" t="b">
        <v>0</v>
      </c>
      <c r="F119" s="62" t="s">
        <v>183</v>
      </c>
      <c r="G119" s="31" t="s">
        <v>183</v>
      </c>
      <c r="H119" s="62" t="s">
        <v>461</v>
      </c>
      <c r="I119" s="31" t="s">
        <v>1811</v>
      </c>
    </row>
    <row r="120">
      <c r="A120" s="28">
        <f>ROW()-ROW(Table_Unchain_Conditions[N])</f>
        <v>11</v>
      </c>
      <c r="B120" s="57" t="s">
        <v>1820</v>
      </c>
      <c r="C120" s="66" t="b">
        <v>0</v>
      </c>
      <c r="D120" s="66" t="b">
        <v>0</v>
      </c>
      <c r="E120" s="66" t="b">
        <v>0</v>
      </c>
      <c r="F120" s="62" t="s">
        <v>183</v>
      </c>
      <c r="G120" s="31" t="s">
        <v>183</v>
      </c>
      <c r="H120" s="62" t="s">
        <v>461</v>
      </c>
      <c r="I120" s="31" t="s">
        <v>1824</v>
      </c>
    </row>
    <row r="121">
      <c r="A121" s="28">
        <f>ROW()-ROW(Table_Unchain_Conditions[N])</f>
        <v>12</v>
      </c>
      <c r="B121" s="57" t="s">
        <v>1833</v>
      </c>
      <c r="C121" s="66" t="b">
        <v>0</v>
      </c>
      <c r="D121" s="66" t="b">
        <v>0</v>
      </c>
      <c r="E121" s="66" t="b">
        <v>0</v>
      </c>
      <c r="F121" s="62" t="s">
        <v>183</v>
      </c>
      <c r="G121" s="31" t="s">
        <v>183</v>
      </c>
      <c r="H121" s="62" t="s">
        <v>461</v>
      </c>
      <c r="I121" s="31" t="s">
        <v>1837</v>
      </c>
    </row>
    <row r="122">
      <c r="A122" s="57">
        <f>ROW()-ROW(Table_Unchain_Conditions[N])</f>
        <v>13</v>
      </c>
      <c r="B122" s="57" t="s">
        <v>1847</v>
      </c>
      <c r="C122" s="66" t="b">
        <v>0</v>
      </c>
      <c r="D122" s="66" t="b">
        <v>0</v>
      </c>
      <c r="E122" s="66" t="b">
        <v>0</v>
      </c>
      <c r="F122" s="62" t="s">
        <v>183</v>
      </c>
      <c r="G122" s="31" t="s">
        <v>183</v>
      </c>
      <c r="H122" s="62" t="s">
        <v>473</v>
      </c>
      <c r="I122" s="31" t="s">
        <v>1853</v>
      </c>
    </row>
    <row r="123">
      <c r="A123" s="57">
        <f>ROW()-ROW(Table_Unchain_Conditions[N])</f>
        <v>14</v>
      </c>
      <c r="B123" s="57" t="s">
        <v>1862</v>
      </c>
      <c r="C123" s="66" t="b">
        <v>0</v>
      </c>
      <c r="D123" s="66" t="b">
        <v>0</v>
      </c>
      <c r="E123" s="66" t="b">
        <v>0</v>
      </c>
      <c r="F123" s="62" t="s">
        <v>183</v>
      </c>
      <c r="G123" s="31" t="s">
        <v>1866</v>
      </c>
      <c r="H123" s="62" t="s">
        <v>184</v>
      </c>
      <c r="I123" s="31" t="s">
        <v>1869</v>
      </c>
    </row>
    <row r="124">
      <c r="A124" s="57">
        <f>ROW()-ROW(Table_Unchain_Conditions[N])</f>
        <v>15</v>
      </c>
      <c r="B124" s="57" t="s">
        <v>1875</v>
      </c>
      <c r="C124" s="66" t="b">
        <v>0</v>
      </c>
      <c r="D124" s="66" t="b">
        <v>0</v>
      </c>
      <c r="E124" s="66" t="b">
        <v>0</v>
      </c>
      <c r="F124" s="62" t="s">
        <v>183</v>
      </c>
      <c r="G124" s="31" t="s">
        <v>1880</v>
      </c>
      <c r="H124" s="62" t="s">
        <v>473</v>
      </c>
      <c r="I124" s="31" t="s">
        <v>1881</v>
      </c>
    </row>
    <row r="125">
      <c r="A125" s="57">
        <f>ROW()-ROW(Table_Unchain_Conditions[N])</f>
        <v>16</v>
      </c>
      <c r="B125" s="57" t="s">
        <v>1891</v>
      </c>
      <c r="C125" s="66" t="b">
        <v>0</v>
      </c>
      <c r="D125" s="66" t="b">
        <v>0</v>
      </c>
      <c r="E125" s="66" t="b">
        <v>0</v>
      </c>
      <c r="F125" s="62" t="s">
        <v>183</v>
      </c>
      <c r="G125" s="31" t="s">
        <v>1894</v>
      </c>
      <c r="H125" s="62" t="s">
        <v>461</v>
      </c>
      <c r="I125" s="31" t="s">
        <v>1896</v>
      </c>
    </row>
    <row r="126">
      <c r="A126" s="57">
        <f>ROW()-ROW(Table_Unchain_Conditions[N])</f>
        <v>17</v>
      </c>
      <c r="B126" s="57" t="s">
        <v>1905</v>
      </c>
      <c r="C126" s="66" t="b">
        <v>0</v>
      </c>
      <c r="D126" s="66" t="b">
        <v>0</v>
      </c>
      <c r="E126" s="66" t="b">
        <v>0</v>
      </c>
      <c r="F126" s="62" t="s">
        <v>183</v>
      </c>
      <c r="G126" s="31" t="s">
        <v>1908</v>
      </c>
      <c r="H126" s="62" t="s">
        <v>461</v>
      </c>
      <c r="I126" s="31" t="s">
        <v>1911</v>
      </c>
    </row>
    <row r="127">
      <c r="A127" s="57">
        <f>ROW()-ROW(Table_Unchain_Conditions[N])</f>
        <v>18</v>
      </c>
      <c r="B127" s="57" t="s">
        <v>1918</v>
      </c>
      <c r="C127" s="66" t="b">
        <v>1</v>
      </c>
      <c r="D127" s="66" t="b">
        <v>0</v>
      </c>
      <c r="E127" s="66" t="b">
        <v>0</v>
      </c>
      <c r="F127" s="62" t="s">
        <v>183</v>
      </c>
      <c r="G127" s="31" t="s">
        <v>1925</v>
      </c>
      <c r="H127" s="62" t="s">
        <v>184</v>
      </c>
      <c r="I127" s="31" t="s">
        <v>1927</v>
      </c>
    </row>
    <row r="128">
      <c r="A128" s="57">
        <f>ROW()-ROW(Table_Unchain_Conditions[N])</f>
        <v>19</v>
      </c>
      <c r="B128" s="57" t="s">
        <v>1936</v>
      </c>
      <c r="C128" s="66" t="b">
        <v>0</v>
      </c>
      <c r="D128" s="66" t="b">
        <v>0</v>
      </c>
      <c r="E128" s="66" t="b">
        <v>0</v>
      </c>
      <c r="F128" s="62" t="s">
        <v>183</v>
      </c>
      <c r="G128" s="31" t="s">
        <v>1940</v>
      </c>
      <c r="H128" s="62" t="s">
        <v>184</v>
      </c>
      <c r="I128" s="31" t="s">
        <v>1942</v>
      </c>
    </row>
    <row r="129">
      <c r="A129" s="57">
        <f>ROW()-ROW(Table_Unchain_Conditions[N])</f>
        <v>20</v>
      </c>
      <c r="B129" s="57" t="s">
        <v>1950</v>
      </c>
      <c r="C129" s="66" t="b">
        <v>0</v>
      </c>
      <c r="D129" s="66" t="b">
        <v>0</v>
      </c>
      <c r="E129" s="66" t="b">
        <v>0</v>
      </c>
      <c r="F129" s="62" t="s">
        <v>183</v>
      </c>
      <c r="G129" s="31" t="s">
        <v>1954</v>
      </c>
      <c r="H129" s="62" t="s">
        <v>184</v>
      </c>
      <c r="I129" s="31" t="s">
        <v>1956</v>
      </c>
    </row>
    <row r="130">
      <c r="A130" s="57">
        <f>ROW()-ROW(Table_Unchain_Conditions[N])</f>
        <v>21</v>
      </c>
      <c r="B130" s="57" t="s">
        <v>1964</v>
      </c>
      <c r="C130" s="66" t="b">
        <v>0</v>
      </c>
      <c r="D130" s="66" t="b">
        <v>0</v>
      </c>
      <c r="E130" s="66" t="b">
        <v>0</v>
      </c>
      <c r="F130" s="62" t="s">
        <v>183</v>
      </c>
      <c r="G130" s="31" t="s">
        <v>1968</v>
      </c>
      <c r="H130" s="62" t="s">
        <v>473</v>
      </c>
      <c r="I130" s="31" t="s">
        <v>1969</v>
      </c>
    </row>
    <row r="131">
      <c r="A131" s="57">
        <f>ROW()-ROW(Table_Unchain_Conditions[N])</f>
        <v>22</v>
      </c>
      <c r="B131" s="57" t="s">
        <v>1981</v>
      </c>
      <c r="C131" s="66" t="b">
        <v>0</v>
      </c>
      <c r="D131" s="66" t="b">
        <v>0</v>
      </c>
      <c r="E131" s="66" t="b">
        <v>0</v>
      </c>
      <c r="F131" s="62" t="s">
        <v>183</v>
      </c>
      <c r="G131" s="31" t="s">
        <v>1983</v>
      </c>
      <c r="H131" s="62" t="s">
        <v>184</v>
      </c>
      <c r="I131" s="31" t="s">
        <v>1988</v>
      </c>
    </row>
    <row r="132">
      <c r="A132" s="57">
        <f>ROW()-ROW(Table_Unchain_Conditions[N])</f>
        <v>23</v>
      </c>
      <c r="B132" s="57" t="s">
        <v>1997</v>
      </c>
      <c r="C132" s="66" t="b">
        <v>0</v>
      </c>
      <c r="D132" s="66" t="b">
        <v>0</v>
      </c>
      <c r="E132" s="66" t="b">
        <v>0</v>
      </c>
      <c r="F132" s="62" t="s">
        <v>183</v>
      </c>
      <c r="G132" s="31" t="s">
        <v>183</v>
      </c>
      <c r="H132" s="62" t="s">
        <v>473</v>
      </c>
      <c r="I132" s="31" t="s">
        <v>2002</v>
      </c>
    </row>
    <row r="133">
      <c r="A133" s="57">
        <f>ROW()-ROW(Table_Unchain_Conditions[N])</f>
        <v>24</v>
      </c>
      <c r="B133" s="57" t="s">
        <v>2011</v>
      </c>
      <c r="C133" s="66" t="b">
        <v>1</v>
      </c>
      <c r="D133" s="66" t="b">
        <v>0</v>
      </c>
      <c r="E133" s="66" t="b">
        <v>0</v>
      </c>
      <c r="F133" s="62" t="s">
        <v>183</v>
      </c>
      <c r="G133" s="31" t="s">
        <v>183</v>
      </c>
      <c r="H133" s="62" t="s">
        <v>473</v>
      </c>
      <c r="I133" s="31" t="s">
        <v>2015</v>
      </c>
    </row>
    <row r="134">
      <c r="A134" s="57">
        <f>ROW()-ROW(Table_Unchain_Conditions[N])</f>
        <v>25</v>
      </c>
      <c r="B134" s="57" t="s">
        <v>2022</v>
      </c>
      <c r="C134" s="66" t="b">
        <v>1</v>
      </c>
      <c r="D134" s="66" t="b">
        <v>0</v>
      </c>
      <c r="E134" s="66" t="b">
        <v>0</v>
      </c>
      <c r="F134" s="62" t="s">
        <v>183</v>
      </c>
      <c r="G134" s="31" t="s">
        <v>1880</v>
      </c>
      <c r="H134" s="62" t="s">
        <v>473</v>
      </c>
      <c r="I134" s="31" t="s">
        <v>2028</v>
      </c>
    </row>
    <row r="135">
      <c r="A135" s="57">
        <f>ROW()-ROW(Table_Unchain_Conditions[N])</f>
        <v>26</v>
      </c>
      <c r="B135" s="57" t="s">
        <v>2038</v>
      </c>
      <c r="C135" s="66" t="b">
        <v>0</v>
      </c>
      <c r="D135" s="66" t="b">
        <v>0</v>
      </c>
      <c r="E135" s="66" t="b">
        <v>0</v>
      </c>
      <c r="F135" s="62" t="s">
        <v>183</v>
      </c>
      <c r="G135" s="31" t="s">
        <v>898</v>
      </c>
      <c r="H135" s="62" t="s">
        <v>473</v>
      </c>
      <c r="I135" s="31" t="s">
        <v>2043</v>
      </c>
    </row>
    <row r="136">
      <c r="A136" s="57">
        <f>ROW()-ROW(Table_Unchain_Conditions[N])</f>
        <v>27</v>
      </c>
      <c r="B136" s="57" t="s">
        <v>2051</v>
      </c>
      <c r="C136" s="66" t="b">
        <v>0</v>
      </c>
      <c r="D136" s="66" t="b">
        <v>0</v>
      </c>
      <c r="E136" s="66" t="b">
        <v>0</v>
      </c>
      <c r="F136" s="62" t="s">
        <v>183</v>
      </c>
      <c r="G136" s="31" t="s">
        <v>2054</v>
      </c>
      <c r="H136" s="62" t="s">
        <v>473</v>
      </c>
      <c r="I136" s="31" t="s">
        <v>2056</v>
      </c>
    </row>
    <row r="137">
      <c r="A137" s="57">
        <f>ROW()-ROW(Table_Unchain_Conditions[N])</f>
        <v>28</v>
      </c>
      <c r="B137" s="57" t="s">
        <v>2065</v>
      </c>
      <c r="C137" s="66" t="b">
        <v>0</v>
      </c>
      <c r="D137" s="66" t="b">
        <v>0</v>
      </c>
      <c r="E137" s="66" t="b">
        <v>0</v>
      </c>
      <c r="F137" s="62" t="s">
        <v>183</v>
      </c>
      <c r="G137" s="31" t="s">
        <v>183</v>
      </c>
      <c r="H137" s="62" t="s">
        <v>461</v>
      </c>
      <c r="I137" s="31" t="s">
        <v>2070</v>
      </c>
    </row>
    <row r="138">
      <c r="A138" s="57">
        <f>ROW()-ROW(Table_Unchain_Conditions[N])</f>
        <v>29</v>
      </c>
      <c r="B138" s="57" t="s">
        <v>2078</v>
      </c>
      <c r="C138" s="66" t="b">
        <v>0</v>
      </c>
      <c r="D138" s="66" t="b">
        <v>0</v>
      </c>
      <c r="E138" s="66" t="b">
        <v>0</v>
      </c>
      <c r="F138" s="62" t="s">
        <v>183</v>
      </c>
      <c r="G138" s="31" t="s">
        <v>183</v>
      </c>
      <c r="H138" s="62" t="s">
        <v>473</v>
      </c>
      <c r="I138" s="31" t="s">
        <v>2083</v>
      </c>
    </row>
    <row r="139">
      <c r="A139" s="57">
        <f>ROW()-ROW(Table_Unchain_Conditions[N])</f>
        <v>30</v>
      </c>
      <c r="B139" s="57" t="s">
        <v>2091</v>
      </c>
      <c r="C139" s="66" t="b">
        <v>0</v>
      </c>
      <c r="D139" s="66" t="b">
        <v>0</v>
      </c>
      <c r="E139" s="66" t="b">
        <v>0</v>
      </c>
      <c r="F139" s="62" t="s">
        <v>183</v>
      </c>
      <c r="G139" s="31" t="s">
        <v>2095</v>
      </c>
      <c r="H139" s="62" t="s">
        <v>184</v>
      </c>
      <c r="I139" s="31" t="s">
        <v>2096</v>
      </c>
    </row>
    <row r="140">
      <c r="A140" s="57">
        <f>ROW()-ROW(Table_Unchain_Conditions[N])</f>
        <v>31</v>
      </c>
      <c r="B140" s="57" t="s">
        <v>2104</v>
      </c>
      <c r="C140" s="66" t="b">
        <v>0</v>
      </c>
      <c r="D140" s="66" t="b">
        <v>1</v>
      </c>
      <c r="E140" s="66" t="b">
        <v>0</v>
      </c>
      <c r="F140" s="62" t="s">
        <v>183</v>
      </c>
      <c r="G140" s="31" t="s">
        <v>2109</v>
      </c>
      <c r="H140" s="62" t="s">
        <v>184</v>
      </c>
      <c r="I140" s="31" t="s">
        <v>2112</v>
      </c>
    </row>
    <row r="141">
      <c r="A141" s="57">
        <f>ROW()-ROW(Table_Unchain_Conditions[N])</f>
        <v>32</v>
      </c>
      <c r="B141" s="57" t="s">
        <v>2120</v>
      </c>
      <c r="C141" s="66" t="b">
        <v>1</v>
      </c>
      <c r="D141" s="66" t="b">
        <v>0</v>
      </c>
      <c r="E141" s="66" t="b">
        <v>0</v>
      </c>
      <c r="F141" s="62" t="s">
        <v>2124</v>
      </c>
      <c r="G141" s="31" t="s">
        <v>2125</v>
      </c>
      <c r="H141" s="62" t="s">
        <v>184</v>
      </c>
      <c r="I141" s="31" t="s">
        <v>2126</v>
      </c>
    </row>
    <row r="142">
      <c r="A142" s="57">
        <f>ROW()-ROW(Table_Unchain_Conditions[N])</f>
        <v>33</v>
      </c>
      <c r="B142" s="57" t="s">
        <v>2135</v>
      </c>
      <c r="C142" s="66" t="b">
        <v>0</v>
      </c>
      <c r="D142" s="66" t="b">
        <v>0</v>
      </c>
      <c r="E142" s="66" t="b">
        <v>0</v>
      </c>
      <c r="F142" s="62" t="s">
        <v>183</v>
      </c>
      <c r="G142" s="31" t="s">
        <v>2138</v>
      </c>
      <c r="H142" s="62" t="s">
        <v>184</v>
      </c>
      <c r="I142" s="31" t="s">
        <v>2140</v>
      </c>
    </row>
    <row r="143">
      <c r="A143" s="57">
        <f>ROW()-ROW(Table_Unchain_Conditions[N])</f>
        <v>34</v>
      </c>
      <c r="B143" s="57" t="s">
        <v>2148</v>
      </c>
      <c r="C143" s="66" t="b">
        <v>1</v>
      </c>
      <c r="D143" s="66" t="b">
        <v>0</v>
      </c>
      <c r="E143" s="66" t="b">
        <v>0</v>
      </c>
      <c r="F143" s="62" t="s">
        <v>183</v>
      </c>
      <c r="G143" s="31" t="s">
        <v>183</v>
      </c>
      <c r="H143" s="62" t="s">
        <v>184</v>
      </c>
      <c r="I143" s="31" t="s">
        <v>1397</v>
      </c>
    </row>
    <row r="144">
      <c r="A144" s="57">
        <f>ROW()-ROW(Table_Unchain_Conditions[N])</f>
        <v>35</v>
      </c>
      <c r="B144" s="57" t="s">
        <v>2160</v>
      </c>
      <c r="C144" s="66" t="b">
        <v>1</v>
      </c>
      <c r="D144" s="66" t="b">
        <v>0</v>
      </c>
      <c r="E144" s="66" t="b">
        <v>0</v>
      </c>
      <c r="F144" s="62" t="s">
        <v>2164</v>
      </c>
      <c r="G144" s="57" t="s">
        <v>2166</v>
      </c>
      <c r="H144" s="62" t="s">
        <v>184</v>
      </c>
      <c r="I144" s="31" t="s">
        <v>2167</v>
      </c>
    </row>
    <row r="145">
      <c r="A145" s="57">
        <f>ROW()-ROW(Table_Unchain_Conditions[N])</f>
        <v>36</v>
      </c>
      <c r="B145" s="57" t="s">
        <v>2177</v>
      </c>
      <c r="C145" s="66" t="b">
        <v>1</v>
      </c>
      <c r="D145" s="66" t="b">
        <v>0</v>
      </c>
      <c r="E145" s="66" t="b">
        <v>0</v>
      </c>
      <c r="F145" s="62" t="s">
        <v>183</v>
      </c>
      <c r="G145" s="31" t="s">
        <v>1411</v>
      </c>
      <c r="H145" s="62" t="s">
        <v>184</v>
      </c>
      <c r="I145" s="31" t="s">
        <v>2182</v>
      </c>
    </row>
    <row r="146">
      <c r="A146" s="57">
        <f>ROW()-ROW(Table_Unchain_Conditions[N])</f>
        <v>37</v>
      </c>
      <c r="B146" s="57" t="s">
        <v>2189</v>
      </c>
      <c r="C146" s="66" t="b">
        <v>1</v>
      </c>
      <c r="D146" s="66" t="b">
        <v>0</v>
      </c>
      <c r="E146" s="66" t="b">
        <v>0</v>
      </c>
      <c r="F146" s="62" t="s">
        <v>183</v>
      </c>
      <c r="G146" s="31" t="s">
        <v>183</v>
      </c>
      <c r="H146" s="62" t="s">
        <v>184</v>
      </c>
      <c r="I146" s="31" t="s">
        <v>2195</v>
      </c>
    </row>
    <row r="147">
      <c r="A147" s="57">
        <f>ROW()-ROW(Table_Unchain_Conditions[N])</f>
        <v>38</v>
      </c>
      <c r="B147" s="57" t="s">
        <v>2204</v>
      </c>
      <c r="C147" s="66" t="b">
        <v>1</v>
      </c>
      <c r="D147" s="66" t="b">
        <v>0</v>
      </c>
      <c r="E147" s="66" t="b">
        <v>0</v>
      </c>
      <c r="F147" s="62" t="s">
        <v>183</v>
      </c>
      <c r="G147" s="31" t="s">
        <v>183</v>
      </c>
      <c r="H147" s="62" t="s">
        <v>184</v>
      </c>
      <c r="I147" s="31" t="s">
        <v>2209</v>
      </c>
    </row>
    <row r="148">
      <c r="A148" s="57">
        <f>ROW()-ROW(Table_Unchain_Conditions[N])</f>
        <v>39</v>
      </c>
      <c r="B148" s="57" t="s">
        <v>2215</v>
      </c>
      <c r="C148" s="66" t="b">
        <v>1</v>
      </c>
      <c r="D148" s="66" t="b">
        <v>0</v>
      </c>
      <c r="E148" s="66" t="b">
        <v>0</v>
      </c>
      <c r="F148" s="62" t="s">
        <v>183</v>
      </c>
      <c r="G148" s="31" t="s">
        <v>2218</v>
      </c>
      <c r="H148" s="62" t="s">
        <v>184</v>
      </c>
      <c r="I148" s="31" t="s">
        <v>2220</v>
      </c>
    </row>
    <row r="149">
      <c r="A149" s="57">
        <f>ROW()-ROW(Table_Unchain_Conditions[N])</f>
        <v>40</v>
      </c>
      <c r="B149" s="57" t="s">
        <v>2229</v>
      </c>
      <c r="C149" s="66" t="b">
        <v>1</v>
      </c>
      <c r="D149" s="66" t="b">
        <v>0</v>
      </c>
      <c r="E149" s="66" t="b">
        <v>0</v>
      </c>
      <c r="F149" s="62" t="s">
        <v>183</v>
      </c>
      <c r="G149" s="31" t="s">
        <v>183</v>
      </c>
      <c r="H149" s="62" t="s">
        <v>184</v>
      </c>
      <c r="I149" s="31" t="s">
        <v>2234</v>
      </c>
    </row>
    <row r="150">
      <c r="A150" s="57">
        <f>ROW()-ROW(Table_Unchain_Conditions[N])</f>
        <v>41</v>
      </c>
      <c r="B150" s="57" t="s">
        <v>2244</v>
      </c>
      <c r="C150" s="66" t="b">
        <v>1</v>
      </c>
      <c r="D150" s="66" t="b">
        <v>0</v>
      </c>
      <c r="E150" s="66" t="b">
        <v>0</v>
      </c>
      <c r="F150" s="62" t="s">
        <v>183</v>
      </c>
      <c r="G150" s="31" t="s">
        <v>183</v>
      </c>
      <c r="H150" s="62" t="s">
        <v>184</v>
      </c>
      <c r="I150" s="31" t="s">
        <v>2248</v>
      </c>
    </row>
    <row r="151">
      <c r="A151" s="57">
        <f>ROW()-ROW(Table_Unchain_Conditions[N])</f>
        <v>42</v>
      </c>
      <c r="B151" s="57" t="s">
        <v>2259</v>
      </c>
      <c r="C151" s="66" t="b">
        <v>0</v>
      </c>
      <c r="D151" s="66" t="b">
        <v>0</v>
      </c>
      <c r="E151" s="66" t="b">
        <v>0</v>
      </c>
      <c r="F151" s="62" t="s">
        <v>183</v>
      </c>
      <c r="G151" s="31" t="s">
        <v>2261</v>
      </c>
      <c r="H151" s="62" t="s">
        <v>184</v>
      </c>
      <c r="I151" s="31" t="s">
        <v>2264</v>
      </c>
    </row>
    <row r="152">
      <c r="A152" s="57">
        <f>ROW()-ROW(Table_Unchain_Conditions[N])</f>
        <v>43</v>
      </c>
      <c r="B152" s="57" t="s">
        <v>2271</v>
      </c>
      <c r="C152" s="66" t="b">
        <v>0</v>
      </c>
      <c r="D152" s="66" t="b">
        <v>0</v>
      </c>
      <c r="E152" s="66" t="b">
        <v>0</v>
      </c>
      <c r="F152" s="62" t="s">
        <v>183</v>
      </c>
      <c r="G152" s="31" t="s">
        <v>2274</v>
      </c>
      <c r="H152" s="62" t="s">
        <v>184</v>
      </c>
      <c r="I152" s="31" t="s">
        <v>2277</v>
      </c>
    </row>
    <row r="153">
      <c r="A153" s="57">
        <f>ROW()-ROW(Table_Unchain_Conditions[N])</f>
        <v>44</v>
      </c>
      <c r="B153" s="57" t="s">
        <v>2284</v>
      </c>
      <c r="C153" s="66" t="b">
        <v>1</v>
      </c>
      <c r="D153" s="66" t="b">
        <v>0</v>
      </c>
      <c r="E153" s="66" t="b">
        <v>0</v>
      </c>
      <c r="F153" s="62" t="s">
        <v>2290</v>
      </c>
      <c r="G153" s="31" t="s">
        <v>2291</v>
      </c>
      <c r="H153" s="62" t="s">
        <v>184</v>
      </c>
      <c r="I153" s="31" t="s">
        <v>2294</v>
      </c>
    </row>
    <row r="154">
      <c r="A154" s="57">
        <f>ROW()-ROW(Table_Unchain_Conditions[N])</f>
        <v>45</v>
      </c>
      <c r="B154" s="57" t="s">
        <v>2301</v>
      </c>
      <c r="C154" s="66" t="b">
        <v>0</v>
      </c>
      <c r="D154" s="66" t="b">
        <v>0</v>
      </c>
      <c r="E154" s="66" t="b">
        <v>0</v>
      </c>
      <c r="F154" s="62" t="s">
        <v>183</v>
      </c>
      <c r="G154" s="31" t="s">
        <v>183</v>
      </c>
      <c r="H154" s="62" t="s">
        <v>184</v>
      </c>
      <c r="I154" s="31" t="s">
        <v>187</v>
      </c>
    </row>
    <row r="156">
      <c r="A156" s="1" t="s">
        <v>0</v>
      </c>
      <c r="B156" s="1" t="s">
        <v>2313</v>
      </c>
      <c r="C156" s="3" t="s">
        <v>2315</v>
      </c>
      <c r="D156" s="1" t="s">
        <v>2317</v>
      </c>
      <c r="E156" s="42" t="s">
        <v>2318</v>
      </c>
      <c r="F156" s="42" t="s">
        <v>2319</v>
      </c>
      <c r="G156" s="42" t="s">
        <v>2321</v>
      </c>
      <c r="H156" s="42" t="s">
        <v>2322</v>
      </c>
      <c r="I156" s="42" t="s">
        <v>2323</v>
      </c>
      <c r="J156" s="42" t="s">
        <v>2324</v>
      </c>
      <c r="K156" s="42" t="s">
        <v>2325</v>
      </c>
      <c r="L156" s="42" t="s">
        <v>2327</v>
      </c>
      <c r="M156" s="42" t="s">
        <v>2328</v>
      </c>
      <c r="N156" s="42" t="s">
        <v>2330</v>
      </c>
      <c r="O156" s="42" t="s">
        <v>2331</v>
      </c>
      <c r="P156" s="42" t="s">
        <v>2333</v>
      </c>
      <c r="Q156" s="42" t="s">
        <v>2335</v>
      </c>
      <c r="R156" s="42" t="s">
        <v>2336</v>
      </c>
      <c r="S156" s="42" t="s">
        <v>2337</v>
      </c>
      <c r="T156" s="42" t="s">
        <v>2338</v>
      </c>
      <c r="U156" s="42" t="s">
        <v>2339</v>
      </c>
      <c r="V156" s="42" t="s">
        <v>2340</v>
      </c>
      <c r="W156" s="42" t="s">
        <v>2341</v>
      </c>
    </row>
    <row r="157">
      <c r="A157" s="67">
        <f>ROW()-ROW(Table_Actions[N])</f>
        <v>0</v>
      </c>
      <c r="B157" s="57" t="s">
        <v>187</v>
      </c>
      <c r="C157" s="66" t="b">
        <v>0</v>
      </c>
      <c r="D157" s="62" t="s">
        <v>2345</v>
      </c>
      <c r="E157" s="62" t="s">
        <v>42</v>
      </c>
      <c r="F157" s="62" t="s">
        <v>48</v>
      </c>
      <c r="G157" s="62" t="s">
        <v>185</v>
      </c>
      <c r="H157" s="62" t="s">
        <v>2346</v>
      </c>
      <c r="I157" s="68" t="s">
        <v>183</v>
      </c>
      <c r="J157" s="62" t="s">
        <v>1048</v>
      </c>
      <c r="K157" s="62" t="s">
        <v>184</v>
      </c>
      <c r="L157" s="62" t="s">
        <v>889</v>
      </c>
      <c r="M157" s="62" t="s">
        <v>1075</v>
      </c>
      <c r="N157" s="62" t="s">
        <v>1556</v>
      </c>
      <c r="O157" s="62" t="s">
        <v>2349</v>
      </c>
      <c r="P157" s="30" t="s">
        <v>825</v>
      </c>
      <c r="Q157" s="30" t="s">
        <v>2351</v>
      </c>
      <c r="R157" s="28"/>
      <c r="S157" s="69" t="s">
        <v>2352</v>
      </c>
      <c r="T157" s="69" t="s">
        <v>2352</v>
      </c>
      <c r="U157" s="28">
        <v>0.0</v>
      </c>
      <c r="V157" s="70">
        <v>0.0</v>
      </c>
      <c r="W157" s="30" t="s">
        <v>2353</v>
      </c>
    </row>
    <row r="158">
      <c r="A158" s="67">
        <f>ROW()-ROW(Table_Actions[N])</f>
        <v>1</v>
      </c>
      <c r="B158" s="57" t="s">
        <v>1091</v>
      </c>
      <c r="C158" s="66" t="b">
        <v>0</v>
      </c>
      <c r="D158" s="62" t="s">
        <v>2368</v>
      </c>
      <c r="E158" s="62" t="s">
        <v>42</v>
      </c>
      <c r="F158" s="62" t="s">
        <v>48</v>
      </c>
      <c r="G158" s="62" t="s">
        <v>185</v>
      </c>
      <c r="H158" s="62" t="s">
        <v>2346</v>
      </c>
      <c r="I158" s="68" t="s">
        <v>183</v>
      </c>
      <c r="J158" s="62" t="s">
        <v>1048</v>
      </c>
      <c r="K158" s="62" t="s">
        <v>461</v>
      </c>
      <c r="L158" s="62" t="s">
        <v>889</v>
      </c>
      <c r="M158" s="62" t="s">
        <v>1075</v>
      </c>
      <c r="N158" s="62" t="s">
        <v>1556</v>
      </c>
      <c r="O158" s="62" t="s">
        <v>2349</v>
      </c>
      <c r="P158" s="30" t="s">
        <v>825</v>
      </c>
      <c r="Q158" s="30" t="s">
        <v>2351</v>
      </c>
      <c r="R158" s="28"/>
      <c r="S158" s="69" t="s">
        <v>2352</v>
      </c>
      <c r="T158" s="69" t="s">
        <v>2352</v>
      </c>
      <c r="U158" s="28">
        <v>0.0</v>
      </c>
      <c r="V158" s="70">
        <v>0.0</v>
      </c>
      <c r="W158" s="30" t="s">
        <v>2353</v>
      </c>
    </row>
    <row r="159">
      <c r="A159" s="67">
        <f>ROW()-ROW(Table_Actions[N])</f>
        <v>2</v>
      </c>
      <c r="B159" s="57" t="s">
        <v>1097</v>
      </c>
      <c r="C159" s="66" t="b">
        <v>0</v>
      </c>
      <c r="D159" s="62" t="s">
        <v>2368</v>
      </c>
      <c r="E159" s="62" t="s">
        <v>42</v>
      </c>
      <c r="F159" s="62" t="s">
        <v>48</v>
      </c>
      <c r="G159" s="62" t="s">
        <v>185</v>
      </c>
      <c r="H159" s="62" t="s">
        <v>2346</v>
      </c>
      <c r="I159" s="68" t="s">
        <v>183</v>
      </c>
      <c r="J159" s="62" t="s">
        <v>1048</v>
      </c>
      <c r="K159" s="62" t="s">
        <v>473</v>
      </c>
      <c r="L159" s="62" t="s">
        <v>889</v>
      </c>
      <c r="M159" s="62" t="s">
        <v>1075</v>
      </c>
      <c r="N159" s="62" t="s">
        <v>1556</v>
      </c>
      <c r="O159" s="62" t="s">
        <v>2349</v>
      </c>
      <c r="P159" s="30" t="s">
        <v>825</v>
      </c>
      <c r="Q159" s="30" t="s">
        <v>2351</v>
      </c>
      <c r="R159" s="28"/>
      <c r="S159" s="69" t="s">
        <v>2352</v>
      </c>
      <c r="T159" s="69" t="s">
        <v>2352</v>
      </c>
      <c r="U159" s="28">
        <v>0.0</v>
      </c>
      <c r="V159" s="70">
        <v>0.0</v>
      </c>
      <c r="W159" s="30" t="s">
        <v>2353</v>
      </c>
    </row>
    <row r="160">
      <c r="A160" s="67">
        <f>ROW()-ROW(Table_Actions[N])</f>
        <v>3</v>
      </c>
      <c r="B160" s="57" t="s">
        <v>2397</v>
      </c>
      <c r="C160" s="66" t="b">
        <v>0</v>
      </c>
      <c r="D160" s="62" t="s">
        <v>2400</v>
      </c>
      <c r="E160" s="62" t="s">
        <v>42</v>
      </c>
      <c r="F160" s="62" t="s">
        <v>48</v>
      </c>
      <c r="G160" s="62" t="s">
        <v>185</v>
      </c>
      <c r="H160" s="62" t="s">
        <v>2346</v>
      </c>
      <c r="I160" s="68" t="s">
        <v>1690</v>
      </c>
      <c r="J160" s="62" t="s">
        <v>1048</v>
      </c>
      <c r="K160" s="62" t="s">
        <v>184</v>
      </c>
      <c r="L160" s="62" t="s">
        <v>889</v>
      </c>
      <c r="M160" s="62" t="s">
        <v>1075</v>
      </c>
      <c r="N160" s="62" t="s">
        <v>1556</v>
      </c>
      <c r="O160" s="62" t="s">
        <v>2349</v>
      </c>
      <c r="P160" s="30" t="s">
        <v>825</v>
      </c>
      <c r="Q160" s="30" t="s">
        <v>2351</v>
      </c>
      <c r="R160" s="28"/>
      <c r="S160" s="69" t="s">
        <v>2352</v>
      </c>
      <c r="T160" s="69" t="s">
        <v>2352</v>
      </c>
      <c r="U160" s="28">
        <v>0.0</v>
      </c>
      <c r="V160" s="70">
        <v>0.0</v>
      </c>
      <c r="W160" s="30" t="s">
        <v>2353</v>
      </c>
    </row>
    <row r="161">
      <c r="A161" s="67">
        <f>ROW()-ROW(Table_Actions[N])</f>
        <v>4</v>
      </c>
      <c r="B161" s="57" t="s">
        <v>2423</v>
      </c>
      <c r="C161" s="66" t="b">
        <v>0</v>
      </c>
      <c r="D161" s="62" t="s">
        <v>2424</v>
      </c>
      <c r="E161" s="62" t="s">
        <v>42</v>
      </c>
      <c r="F161" s="62" t="s">
        <v>48</v>
      </c>
      <c r="G161" s="62" t="s">
        <v>185</v>
      </c>
      <c r="H161" s="62" t="s">
        <v>2425</v>
      </c>
      <c r="I161" s="68" t="s">
        <v>183</v>
      </c>
      <c r="J161" s="62" t="s">
        <v>1048</v>
      </c>
      <c r="K161" s="62" t="s">
        <v>184</v>
      </c>
      <c r="L161" s="62" t="s">
        <v>889</v>
      </c>
      <c r="M161" s="62" t="s">
        <v>1075</v>
      </c>
      <c r="N161" s="62" t="s">
        <v>1556</v>
      </c>
      <c r="O161" s="62" t="s">
        <v>2349</v>
      </c>
      <c r="P161" s="30" t="s">
        <v>825</v>
      </c>
      <c r="Q161" s="30" t="s">
        <v>2351</v>
      </c>
      <c r="R161" s="28"/>
      <c r="S161" s="69" t="s">
        <v>2352</v>
      </c>
      <c r="T161" s="69" t="s">
        <v>2352</v>
      </c>
      <c r="U161" s="28">
        <v>0.0</v>
      </c>
      <c r="V161" s="70">
        <v>0.0</v>
      </c>
      <c r="W161" s="30" t="s">
        <v>2353</v>
      </c>
    </row>
    <row r="162">
      <c r="A162" s="67">
        <f>ROW()-ROW(Table_Actions[N])</f>
        <v>5</v>
      </c>
      <c r="B162" s="57" t="s">
        <v>2441</v>
      </c>
      <c r="C162" s="66" t="b">
        <v>0</v>
      </c>
      <c r="D162" s="62" t="s">
        <v>2442</v>
      </c>
      <c r="E162" s="62" t="s">
        <v>97</v>
      </c>
      <c r="F162" s="62" t="s">
        <v>540</v>
      </c>
      <c r="G162" s="62" t="s">
        <v>185</v>
      </c>
      <c r="H162" s="62" t="s">
        <v>2346</v>
      </c>
      <c r="I162" s="68" t="s">
        <v>183</v>
      </c>
      <c r="J162" s="62" t="s">
        <v>1048</v>
      </c>
      <c r="K162" s="62" t="s">
        <v>184</v>
      </c>
      <c r="L162" s="62" t="s">
        <v>889</v>
      </c>
      <c r="M162" s="62" t="s">
        <v>1075</v>
      </c>
      <c r="N162" s="62" t="s">
        <v>1556</v>
      </c>
      <c r="O162" s="62" t="s">
        <v>2349</v>
      </c>
      <c r="P162" s="30" t="s">
        <v>825</v>
      </c>
      <c r="Q162" s="30" t="s">
        <v>2351</v>
      </c>
      <c r="R162" s="28"/>
      <c r="S162" s="69" t="s">
        <v>2352</v>
      </c>
      <c r="T162" s="69" t="s">
        <v>2352</v>
      </c>
      <c r="U162" s="28">
        <v>0.0</v>
      </c>
      <c r="V162" s="70">
        <v>0.0</v>
      </c>
      <c r="W162" s="30" t="s">
        <v>2353</v>
      </c>
    </row>
    <row r="163">
      <c r="A163" s="67">
        <f>ROW()-ROW(Table_Actions[N])</f>
        <v>6</v>
      </c>
      <c r="B163" s="57" t="s">
        <v>2459</v>
      </c>
      <c r="C163" s="66" t="b">
        <v>0</v>
      </c>
      <c r="D163" s="62" t="s">
        <v>2446</v>
      </c>
      <c r="E163" s="62" t="s">
        <v>117</v>
      </c>
      <c r="F163" s="62" t="s">
        <v>48</v>
      </c>
      <c r="G163" s="62" t="s">
        <v>185</v>
      </c>
      <c r="H163" s="62" t="s">
        <v>2346</v>
      </c>
      <c r="I163" s="68" t="s">
        <v>183</v>
      </c>
      <c r="J163" s="62" t="s">
        <v>1048</v>
      </c>
      <c r="K163" s="62" t="s">
        <v>184</v>
      </c>
      <c r="L163" s="62" t="s">
        <v>889</v>
      </c>
      <c r="M163" s="62" t="s">
        <v>1075</v>
      </c>
      <c r="N163" s="62" t="s">
        <v>1556</v>
      </c>
      <c r="O163" s="62" t="s">
        <v>2349</v>
      </c>
      <c r="P163" s="30" t="s">
        <v>825</v>
      </c>
      <c r="Q163" s="30" t="s">
        <v>2351</v>
      </c>
      <c r="R163" s="28"/>
      <c r="S163" s="69" t="s">
        <v>2352</v>
      </c>
      <c r="T163" s="69" t="s">
        <v>2352</v>
      </c>
      <c r="U163" s="28">
        <v>0.0</v>
      </c>
      <c r="V163" s="70">
        <v>0.0</v>
      </c>
      <c r="W163" s="30" t="s">
        <v>2353</v>
      </c>
    </row>
    <row r="164">
      <c r="A164" s="67">
        <f>ROW()-ROW(Table_Actions[N])</f>
        <v>7</v>
      </c>
      <c r="B164" s="57" t="s">
        <v>2482</v>
      </c>
      <c r="C164" s="66" t="b">
        <v>0</v>
      </c>
      <c r="D164" s="62" t="s">
        <v>2446</v>
      </c>
      <c r="E164" s="62" t="s">
        <v>188</v>
      </c>
      <c r="F164" s="62" t="s">
        <v>48</v>
      </c>
      <c r="G164" s="62" t="s">
        <v>185</v>
      </c>
      <c r="H164" s="62" t="s">
        <v>2346</v>
      </c>
      <c r="I164" s="68" t="s">
        <v>183</v>
      </c>
      <c r="J164" s="62" t="s">
        <v>1048</v>
      </c>
      <c r="K164" s="62" t="s">
        <v>184</v>
      </c>
      <c r="L164" s="62" t="s">
        <v>889</v>
      </c>
      <c r="M164" s="62" t="s">
        <v>1075</v>
      </c>
      <c r="N164" s="62" t="s">
        <v>1556</v>
      </c>
      <c r="O164" s="62" t="s">
        <v>2349</v>
      </c>
      <c r="P164" s="30" t="s">
        <v>825</v>
      </c>
      <c r="Q164" s="30" t="s">
        <v>2351</v>
      </c>
      <c r="R164" s="28"/>
      <c r="S164" s="69" t="s">
        <v>2352</v>
      </c>
      <c r="T164" s="69" t="s">
        <v>2352</v>
      </c>
      <c r="U164" s="28">
        <v>0.0</v>
      </c>
      <c r="V164" s="70">
        <v>0.0</v>
      </c>
      <c r="W164" s="30" t="s">
        <v>2353</v>
      </c>
    </row>
    <row r="165">
      <c r="A165" s="67">
        <f>ROW()-ROW(Table_Actions[N])</f>
        <v>8</v>
      </c>
      <c r="B165" s="57" t="s">
        <v>2504</v>
      </c>
      <c r="C165" s="66" t="b">
        <v>0</v>
      </c>
      <c r="D165" s="62" t="s">
        <v>2442</v>
      </c>
      <c r="E165" s="62" t="s">
        <v>97</v>
      </c>
      <c r="F165" s="62" t="s">
        <v>105</v>
      </c>
      <c r="G165" s="62" t="s">
        <v>185</v>
      </c>
      <c r="H165" s="62" t="s">
        <v>2346</v>
      </c>
      <c r="I165" s="68" t="s">
        <v>183</v>
      </c>
      <c r="J165" s="62" t="s">
        <v>1048</v>
      </c>
      <c r="K165" s="62" t="s">
        <v>184</v>
      </c>
      <c r="L165" s="62" t="s">
        <v>889</v>
      </c>
      <c r="M165" s="62" t="s">
        <v>1075</v>
      </c>
      <c r="N165" s="62" t="s">
        <v>1556</v>
      </c>
      <c r="O165" s="62" t="s">
        <v>2349</v>
      </c>
      <c r="P165" s="30" t="s">
        <v>825</v>
      </c>
      <c r="Q165" s="30" t="s">
        <v>2351</v>
      </c>
      <c r="R165" s="28"/>
      <c r="S165" s="69" t="s">
        <v>2352</v>
      </c>
      <c r="T165" s="69" t="s">
        <v>2352</v>
      </c>
      <c r="U165" s="28">
        <v>0.0</v>
      </c>
      <c r="V165" s="70">
        <v>0.0</v>
      </c>
      <c r="W165" s="30" t="s">
        <v>2353</v>
      </c>
    </row>
    <row r="166">
      <c r="A166" s="67">
        <f>ROW()-ROW(Table_Actions[N])</f>
        <v>9</v>
      </c>
      <c r="B166" s="57" t="s">
        <v>2526</v>
      </c>
      <c r="C166" s="66" t="b">
        <v>0</v>
      </c>
      <c r="D166" s="62" t="s">
        <v>2447</v>
      </c>
      <c r="E166" s="62" t="s">
        <v>117</v>
      </c>
      <c r="F166" s="62" t="s">
        <v>48</v>
      </c>
      <c r="G166" s="62" t="s">
        <v>185</v>
      </c>
      <c r="H166" s="62" t="s">
        <v>2346</v>
      </c>
      <c r="I166" s="68" t="s">
        <v>183</v>
      </c>
      <c r="J166" s="62" t="s">
        <v>1048</v>
      </c>
      <c r="K166" s="62" t="s">
        <v>184</v>
      </c>
      <c r="L166" s="62" t="s">
        <v>889</v>
      </c>
      <c r="M166" s="62" t="s">
        <v>1075</v>
      </c>
      <c r="N166" s="62" t="s">
        <v>1556</v>
      </c>
      <c r="O166" s="62" t="s">
        <v>2349</v>
      </c>
      <c r="P166" s="30" t="s">
        <v>825</v>
      </c>
      <c r="Q166" s="30" t="s">
        <v>2351</v>
      </c>
      <c r="R166" s="28"/>
      <c r="S166" s="69" t="s">
        <v>2352</v>
      </c>
      <c r="T166" s="69" t="s">
        <v>2352</v>
      </c>
      <c r="U166" s="28">
        <v>0.0</v>
      </c>
      <c r="V166" s="70">
        <v>0.0</v>
      </c>
      <c r="W166" s="30" t="s">
        <v>2353</v>
      </c>
    </row>
    <row r="167">
      <c r="A167" s="67">
        <f>ROW()-ROW(Table_Actions[N])</f>
        <v>10</v>
      </c>
      <c r="B167" s="57" t="s">
        <v>2546</v>
      </c>
      <c r="C167" s="66" t="b">
        <v>0</v>
      </c>
      <c r="D167" s="62" t="s">
        <v>2447</v>
      </c>
      <c r="E167" s="62" t="s">
        <v>188</v>
      </c>
      <c r="F167" s="62" t="s">
        <v>48</v>
      </c>
      <c r="G167" s="62" t="s">
        <v>185</v>
      </c>
      <c r="H167" s="62" t="s">
        <v>2346</v>
      </c>
      <c r="I167" s="68" t="s">
        <v>183</v>
      </c>
      <c r="J167" s="62" t="s">
        <v>1048</v>
      </c>
      <c r="K167" s="62" t="s">
        <v>184</v>
      </c>
      <c r="L167" s="62" t="s">
        <v>889</v>
      </c>
      <c r="M167" s="62" t="s">
        <v>1075</v>
      </c>
      <c r="N167" s="62" t="s">
        <v>1556</v>
      </c>
      <c r="O167" s="62" t="s">
        <v>2349</v>
      </c>
      <c r="P167" s="30" t="s">
        <v>825</v>
      </c>
      <c r="Q167" s="30" t="s">
        <v>2351</v>
      </c>
      <c r="R167" s="28"/>
      <c r="S167" s="69" t="s">
        <v>2352</v>
      </c>
      <c r="T167" s="69" t="s">
        <v>2352</v>
      </c>
      <c r="U167" s="28">
        <v>0.0</v>
      </c>
      <c r="V167" s="70">
        <v>0.0</v>
      </c>
      <c r="W167" s="30" t="s">
        <v>2353</v>
      </c>
    </row>
    <row r="168">
      <c r="A168" s="67">
        <f>ROW()-ROW(Table_Actions[N])</f>
        <v>11</v>
      </c>
      <c r="B168" s="57" t="s">
        <v>1730</v>
      </c>
      <c r="C168" s="66" t="b">
        <v>0</v>
      </c>
      <c r="D168" s="62" t="s">
        <v>2449</v>
      </c>
      <c r="E168" s="62" t="s">
        <v>117</v>
      </c>
      <c r="F168" s="62" t="s">
        <v>48</v>
      </c>
      <c r="G168" s="62" t="s">
        <v>185</v>
      </c>
      <c r="H168" s="62" t="s">
        <v>2346</v>
      </c>
      <c r="I168" s="68" t="s">
        <v>183</v>
      </c>
      <c r="J168" s="62" t="s">
        <v>1048</v>
      </c>
      <c r="K168" s="62" t="s">
        <v>184</v>
      </c>
      <c r="L168" s="62" t="s">
        <v>889</v>
      </c>
      <c r="M168" s="62" t="s">
        <v>1075</v>
      </c>
      <c r="N168" s="62" t="s">
        <v>1556</v>
      </c>
      <c r="O168" s="62" t="s">
        <v>2349</v>
      </c>
      <c r="P168" s="30" t="s">
        <v>825</v>
      </c>
      <c r="Q168" s="30" t="s">
        <v>2351</v>
      </c>
      <c r="R168" s="28"/>
      <c r="S168" s="69" t="s">
        <v>2352</v>
      </c>
      <c r="T168" s="69" t="s">
        <v>2352</v>
      </c>
      <c r="U168" s="28">
        <v>0.0</v>
      </c>
      <c r="V168" s="70">
        <v>0.0</v>
      </c>
      <c r="W168" s="30" t="s">
        <v>2353</v>
      </c>
    </row>
    <row r="169">
      <c r="A169" s="67">
        <f>ROW()-ROW(Table_Actions[N])</f>
        <v>12</v>
      </c>
      <c r="B169" s="57" t="s">
        <v>2585</v>
      </c>
      <c r="C169" s="66" t="b">
        <v>0</v>
      </c>
      <c r="D169" s="62" t="s">
        <v>2464</v>
      </c>
      <c r="E169" s="62" t="s">
        <v>117</v>
      </c>
      <c r="F169" s="62" t="s">
        <v>48</v>
      </c>
      <c r="G169" s="62" t="s">
        <v>201</v>
      </c>
      <c r="H169" s="62" t="s">
        <v>2346</v>
      </c>
      <c r="I169" s="68" t="s">
        <v>183</v>
      </c>
      <c r="J169" s="62" t="s">
        <v>1048</v>
      </c>
      <c r="K169" s="62" t="s">
        <v>184</v>
      </c>
      <c r="L169" s="62" t="s">
        <v>889</v>
      </c>
      <c r="M169" s="62" t="s">
        <v>1075</v>
      </c>
      <c r="N169" s="62" t="s">
        <v>1556</v>
      </c>
      <c r="O169" s="62" t="s">
        <v>2349</v>
      </c>
      <c r="P169" s="30" t="s">
        <v>825</v>
      </c>
      <c r="Q169" s="30" t="s">
        <v>2351</v>
      </c>
      <c r="R169" s="28"/>
      <c r="S169" s="69" t="s">
        <v>2352</v>
      </c>
      <c r="T169" s="69" t="s">
        <v>2352</v>
      </c>
      <c r="U169" s="28">
        <v>0.0</v>
      </c>
      <c r="V169" s="70">
        <v>0.0</v>
      </c>
      <c r="W169" s="30" t="s">
        <v>2353</v>
      </c>
    </row>
    <row r="170">
      <c r="A170" s="67">
        <f>ROW()-ROW(Table_Actions[N])</f>
        <v>13</v>
      </c>
      <c r="B170" s="57" t="s">
        <v>2603</v>
      </c>
      <c r="C170" s="66" t="b">
        <v>0</v>
      </c>
      <c r="D170" s="62" t="s">
        <v>2446</v>
      </c>
      <c r="E170" s="62" t="s">
        <v>140</v>
      </c>
      <c r="F170" s="62" t="s">
        <v>48</v>
      </c>
      <c r="G170" s="62" t="s">
        <v>185</v>
      </c>
      <c r="H170" s="62" t="s">
        <v>2346</v>
      </c>
      <c r="I170" s="68" t="s">
        <v>183</v>
      </c>
      <c r="J170" s="62" t="s">
        <v>1048</v>
      </c>
      <c r="K170" s="62" t="s">
        <v>184</v>
      </c>
      <c r="L170" s="62" t="s">
        <v>889</v>
      </c>
      <c r="M170" s="62" t="s">
        <v>1075</v>
      </c>
      <c r="N170" s="62" t="s">
        <v>1556</v>
      </c>
      <c r="O170" s="62" t="s">
        <v>2349</v>
      </c>
      <c r="P170" s="30" t="s">
        <v>825</v>
      </c>
      <c r="Q170" s="30" t="s">
        <v>2351</v>
      </c>
      <c r="R170" s="28"/>
      <c r="S170" s="69" t="s">
        <v>2352</v>
      </c>
      <c r="T170" s="69" t="s">
        <v>2352</v>
      </c>
      <c r="U170" s="28">
        <v>0.0</v>
      </c>
      <c r="V170" s="70">
        <v>0.0</v>
      </c>
      <c r="W170" s="30" t="s">
        <v>2353</v>
      </c>
    </row>
    <row r="171">
      <c r="A171" s="67">
        <f>ROW()-ROW(Table_Actions[N])</f>
        <v>14</v>
      </c>
      <c r="B171" s="57" t="s">
        <v>2623</v>
      </c>
      <c r="C171" s="66" t="b">
        <v>0</v>
      </c>
      <c r="D171" s="62" t="s">
        <v>2447</v>
      </c>
      <c r="E171" s="62" t="s">
        <v>132</v>
      </c>
      <c r="F171" s="62" t="s">
        <v>48</v>
      </c>
      <c r="G171" s="62" t="s">
        <v>185</v>
      </c>
      <c r="H171" s="62" t="s">
        <v>2346</v>
      </c>
      <c r="I171" s="68" t="s">
        <v>183</v>
      </c>
      <c r="J171" s="62" t="s">
        <v>1048</v>
      </c>
      <c r="K171" s="62" t="s">
        <v>184</v>
      </c>
      <c r="L171" s="62" t="s">
        <v>889</v>
      </c>
      <c r="M171" s="62" t="s">
        <v>1075</v>
      </c>
      <c r="N171" s="62" t="s">
        <v>1556</v>
      </c>
      <c r="O171" s="62" t="s">
        <v>2349</v>
      </c>
      <c r="P171" s="30" t="s">
        <v>825</v>
      </c>
      <c r="Q171" s="30" t="s">
        <v>2351</v>
      </c>
      <c r="R171" s="28"/>
      <c r="S171" s="69" t="s">
        <v>2352</v>
      </c>
      <c r="T171" s="69" t="s">
        <v>2352</v>
      </c>
      <c r="U171" s="28">
        <v>0.0</v>
      </c>
      <c r="V171" s="70">
        <v>0.0</v>
      </c>
      <c r="W171" s="30" t="s">
        <v>2353</v>
      </c>
    </row>
    <row r="172">
      <c r="A172" s="67">
        <f>ROW()-ROW(Table_Actions[N])</f>
        <v>15</v>
      </c>
      <c r="B172" s="57" t="s">
        <v>1759</v>
      </c>
      <c r="C172" s="66" t="b">
        <v>0</v>
      </c>
      <c r="D172" s="62" t="s">
        <v>2446</v>
      </c>
      <c r="E172" s="62" t="s">
        <v>231</v>
      </c>
      <c r="F172" s="62" t="s">
        <v>48</v>
      </c>
      <c r="G172" s="62" t="s">
        <v>185</v>
      </c>
      <c r="H172" s="62" t="s">
        <v>2346</v>
      </c>
      <c r="I172" s="68" t="s">
        <v>183</v>
      </c>
      <c r="J172" s="62" t="s">
        <v>1048</v>
      </c>
      <c r="K172" s="62" t="s">
        <v>184</v>
      </c>
      <c r="L172" s="62" t="s">
        <v>889</v>
      </c>
      <c r="M172" s="62" t="s">
        <v>1075</v>
      </c>
      <c r="N172" s="62" t="s">
        <v>1556</v>
      </c>
      <c r="O172" s="62" t="s">
        <v>2349</v>
      </c>
      <c r="P172" s="30" t="s">
        <v>825</v>
      </c>
      <c r="Q172" s="30" t="s">
        <v>2351</v>
      </c>
      <c r="R172" s="28"/>
      <c r="S172" s="69" t="s">
        <v>2352</v>
      </c>
      <c r="T172" s="69" t="s">
        <v>2352</v>
      </c>
      <c r="U172" s="28">
        <v>0.0</v>
      </c>
      <c r="V172" s="70">
        <v>0.0</v>
      </c>
      <c r="W172" s="30" t="s">
        <v>2353</v>
      </c>
    </row>
    <row r="173">
      <c r="A173" s="67">
        <f>ROW()-ROW(Table_Actions[N])</f>
        <v>16</v>
      </c>
      <c r="B173" s="57" t="s">
        <v>2658</v>
      </c>
      <c r="C173" s="66" t="b">
        <v>0</v>
      </c>
      <c r="D173" s="62" t="s">
        <v>2446</v>
      </c>
      <c r="E173" s="62" t="s">
        <v>132</v>
      </c>
      <c r="F173" s="62" t="s">
        <v>48</v>
      </c>
      <c r="G173" s="62" t="s">
        <v>185</v>
      </c>
      <c r="H173" s="62" t="s">
        <v>2346</v>
      </c>
      <c r="I173" s="68" t="s">
        <v>183</v>
      </c>
      <c r="J173" s="62" t="s">
        <v>1048</v>
      </c>
      <c r="K173" s="62" t="s">
        <v>184</v>
      </c>
      <c r="L173" s="62" t="s">
        <v>889</v>
      </c>
      <c r="M173" s="62" t="s">
        <v>1075</v>
      </c>
      <c r="N173" s="62" t="s">
        <v>1556</v>
      </c>
      <c r="O173" s="62" t="s">
        <v>2349</v>
      </c>
      <c r="P173" s="30" t="s">
        <v>825</v>
      </c>
      <c r="Q173" s="30" t="s">
        <v>2351</v>
      </c>
      <c r="R173" s="28"/>
      <c r="S173" s="69" t="s">
        <v>2352</v>
      </c>
      <c r="T173" s="69" t="s">
        <v>2352</v>
      </c>
      <c r="U173" s="28">
        <v>0.0</v>
      </c>
      <c r="V173" s="70">
        <v>0.0</v>
      </c>
      <c r="W173" s="30" t="s">
        <v>2353</v>
      </c>
    </row>
    <row r="174">
      <c r="A174" s="67">
        <f>ROW()-ROW(Table_Actions[N])</f>
        <v>17</v>
      </c>
      <c r="B174" s="57" t="s">
        <v>2666</v>
      </c>
      <c r="C174" s="66" t="b">
        <v>0</v>
      </c>
      <c r="D174" s="62" t="s">
        <v>2447</v>
      </c>
      <c r="E174" s="62" t="s">
        <v>140</v>
      </c>
      <c r="F174" s="62" t="s">
        <v>48</v>
      </c>
      <c r="G174" s="62" t="s">
        <v>185</v>
      </c>
      <c r="H174" s="62" t="s">
        <v>2346</v>
      </c>
      <c r="I174" s="68" t="s">
        <v>183</v>
      </c>
      <c r="J174" s="62" t="s">
        <v>1048</v>
      </c>
      <c r="K174" s="62" t="s">
        <v>184</v>
      </c>
      <c r="L174" s="62" t="s">
        <v>889</v>
      </c>
      <c r="M174" s="62" t="s">
        <v>1075</v>
      </c>
      <c r="N174" s="62" t="s">
        <v>1556</v>
      </c>
      <c r="O174" s="62" t="s">
        <v>2349</v>
      </c>
      <c r="P174" s="30" t="s">
        <v>825</v>
      </c>
      <c r="Q174" s="30" t="s">
        <v>2351</v>
      </c>
      <c r="R174" s="28"/>
      <c r="S174" s="69" t="s">
        <v>2352</v>
      </c>
      <c r="T174" s="69" t="s">
        <v>2352</v>
      </c>
      <c r="U174" s="28">
        <v>0.0</v>
      </c>
      <c r="V174" s="70">
        <v>0.0</v>
      </c>
      <c r="W174" s="30" t="s">
        <v>2353</v>
      </c>
    </row>
    <row r="175">
      <c r="A175" s="67">
        <f>ROW()-ROW(Table_Actions[N])</f>
        <v>18</v>
      </c>
      <c r="B175" s="57" t="s">
        <v>1783</v>
      </c>
      <c r="C175" s="66" t="b">
        <v>0</v>
      </c>
      <c r="D175" s="62" t="s">
        <v>2447</v>
      </c>
      <c r="E175" s="62" t="s">
        <v>231</v>
      </c>
      <c r="F175" s="62" t="s">
        <v>48</v>
      </c>
      <c r="G175" s="62" t="s">
        <v>185</v>
      </c>
      <c r="H175" s="62" t="s">
        <v>2346</v>
      </c>
      <c r="I175" s="68" t="s">
        <v>183</v>
      </c>
      <c r="J175" s="62" t="s">
        <v>1048</v>
      </c>
      <c r="K175" s="62" t="s">
        <v>184</v>
      </c>
      <c r="L175" s="62" t="s">
        <v>889</v>
      </c>
      <c r="M175" s="62" t="s">
        <v>1075</v>
      </c>
      <c r="N175" s="62" t="s">
        <v>1556</v>
      </c>
      <c r="O175" s="62" t="s">
        <v>2349</v>
      </c>
      <c r="P175" s="30" t="s">
        <v>825</v>
      </c>
      <c r="Q175" s="30" t="s">
        <v>2351</v>
      </c>
      <c r="R175" s="28"/>
      <c r="S175" s="69" t="s">
        <v>2352</v>
      </c>
      <c r="T175" s="69" t="s">
        <v>2352</v>
      </c>
      <c r="U175" s="28">
        <v>0.0</v>
      </c>
      <c r="V175" s="70">
        <v>0.0</v>
      </c>
      <c r="W175" s="30" t="s">
        <v>2353</v>
      </c>
    </row>
    <row r="176">
      <c r="A176" s="67">
        <f>ROW()-ROW(Table_Actions[N])</f>
        <v>19</v>
      </c>
      <c r="B176" s="57" t="s">
        <v>2680</v>
      </c>
      <c r="C176" s="66" t="b">
        <v>0</v>
      </c>
      <c r="D176" s="62" t="s">
        <v>2424</v>
      </c>
      <c r="E176" s="62" t="s">
        <v>42</v>
      </c>
      <c r="F176" s="62" t="s">
        <v>48</v>
      </c>
      <c r="G176" s="62" t="s">
        <v>185</v>
      </c>
      <c r="H176" s="62" t="s">
        <v>2682</v>
      </c>
      <c r="I176" s="68" t="s">
        <v>183</v>
      </c>
      <c r="J176" s="62" t="s">
        <v>1048</v>
      </c>
      <c r="K176" s="62" t="s">
        <v>184</v>
      </c>
      <c r="L176" s="62" t="s">
        <v>889</v>
      </c>
      <c r="M176" s="62" t="s">
        <v>1075</v>
      </c>
      <c r="N176" s="62" t="s">
        <v>1556</v>
      </c>
      <c r="O176" s="62" t="s">
        <v>2349</v>
      </c>
      <c r="P176" s="30" t="s">
        <v>825</v>
      </c>
      <c r="Q176" s="30" t="s">
        <v>2351</v>
      </c>
      <c r="R176" s="28"/>
      <c r="S176" s="69" t="s">
        <v>2352</v>
      </c>
      <c r="T176" s="69" t="s">
        <v>2352</v>
      </c>
      <c r="U176" s="28">
        <v>0.0</v>
      </c>
      <c r="V176" s="70">
        <v>0.0</v>
      </c>
      <c r="W176" s="30" t="s">
        <v>2353</v>
      </c>
    </row>
    <row r="177">
      <c r="A177" s="67">
        <f>ROW()-ROW(Table_Actions[N])</f>
        <v>20</v>
      </c>
      <c r="B177" s="57" t="s">
        <v>1798</v>
      </c>
      <c r="C177" s="66" t="b">
        <v>0</v>
      </c>
      <c r="D177" s="62" t="s">
        <v>2449</v>
      </c>
      <c r="E177" s="62" t="s">
        <v>231</v>
      </c>
      <c r="F177" s="62" t="s">
        <v>48</v>
      </c>
      <c r="G177" s="62" t="s">
        <v>185</v>
      </c>
      <c r="H177" s="62" t="s">
        <v>2346</v>
      </c>
      <c r="I177" s="68" t="s">
        <v>183</v>
      </c>
      <c r="J177" s="62" t="s">
        <v>1048</v>
      </c>
      <c r="K177" s="62" t="s">
        <v>184</v>
      </c>
      <c r="L177" s="62" t="s">
        <v>889</v>
      </c>
      <c r="M177" s="62" t="s">
        <v>1075</v>
      </c>
      <c r="N177" s="62" t="s">
        <v>1556</v>
      </c>
      <c r="O177" s="62" t="s">
        <v>2349</v>
      </c>
      <c r="P177" s="30" t="s">
        <v>825</v>
      </c>
      <c r="Q177" s="30" t="s">
        <v>2351</v>
      </c>
      <c r="R177" s="28"/>
      <c r="S177" s="69" t="s">
        <v>2352</v>
      </c>
      <c r="T177" s="69" t="s">
        <v>2352</v>
      </c>
      <c r="U177" s="28">
        <v>0.0</v>
      </c>
      <c r="V177" s="70">
        <v>0.0</v>
      </c>
      <c r="W177" s="30" t="s">
        <v>2353</v>
      </c>
    </row>
    <row r="178">
      <c r="A178" s="67">
        <f>ROW()-ROW(Table_Actions[N])</f>
        <v>21</v>
      </c>
      <c r="B178" s="57" t="s">
        <v>2707</v>
      </c>
      <c r="C178" s="66" t="b">
        <v>0</v>
      </c>
      <c r="D178" s="62" t="s">
        <v>2464</v>
      </c>
      <c r="E178" s="62" t="s">
        <v>231</v>
      </c>
      <c r="F178" s="62" t="s">
        <v>48</v>
      </c>
      <c r="G178" s="62" t="s">
        <v>201</v>
      </c>
      <c r="H178" s="62" t="s">
        <v>2346</v>
      </c>
      <c r="I178" s="68" t="s">
        <v>183</v>
      </c>
      <c r="J178" s="62" t="s">
        <v>1048</v>
      </c>
      <c r="K178" s="62" t="s">
        <v>184</v>
      </c>
      <c r="L178" s="62" t="s">
        <v>889</v>
      </c>
      <c r="M178" s="62" t="s">
        <v>1075</v>
      </c>
      <c r="N178" s="62" t="s">
        <v>1556</v>
      </c>
      <c r="O178" s="62" t="s">
        <v>2349</v>
      </c>
      <c r="P178" s="30" t="s">
        <v>825</v>
      </c>
      <c r="Q178" s="30" t="s">
        <v>2351</v>
      </c>
      <c r="R178" s="28"/>
      <c r="S178" s="69" t="s">
        <v>2352</v>
      </c>
      <c r="T178" s="69" t="s">
        <v>2352</v>
      </c>
      <c r="U178" s="28">
        <v>0.0</v>
      </c>
      <c r="V178" s="70">
        <v>0.0</v>
      </c>
      <c r="W178" s="30" t="s">
        <v>2353</v>
      </c>
    </row>
    <row r="179">
      <c r="A179" s="67">
        <f>ROW()-ROW(Table_Actions[N])</f>
        <v>22</v>
      </c>
      <c r="B179" s="57" t="s">
        <v>411</v>
      </c>
      <c r="C179" s="66" t="b">
        <v>0</v>
      </c>
      <c r="D179" s="62" t="s">
        <v>2474</v>
      </c>
      <c r="E179" s="62" t="s">
        <v>42</v>
      </c>
      <c r="F179" s="62" t="s">
        <v>48</v>
      </c>
      <c r="G179" s="62" t="s">
        <v>185</v>
      </c>
      <c r="H179" s="62" t="s">
        <v>2346</v>
      </c>
      <c r="I179" s="68" t="s">
        <v>183</v>
      </c>
      <c r="J179" s="62" t="s">
        <v>1055</v>
      </c>
      <c r="K179" s="62" t="s">
        <v>184</v>
      </c>
      <c r="L179" s="62" t="s">
        <v>889</v>
      </c>
      <c r="M179" s="62" t="s">
        <v>1075</v>
      </c>
      <c r="N179" s="62" t="s">
        <v>1556</v>
      </c>
      <c r="O179" s="62" t="s">
        <v>2349</v>
      </c>
      <c r="P179" s="30" t="s">
        <v>825</v>
      </c>
      <c r="Q179" s="30" t="s">
        <v>2351</v>
      </c>
      <c r="R179" s="28"/>
      <c r="S179" s="69" t="s">
        <v>2352</v>
      </c>
      <c r="T179" s="69" t="s">
        <v>2352</v>
      </c>
      <c r="U179" s="28">
        <v>0.0</v>
      </c>
      <c r="V179" s="70">
        <v>0.0</v>
      </c>
      <c r="W179" s="30" t="s">
        <v>2353</v>
      </c>
    </row>
    <row r="180">
      <c r="A180" s="67">
        <f>ROW()-ROW(Table_Actions[N])</f>
        <v>23</v>
      </c>
      <c r="B180" s="57" t="s">
        <v>1811</v>
      </c>
      <c r="C180" s="66" t="b">
        <v>0</v>
      </c>
      <c r="D180" s="62" t="s">
        <v>2446</v>
      </c>
      <c r="E180" s="62" t="s">
        <v>156</v>
      </c>
      <c r="F180" s="79" t="s">
        <v>48</v>
      </c>
      <c r="G180" s="79" t="s">
        <v>185</v>
      </c>
      <c r="H180" s="79" t="s">
        <v>2346</v>
      </c>
      <c r="I180" s="80" t="s">
        <v>183</v>
      </c>
      <c r="J180" s="79" t="s">
        <v>1048</v>
      </c>
      <c r="K180" s="79" t="s">
        <v>184</v>
      </c>
      <c r="L180" s="62" t="s">
        <v>889</v>
      </c>
      <c r="M180" s="62" t="s">
        <v>1075</v>
      </c>
      <c r="N180" s="62" t="s">
        <v>1556</v>
      </c>
      <c r="O180" s="62" t="s">
        <v>2349</v>
      </c>
      <c r="P180" s="30" t="s">
        <v>825</v>
      </c>
      <c r="Q180" s="30" t="s">
        <v>2351</v>
      </c>
      <c r="R180" s="28"/>
      <c r="S180" s="69" t="s">
        <v>2352</v>
      </c>
      <c r="T180" s="69" t="s">
        <v>2352</v>
      </c>
      <c r="U180" s="28">
        <v>0.0</v>
      </c>
      <c r="V180" s="70">
        <v>0.0</v>
      </c>
      <c r="W180" s="30" t="s">
        <v>2353</v>
      </c>
    </row>
    <row r="181">
      <c r="A181" s="67">
        <f>ROW()-ROW(Table_Actions[N])</f>
        <v>24</v>
      </c>
      <c r="B181" s="57" t="s">
        <v>1824</v>
      </c>
      <c r="C181" s="66" t="b">
        <v>0</v>
      </c>
      <c r="D181" s="62" t="s">
        <v>2446</v>
      </c>
      <c r="E181" s="62" t="s">
        <v>289</v>
      </c>
      <c r="F181" s="62" t="s">
        <v>48</v>
      </c>
      <c r="G181" s="62" t="s">
        <v>185</v>
      </c>
      <c r="H181" s="62" t="s">
        <v>2346</v>
      </c>
      <c r="I181" s="68" t="s">
        <v>183</v>
      </c>
      <c r="J181" s="62" t="s">
        <v>1048</v>
      </c>
      <c r="K181" s="62" t="s">
        <v>184</v>
      </c>
      <c r="L181" s="62" t="s">
        <v>889</v>
      </c>
      <c r="M181" s="62" t="s">
        <v>1075</v>
      </c>
      <c r="N181" s="62" t="s">
        <v>1556</v>
      </c>
      <c r="O181" s="62" t="s">
        <v>2349</v>
      </c>
      <c r="P181" s="30" t="s">
        <v>825</v>
      </c>
      <c r="Q181" s="30" t="s">
        <v>2351</v>
      </c>
      <c r="R181" s="28"/>
      <c r="S181" s="69" t="s">
        <v>2352</v>
      </c>
      <c r="T181" s="69" t="s">
        <v>2352</v>
      </c>
      <c r="U181" s="28">
        <v>0.0</v>
      </c>
      <c r="V181" s="70">
        <v>0.0</v>
      </c>
      <c r="W181" s="30" t="s">
        <v>2353</v>
      </c>
    </row>
    <row r="182">
      <c r="A182" s="67">
        <f>ROW()-ROW(Table_Actions[N])</f>
        <v>25</v>
      </c>
      <c r="B182" s="57" t="s">
        <v>1837</v>
      </c>
      <c r="C182" s="66" t="b">
        <v>0</v>
      </c>
      <c r="D182" s="62" t="s">
        <v>2446</v>
      </c>
      <c r="E182" s="62" t="s">
        <v>343</v>
      </c>
      <c r="F182" s="62" t="s">
        <v>48</v>
      </c>
      <c r="G182" s="62" t="s">
        <v>185</v>
      </c>
      <c r="H182" s="62" t="s">
        <v>2346</v>
      </c>
      <c r="I182" s="68" t="s">
        <v>183</v>
      </c>
      <c r="J182" s="62" t="s">
        <v>1048</v>
      </c>
      <c r="K182" s="62" t="s">
        <v>184</v>
      </c>
      <c r="L182" s="62" t="s">
        <v>889</v>
      </c>
      <c r="M182" s="62" t="s">
        <v>1075</v>
      </c>
      <c r="N182" s="62" t="s">
        <v>1556</v>
      </c>
      <c r="O182" s="62" t="s">
        <v>2349</v>
      </c>
      <c r="P182" s="30" t="s">
        <v>825</v>
      </c>
      <c r="Q182" s="30" t="s">
        <v>2351</v>
      </c>
      <c r="R182" s="28"/>
      <c r="S182" s="69" t="s">
        <v>2352</v>
      </c>
      <c r="T182" s="69" t="s">
        <v>2352</v>
      </c>
      <c r="U182" s="28">
        <v>0.0</v>
      </c>
      <c r="V182" s="70">
        <v>0.0</v>
      </c>
      <c r="W182" s="30" t="s">
        <v>2353</v>
      </c>
    </row>
    <row r="183">
      <c r="A183" s="67">
        <f>ROW()-ROW(Table_Actions[N])</f>
        <v>26</v>
      </c>
      <c r="B183" s="57" t="s">
        <v>1853</v>
      </c>
      <c r="C183" s="66" t="b">
        <v>0</v>
      </c>
      <c r="D183" s="62" t="s">
        <v>2446</v>
      </c>
      <c r="E183" s="62" t="s">
        <v>368</v>
      </c>
      <c r="F183" s="62" t="s">
        <v>48</v>
      </c>
      <c r="G183" s="62" t="s">
        <v>185</v>
      </c>
      <c r="H183" s="62" t="s">
        <v>2346</v>
      </c>
      <c r="I183" s="68" t="s">
        <v>183</v>
      </c>
      <c r="J183" s="62" t="s">
        <v>1048</v>
      </c>
      <c r="K183" s="62" t="s">
        <v>184</v>
      </c>
      <c r="L183" s="62" t="s">
        <v>889</v>
      </c>
      <c r="M183" s="62" t="s">
        <v>1075</v>
      </c>
      <c r="N183" s="62" t="s">
        <v>1556</v>
      </c>
      <c r="O183" s="62" t="s">
        <v>2349</v>
      </c>
      <c r="P183" s="30" t="s">
        <v>825</v>
      </c>
      <c r="Q183" s="30" t="s">
        <v>2351</v>
      </c>
      <c r="R183" s="28"/>
      <c r="S183" s="69" t="s">
        <v>2352</v>
      </c>
      <c r="T183" s="69" t="s">
        <v>2352</v>
      </c>
      <c r="U183" s="28">
        <v>0.0</v>
      </c>
      <c r="V183" s="70">
        <v>0.0</v>
      </c>
      <c r="W183" s="30" t="s">
        <v>2353</v>
      </c>
    </row>
    <row r="184">
      <c r="A184" s="67">
        <f>ROW()-ROW(Table_Actions[N])</f>
        <v>27</v>
      </c>
      <c r="B184" s="57" t="s">
        <v>2787</v>
      </c>
      <c r="C184" s="66" t="b">
        <v>0</v>
      </c>
      <c r="D184" s="62" t="s">
        <v>2424</v>
      </c>
      <c r="E184" s="62" t="s">
        <v>42</v>
      </c>
      <c r="F184" s="62" t="s">
        <v>48</v>
      </c>
      <c r="G184" s="62" t="s">
        <v>185</v>
      </c>
      <c r="H184" s="62" t="s">
        <v>2786</v>
      </c>
      <c r="I184" s="68" t="s">
        <v>183</v>
      </c>
      <c r="J184" s="62" t="s">
        <v>1048</v>
      </c>
      <c r="K184" s="62" t="s">
        <v>184</v>
      </c>
      <c r="L184" s="62" t="s">
        <v>889</v>
      </c>
      <c r="M184" s="62" t="s">
        <v>1075</v>
      </c>
      <c r="N184" s="62" t="s">
        <v>1556</v>
      </c>
      <c r="O184" s="62" t="s">
        <v>2349</v>
      </c>
      <c r="P184" s="30" t="s">
        <v>825</v>
      </c>
      <c r="Q184" s="30" t="s">
        <v>2351</v>
      </c>
      <c r="R184" s="28"/>
      <c r="S184" s="69" t="s">
        <v>2352</v>
      </c>
      <c r="T184" s="69" t="s">
        <v>2352</v>
      </c>
      <c r="U184" s="28">
        <v>0.0</v>
      </c>
      <c r="V184" s="70">
        <v>0.0</v>
      </c>
      <c r="W184" s="30" t="s">
        <v>2353</v>
      </c>
    </row>
    <row r="185">
      <c r="A185" s="67">
        <f>ROW()-ROW(Table_Actions[N])</f>
        <v>28</v>
      </c>
      <c r="B185" s="57" t="s">
        <v>1869</v>
      </c>
      <c r="C185" s="66" t="b">
        <v>0</v>
      </c>
      <c r="D185" s="62" t="s">
        <v>2449</v>
      </c>
      <c r="E185" s="62" t="s">
        <v>318</v>
      </c>
      <c r="F185" s="62" t="s">
        <v>48</v>
      </c>
      <c r="G185" s="62" t="s">
        <v>185</v>
      </c>
      <c r="H185" s="62" t="s">
        <v>2346</v>
      </c>
      <c r="I185" s="68" t="s">
        <v>183</v>
      </c>
      <c r="J185" s="62" t="s">
        <v>1048</v>
      </c>
      <c r="K185" s="62" t="s">
        <v>184</v>
      </c>
      <c r="L185" s="62" t="s">
        <v>889</v>
      </c>
      <c r="M185" s="62" t="s">
        <v>1075</v>
      </c>
      <c r="N185" s="62" t="s">
        <v>1556</v>
      </c>
      <c r="O185" s="62" t="s">
        <v>2349</v>
      </c>
      <c r="P185" s="30" t="s">
        <v>825</v>
      </c>
      <c r="Q185" s="30" t="s">
        <v>2351</v>
      </c>
      <c r="R185" s="28"/>
      <c r="S185" s="69" t="s">
        <v>2352</v>
      </c>
      <c r="T185" s="69" t="s">
        <v>2352</v>
      </c>
      <c r="U185" s="28">
        <v>0.0</v>
      </c>
      <c r="V185" s="70">
        <v>0.0</v>
      </c>
      <c r="W185" s="30" t="s">
        <v>2353</v>
      </c>
    </row>
    <row r="186">
      <c r="A186" s="67">
        <f>ROW()-ROW(Table_Actions[N])</f>
        <v>29</v>
      </c>
      <c r="B186" s="57" t="s">
        <v>2804</v>
      </c>
      <c r="C186" s="66" t="b">
        <v>0</v>
      </c>
      <c r="D186" s="62" t="s">
        <v>2464</v>
      </c>
      <c r="E186" s="62" t="s">
        <v>318</v>
      </c>
      <c r="F186" s="62" t="s">
        <v>48</v>
      </c>
      <c r="G186" s="62" t="s">
        <v>201</v>
      </c>
      <c r="H186" s="62" t="s">
        <v>2346</v>
      </c>
      <c r="I186" s="68" t="s">
        <v>183</v>
      </c>
      <c r="J186" s="62" t="s">
        <v>1048</v>
      </c>
      <c r="K186" s="62" t="s">
        <v>184</v>
      </c>
      <c r="L186" s="62" t="s">
        <v>889</v>
      </c>
      <c r="M186" s="62" t="s">
        <v>1075</v>
      </c>
      <c r="N186" s="62" t="s">
        <v>1556</v>
      </c>
      <c r="O186" s="62" t="s">
        <v>2349</v>
      </c>
      <c r="P186" s="30" t="s">
        <v>825</v>
      </c>
      <c r="Q186" s="30" t="s">
        <v>2351</v>
      </c>
      <c r="R186" s="28"/>
      <c r="S186" s="69" t="s">
        <v>2352</v>
      </c>
      <c r="T186" s="69" t="s">
        <v>2352</v>
      </c>
      <c r="U186" s="28">
        <v>0.0</v>
      </c>
      <c r="V186" s="70">
        <v>0.0</v>
      </c>
      <c r="W186" s="30" t="s">
        <v>2353</v>
      </c>
    </row>
    <row r="187">
      <c r="A187" s="67">
        <f>ROW()-ROW(Table_Actions[N])</f>
        <v>30</v>
      </c>
      <c r="B187" s="57" t="s">
        <v>1881</v>
      </c>
      <c r="C187" s="66" t="b">
        <v>0</v>
      </c>
      <c r="D187" s="62" t="s">
        <v>2446</v>
      </c>
      <c r="E187" s="62" t="s">
        <v>387</v>
      </c>
      <c r="F187" s="62" t="s">
        <v>48</v>
      </c>
      <c r="G187" s="62" t="s">
        <v>185</v>
      </c>
      <c r="H187" s="62" t="s">
        <v>2346</v>
      </c>
      <c r="I187" s="68" t="s">
        <v>183</v>
      </c>
      <c r="J187" s="62" t="s">
        <v>1048</v>
      </c>
      <c r="K187" s="62" t="s">
        <v>184</v>
      </c>
      <c r="L187" s="62" t="s">
        <v>889</v>
      </c>
      <c r="M187" s="62" t="s">
        <v>1075</v>
      </c>
      <c r="N187" s="62" t="s">
        <v>1556</v>
      </c>
      <c r="O187" s="62" t="s">
        <v>2349</v>
      </c>
      <c r="P187" s="30" t="s">
        <v>825</v>
      </c>
      <c r="Q187" s="30" t="s">
        <v>2351</v>
      </c>
      <c r="R187" s="28"/>
      <c r="S187" s="69" t="s">
        <v>2352</v>
      </c>
      <c r="T187" s="69" t="s">
        <v>2352</v>
      </c>
      <c r="U187" s="28">
        <v>0.0</v>
      </c>
      <c r="V187" s="70">
        <v>0.0</v>
      </c>
      <c r="W187" s="30" t="s">
        <v>2353</v>
      </c>
    </row>
    <row r="188">
      <c r="A188" s="67">
        <f>ROW()-ROW(Table_Actions[N])</f>
        <v>31</v>
      </c>
      <c r="B188" s="57" t="s">
        <v>2814</v>
      </c>
      <c r="C188" s="66" t="b">
        <v>0</v>
      </c>
      <c r="D188" s="62" t="s">
        <v>2424</v>
      </c>
      <c r="E188" s="62" t="s">
        <v>42</v>
      </c>
      <c r="F188" s="62" t="s">
        <v>48</v>
      </c>
      <c r="G188" s="62" t="s">
        <v>185</v>
      </c>
      <c r="H188" s="62" t="s">
        <v>2790</v>
      </c>
      <c r="I188" s="68" t="s">
        <v>183</v>
      </c>
      <c r="J188" s="62" t="s">
        <v>1048</v>
      </c>
      <c r="K188" s="62" t="s">
        <v>184</v>
      </c>
      <c r="L188" s="62" t="s">
        <v>889</v>
      </c>
      <c r="M188" s="62" t="s">
        <v>1075</v>
      </c>
      <c r="N188" s="62" t="s">
        <v>1556</v>
      </c>
      <c r="O188" s="62" t="s">
        <v>2349</v>
      </c>
      <c r="P188" s="30" t="s">
        <v>825</v>
      </c>
      <c r="Q188" s="30" t="s">
        <v>2351</v>
      </c>
      <c r="R188" s="28"/>
      <c r="S188" s="69" t="s">
        <v>2352</v>
      </c>
      <c r="T188" s="69" t="s">
        <v>2352</v>
      </c>
      <c r="U188" s="28">
        <v>0.0</v>
      </c>
      <c r="V188" s="70">
        <v>0.0</v>
      </c>
      <c r="W188" s="30" t="s">
        <v>2353</v>
      </c>
    </row>
    <row r="189">
      <c r="A189" s="67">
        <f>ROW()-ROW(Table_Actions[N])</f>
        <v>32</v>
      </c>
      <c r="B189" s="57" t="s">
        <v>1896</v>
      </c>
      <c r="C189" s="66" t="b">
        <v>0</v>
      </c>
      <c r="D189" s="62" t="s">
        <v>2446</v>
      </c>
      <c r="E189" s="62" t="s">
        <v>398</v>
      </c>
      <c r="F189" s="62" t="s">
        <v>48</v>
      </c>
      <c r="G189" s="62" t="s">
        <v>185</v>
      </c>
      <c r="H189" s="62" t="s">
        <v>2346</v>
      </c>
      <c r="I189" s="68" t="s">
        <v>183</v>
      </c>
      <c r="J189" s="62" t="s">
        <v>1048</v>
      </c>
      <c r="K189" s="62" t="s">
        <v>184</v>
      </c>
      <c r="L189" s="62" t="s">
        <v>889</v>
      </c>
      <c r="M189" s="62" t="s">
        <v>1075</v>
      </c>
      <c r="N189" s="62" t="s">
        <v>1556</v>
      </c>
      <c r="O189" s="62" t="s">
        <v>2349</v>
      </c>
      <c r="P189" s="30" t="s">
        <v>825</v>
      </c>
      <c r="Q189" s="30" t="s">
        <v>2351</v>
      </c>
      <c r="R189" s="28"/>
      <c r="S189" s="69" t="s">
        <v>2352</v>
      </c>
      <c r="T189" s="69" t="s">
        <v>2352</v>
      </c>
      <c r="U189" s="28">
        <v>0.0</v>
      </c>
      <c r="V189" s="70">
        <v>0.0</v>
      </c>
      <c r="W189" s="30" t="s">
        <v>2353</v>
      </c>
    </row>
    <row r="190">
      <c r="A190" s="67">
        <f>ROW()-ROW(Table_Actions[N])</f>
        <v>33</v>
      </c>
      <c r="B190" s="57" t="s">
        <v>1911</v>
      </c>
      <c r="C190" s="66" t="b">
        <v>0</v>
      </c>
      <c r="D190" s="62" t="s">
        <v>2447</v>
      </c>
      <c r="E190" s="62" t="s">
        <v>398</v>
      </c>
      <c r="F190" s="62" t="s">
        <v>48</v>
      </c>
      <c r="G190" s="62" t="s">
        <v>185</v>
      </c>
      <c r="H190" s="62" t="s">
        <v>2346</v>
      </c>
      <c r="I190" s="68" t="s">
        <v>183</v>
      </c>
      <c r="J190" s="62" t="s">
        <v>1048</v>
      </c>
      <c r="K190" s="62" t="s">
        <v>184</v>
      </c>
      <c r="L190" s="62" t="s">
        <v>889</v>
      </c>
      <c r="M190" s="62" t="s">
        <v>1075</v>
      </c>
      <c r="N190" s="62" t="s">
        <v>1556</v>
      </c>
      <c r="O190" s="62" t="s">
        <v>2349</v>
      </c>
      <c r="P190" s="30" t="s">
        <v>825</v>
      </c>
      <c r="Q190" s="30" t="s">
        <v>2351</v>
      </c>
      <c r="R190" s="28"/>
      <c r="S190" s="69" t="s">
        <v>2352</v>
      </c>
      <c r="T190" s="69" t="s">
        <v>2352</v>
      </c>
      <c r="U190" s="28">
        <v>0.0</v>
      </c>
      <c r="V190" s="70">
        <v>0.0</v>
      </c>
      <c r="W190" s="30" t="s">
        <v>2353</v>
      </c>
    </row>
    <row r="191">
      <c r="A191" s="67">
        <f>ROW()-ROW(Table_Actions[N])</f>
        <v>34</v>
      </c>
      <c r="B191" s="57" t="s">
        <v>1927</v>
      </c>
      <c r="C191" s="66" t="b">
        <v>0</v>
      </c>
      <c r="D191" s="62" t="s">
        <v>2400</v>
      </c>
      <c r="E191" s="62" t="s">
        <v>42</v>
      </c>
      <c r="F191" s="62" t="s">
        <v>48</v>
      </c>
      <c r="G191" s="62" t="s">
        <v>185</v>
      </c>
      <c r="H191" s="62" t="s">
        <v>2346</v>
      </c>
      <c r="I191" s="68" t="s">
        <v>2830</v>
      </c>
      <c r="J191" s="62" t="s">
        <v>1048</v>
      </c>
      <c r="K191" s="62" t="s">
        <v>184</v>
      </c>
      <c r="L191" s="62" t="s">
        <v>889</v>
      </c>
      <c r="M191" s="62" t="s">
        <v>1075</v>
      </c>
      <c r="N191" s="62" t="s">
        <v>1556</v>
      </c>
      <c r="O191" s="62" t="s">
        <v>2349</v>
      </c>
      <c r="P191" s="30" t="s">
        <v>825</v>
      </c>
      <c r="Q191" s="30" t="s">
        <v>2351</v>
      </c>
      <c r="R191" s="28"/>
      <c r="S191" s="69" t="s">
        <v>2352</v>
      </c>
      <c r="T191" s="69" t="s">
        <v>2352</v>
      </c>
      <c r="U191" s="28">
        <v>0.0</v>
      </c>
      <c r="V191" s="70">
        <v>0.0</v>
      </c>
      <c r="W191" s="30" t="s">
        <v>2353</v>
      </c>
    </row>
    <row r="192">
      <c r="A192" s="67">
        <f>ROW()-ROW(Table_Actions[N])</f>
        <v>35</v>
      </c>
      <c r="B192" s="57" t="s">
        <v>1942</v>
      </c>
      <c r="C192" s="66" t="b">
        <v>0</v>
      </c>
      <c r="D192" s="62" t="s">
        <v>2449</v>
      </c>
      <c r="E192" s="62" t="s">
        <v>435</v>
      </c>
      <c r="F192" s="62" t="s">
        <v>48</v>
      </c>
      <c r="G192" s="62" t="s">
        <v>185</v>
      </c>
      <c r="H192" s="62" t="s">
        <v>2346</v>
      </c>
      <c r="I192" s="68" t="s">
        <v>183</v>
      </c>
      <c r="J192" s="62" t="s">
        <v>1048</v>
      </c>
      <c r="K192" s="62" t="s">
        <v>184</v>
      </c>
      <c r="L192" s="62" t="s">
        <v>889</v>
      </c>
      <c r="M192" s="62" t="s">
        <v>1075</v>
      </c>
      <c r="N192" s="62" t="s">
        <v>1556</v>
      </c>
      <c r="O192" s="62" t="s">
        <v>2349</v>
      </c>
      <c r="P192" s="30" t="s">
        <v>825</v>
      </c>
      <c r="Q192" s="30" t="s">
        <v>2351</v>
      </c>
      <c r="R192" s="28"/>
      <c r="S192" s="69" t="s">
        <v>2352</v>
      </c>
      <c r="T192" s="69" t="s">
        <v>2352</v>
      </c>
      <c r="U192" s="28">
        <v>0.0</v>
      </c>
      <c r="V192" s="70">
        <v>0.0</v>
      </c>
      <c r="W192" s="30" t="s">
        <v>2353</v>
      </c>
    </row>
    <row r="193">
      <c r="A193" s="67">
        <f>ROW()-ROW(Table_Actions[N])</f>
        <v>36</v>
      </c>
      <c r="B193" s="57" t="s">
        <v>2841</v>
      </c>
      <c r="C193" s="66" t="b">
        <v>0</v>
      </c>
      <c r="D193" s="62" t="s">
        <v>2464</v>
      </c>
      <c r="E193" s="62" t="s">
        <v>435</v>
      </c>
      <c r="F193" s="62" t="s">
        <v>48</v>
      </c>
      <c r="G193" s="62" t="s">
        <v>201</v>
      </c>
      <c r="H193" s="62" t="s">
        <v>2346</v>
      </c>
      <c r="I193" s="68" t="s">
        <v>183</v>
      </c>
      <c r="J193" s="62" t="s">
        <v>1048</v>
      </c>
      <c r="K193" s="62" t="s">
        <v>184</v>
      </c>
      <c r="L193" s="62" t="s">
        <v>889</v>
      </c>
      <c r="M193" s="62" t="s">
        <v>1075</v>
      </c>
      <c r="N193" s="62" t="s">
        <v>1556</v>
      </c>
      <c r="O193" s="62" t="s">
        <v>2349</v>
      </c>
      <c r="P193" s="30" t="s">
        <v>825</v>
      </c>
      <c r="Q193" s="30" t="s">
        <v>2351</v>
      </c>
      <c r="R193" s="28"/>
      <c r="S193" s="69" t="s">
        <v>2352</v>
      </c>
      <c r="T193" s="69" t="s">
        <v>2352</v>
      </c>
      <c r="U193" s="28">
        <v>0.0</v>
      </c>
      <c r="V193" s="70">
        <v>0.0</v>
      </c>
      <c r="W193" s="30" t="s">
        <v>2353</v>
      </c>
    </row>
    <row r="194">
      <c r="A194" s="67">
        <f>ROW()-ROW(Table_Actions[N])</f>
        <v>37</v>
      </c>
      <c r="B194" s="57" t="s">
        <v>2847</v>
      </c>
      <c r="C194" s="66" t="b">
        <v>0</v>
      </c>
      <c r="D194" s="62" t="s">
        <v>2449</v>
      </c>
      <c r="E194" s="62" t="s">
        <v>416</v>
      </c>
      <c r="F194" s="62" t="s">
        <v>48</v>
      </c>
      <c r="G194" s="62" t="s">
        <v>185</v>
      </c>
      <c r="H194" s="62" t="s">
        <v>2346</v>
      </c>
      <c r="I194" s="68" t="s">
        <v>183</v>
      </c>
      <c r="J194" s="62" t="s">
        <v>1048</v>
      </c>
      <c r="K194" s="62" t="s">
        <v>184</v>
      </c>
      <c r="L194" s="62" t="s">
        <v>889</v>
      </c>
      <c r="M194" s="62" t="s">
        <v>1075</v>
      </c>
      <c r="N194" s="62" t="s">
        <v>1556</v>
      </c>
      <c r="O194" s="62" t="s">
        <v>2349</v>
      </c>
      <c r="P194" s="30" t="s">
        <v>825</v>
      </c>
      <c r="Q194" s="30" t="s">
        <v>2351</v>
      </c>
      <c r="R194" s="28"/>
      <c r="S194" s="69" t="s">
        <v>2352</v>
      </c>
      <c r="T194" s="69" t="s">
        <v>2352</v>
      </c>
      <c r="U194" s="28">
        <v>0.0</v>
      </c>
      <c r="V194" s="70">
        <v>0.0</v>
      </c>
      <c r="W194" s="30" t="s">
        <v>2353</v>
      </c>
    </row>
    <row r="195">
      <c r="A195" s="67">
        <f>ROW()-ROW(Table_Actions[N])</f>
        <v>38</v>
      </c>
      <c r="B195" s="57" t="s">
        <v>2853</v>
      </c>
      <c r="C195" s="66" t="b">
        <v>0</v>
      </c>
      <c r="D195" s="62" t="s">
        <v>2446</v>
      </c>
      <c r="E195" s="62" t="s">
        <v>447</v>
      </c>
      <c r="F195" s="62" t="s">
        <v>48</v>
      </c>
      <c r="G195" s="62" t="s">
        <v>185</v>
      </c>
      <c r="H195" s="62" t="s">
        <v>2346</v>
      </c>
      <c r="I195" s="68" t="s">
        <v>183</v>
      </c>
      <c r="J195" s="62" t="s">
        <v>1048</v>
      </c>
      <c r="K195" s="62" t="s">
        <v>184</v>
      </c>
      <c r="L195" s="62" t="s">
        <v>889</v>
      </c>
      <c r="M195" s="62" t="s">
        <v>1075</v>
      </c>
      <c r="N195" s="62" t="s">
        <v>1556</v>
      </c>
      <c r="O195" s="62" t="s">
        <v>2349</v>
      </c>
      <c r="P195" s="30" t="s">
        <v>825</v>
      </c>
      <c r="Q195" s="30" t="s">
        <v>2351</v>
      </c>
      <c r="R195" s="28"/>
      <c r="S195" s="69" t="s">
        <v>2352</v>
      </c>
      <c r="T195" s="69" t="s">
        <v>2352</v>
      </c>
      <c r="U195" s="28">
        <v>0.0</v>
      </c>
      <c r="V195" s="70">
        <v>0.0</v>
      </c>
      <c r="W195" s="30" t="s">
        <v>2353</v>
      </c>
    </row>
    <row r="196">
      <c r="A196" s="67">
        <f>ROW()-ROW(Table_Actions[N])</f>
        <v>39</v>
      </c>
      <c r="B196" s="57" t="s">
        <v>1969</v>
      </c>
      <c r="C196" s="66" t="b">
        <v>0</v>
      </c>
      <c r="D196" s="62" t="s">
        <v>2446</v>
      </c>
      <c r="E196" s="62" t="s">
        <v>456</v>
      </c>
      <c r="F196" s="62" t="s">
        <v>48</v>
      </c>
      <c r="G196" s="62" t="s">
        <v>185</v>
      </c>
      <c r="H196" s="62" t="s">
        <v>2346</v>
      </c>
      <c r="I196" s="68" t="s">
        <v>183</v>
      </c>
      <c r="J196" s="62" t="s">
        <v>1048</v>
      </c>
      <c r="K196" s="62" t="s">
        <v>184</v>
      </c>
      <c r="L196" s="62" t="s">
        <v>889</v>
      </c>
      <c r="M196" s="62" t="s">
        <v>1075</v>
      </c>
      <c r="N196" s="62" t="s">
        <v>1556</v>
      </c>
      <c r="O196" s="62" t="s">
        <v>2349</v>
      </c>
      <c r="P196" s="30" t="s">
        <v>825</v>
      </c>
      <c r="Q196" s="30" t="s">
        <v>2351</v>
      </c>
      <c r="R196" s="28"/>
      <c r="S196" s="69" t="s">
        <v>2352</v>
      </c>
      <c r="T196" s="69" t="s">
        <v>2352</v>
      </c>
      <c r="U196" s="28">
        <v>0.0</v>
      </c>
      <c r="V196" s="70">
        <v>0.0</v>
      </c>
      <c r="W196" s="30" t="s">
        <v>2353</v>
      </c>
    </row>
    <row r="197">
      <c r="A197" s="67">
        <f>ROW()-ROW(Table_Actions[N])</f>
        <v>40</v>
      </c>
      <c r="B197" s="57" t="s">
        <v>2864</v>
      </c>
      <c r="C197" s="66" t="b">
        <v>0</v>
      </c>
      <c r="D197" s="62" t="s">
        <v>2464</v>
      </c>
      <c r="E197" s="62" t="s">
        <v>468</v>
      </c>
      <c r="F197" s="62" t="s">
        <v>48</v>
      </c>
      <c r="G197" s="62" t="s">
        <v>201</v>
      </c>
      <c r="H197" s="62" t="s">
        <v>2346</v>
      </c>
      <c r="I197" s="68" t="s">
        <v>183</v>
      </c>
      <c r="J197" s="62" t="s">
        <v>1048</v>
      </c>
      <c r="K197" s="62" t="s">
        <v>184</v>
      </c>
      <c r="L197" s="62" t="s">
        <v>889</v>
      </c>
      <c r="M197" s="62" t="s">
        <v>1075</v>
      </c>
      <c r="N197" s="62" t="s">
        <v>1556</v>
      </c>
      <c r="O197" s="62" t="s">
        <v>2349</v>
      </c>
      <c r="P197" s="30" t="s">
        <v>825</v>
      </c>
      <c r="Q197" s="30" t="s">
        <v>2351</v>
      </c>
      <c r="R197" s="28"/>
      <c r="S197" s="69" t="s">
        <v>2352</v>
      </c>
      <c r="T197" s="69" t="s">
        <v>2352</v>
      </c>
      <c r="U197" s="28">
        <v>0.0</v>
      </c>
      <c r="V197" s="70">
        <v>0.0</v>
      </c>
      <c r="W197" s="30" t="s">
        <v>2353</v>
      </c>
    </row>
    <row r="198">
      <c r="A198" s="67">
        <f>ROW()-ROW(Table_Actions[N])</f>
        <v>41</v>
      </c>
      <c r="B198" s="57" t="s">
        <v>2872</v>
      </c>
      <c r="C198" s="66" t="b">
        <v>0</v>
      </c>
      <c r="D198" s="62" t="s">
        <v>2447</v>
      </c>
      <c r="E198" s="62" t="s">
        <v>492</v>
      </c>
      <c r="F198" s="62" t="s">
        <v>48</v>
      </c>
      <c r="G198" s="62" t="s">
        <v>185</v>
      </c>
      <c r="H198" s="62" t="s">
        <v>2346</v>
      </c>
      <c r="I198" s="68" t="s">
        <v>183</v>
      </c>
      <c r="J198" s="62" t="s">
        <v>1048</v>
      </c>
      <c r="K198" s="62" t="s">
        <v>184</v>
      </c>
      <c r="L198" s="62" t="s">
        <v>889</v>
      </c>
      <c r="M198" s="62" t="s">
        <v>1075</v>
      </c>
      <c r="N198" s="62" t="s">
        <v>1556</v>
      </c>
      <c r="O198" s="62" t="s">
        <v>2349</v>
      </c>
      <c r="P198" s="30" t="s">
        <v>825</v>
      </c>
      <c r="Q198" s="30" t="s">
        <v>2351</v>
      </c>
      <c r="R198" s="28"/>
      <c r="S198" s="69" t="s">
        <v>2352</v>
      </c>
      <c r="T198" s="69" t="s">
        <v>2352</v>
      </c>
      <c r="U198" s="28">
        <v>0.0</v>
      </c>
      <c r="V198" s="70">
        <v>0.0</v>
      </c>
      <c r="W198" s="30" t="s">
        <v>2353</v>
      </c>
    </row>
    <row r="199">
      <c r="A199" s="67">
        <f>ROW()-ROW(Table_Actions[N])</f>
        <v>42</v>
      </c>
      <c r="B199" s="57" t="s">
        <v>2880</v>
      </c>
      <c r="C199" s="66" t="b">
        <v>0</v>
      </c>
      <c r="D199" s="62" t="s">
        <v>2446</v>
      </c>
      <c r="E199" s="62" t="s">
        <v>505</v>
      </c>
      <c r="F199" s="62" t="s">
        <v>48</v>
      </c>
      <c r="G199" s="62" t="s">
        <v>185</v>
      </c>
      <c r="H199" s="62" t="s">
        <v>2346</v>
      </c>
      <c r="I199" s="68" t="s">
        <v>183</v>
      </c>
      <c r="J199" s="62" t="s">
        <v>1048</v>
      </c>
      <c r="K199" s="62" t="s">
        <v>184</v>
      </c>
      <c r="L199" s="62" t="s">
        <v>889</v>
      </c>
      <c r="M199" s="62" t="s">
        <v>1075</v>
      </c>
      <c r="N199" s="62" t="s">
        <v>1556</v>
      </c>
      <c r="O199" s="62" t="s">
        <v>2349</v>
      </c>
      <c r="P199" s="30" t="s">
        <v>825</v>
      </c>
      <c r="Q199" s="30" t="s">
        <v>2351</v>
      </c>
      <c r="R199" s="28"/>
      <c r="S199" s="69" t="s">
        <v>2352</v>
      </c>
      <c r="T199" s="69" t="s">
        <v>2352</v>
      </c>
      <c r="U199" s="28">
        <v>0.0</v>
      </c>
      <c r="V199" s="70">
        <v>0.0</v>
      </c>
      <c r="W199" s="30" t="s">
        <v>2353</v>
      </c>
    </row>
    <row r="200">
      <c r="A200" s="67">
        <f>ROW()-ROW(Table_Actions[N])</f>
        <v>43</v>
      </c>
      <c r="B200" s="57" t="s">
        <v>264</v>
      </c>
      <c r="C200" s="66" t="b">
        <v>0</v>
      </c>
      <c r="D200" s="83" t="s">
        <v>2477</v>
      </c>
      <c r="E200" s="62" t="s">
        <v>42</v>
      </c>
      <c r="F200" s="62" t="s">
        <v>48</v>
      </c>
      <c r="G200" s="62" t="s">
        <v>185</v>
      </c>
      <c r="H200" s="62" t="s">
        <v>2346</v>
      </c>
      <c r="I200" s="68" t="s">
        <v>183</v>
      </c>
      <c r="J200" s="62" t="s">
        <v>1048</v>
      </c>
      <c r="K200" s="62" t="s">
        <v>184</v>
      </c>
      <c r="L200" s="62" t="s">
        <v>905</v>
      </c>
      <c r="M200" s="62" t="s">
        <v>1075</v>
      </c>
      <c r="N200" s="62" t="s">
        <v>1556</v>
      </c>
      <c r="O200" s="62" t="s">
        <v>2349</v>
      </c>
      <c r="P200" s="30" t="s">
        <v>825</v>
      </c>
      <c r="Q200" s="30" t="s">
        <v>2351</v>
      </c>
      <c r="R200" s="28"/>
      <c r="S200" s="69" t="s">
        <v>2352</v>
      </c>
      <c r="T200" s="69" t="s">
        <v>2352</v>
      </c>
      <c r="U200" s="28">
        <v>0.0</v>
      </c>
      <c r="V200" s="70">
        <v>0.0</v>
      </c>
      <c r="W200" s="30" t="s">
        <v>2353</v>
      </c>
    </row>
    <row r="201">
      <c r="A201" s="67">
        <f>ROW()-ROW(Table_Actions[N])</f>
        <v>44</v>
      </c>
      <c r="B201" s="57" t="s">
        <v>2894</v>
      </c>
      <c r="C201" s="66" t="b">
        <v>0</v>
      </c>
      <c r="D201" s="83" t="s">
        <v>2477</v>
      </c>
      <c r="E201" s="62" t="s">
        <v>42</v>
      </c>
      <c r="F201" s="62" t="s">
        <v>48</v>
      </c>
      <c r="G201" s="62" t="s">
        <v>185</v>
      </c>
      <c r="H201" s="62" t="s">
        <v>2346</v>
      </c>
      <c r="I201" s="68" t="s">
        <v>183</v>
      </c>
      <c r="J201" s="62" t="s">
        <v>1048</v>
      </c>
      <c r="K201" s="62" t="s">
        <v>184</v>
      </c>
      <c r="L201" s="62" t="s">
        <v>897</v>
      </c>
      <c r="M201" s="62" t="s">
        <v>1727</v>
      </c>
      <c r="N201" s="62" t="s">
        <v>1556</v>
      </c>
      <c r="O201" s="62" t="s">
        <v>2349</v>
      </c>
      <c r="P201" s="30" t="s">
        <v>825</v>
      </c>
      <c r="Q201" s="30" t="s">
        <v>2351</v>
      </c>
      <c r="R201" s="28"/>
      <c r="S201" s="69" t="s">
        <v>2352</v>
      </c>
      <c r="T201" s="69" t="s">
        <v>2352</v>
      </c>
      <c r="U201" s="28">
        <v>0.0</v>
      </c>
      <c r="V201" s="70">
        <v>0.0</v>
      </c>
      <c r="W201" s="30" t="s">
        <v>2353</v>
      </c>
    </row>
    <row r="202">
      <c r="A202" s="67">
        <f>ROW()-ROW(Table_Actions[N])</f>
        <v>45</v>
      </c>
      <c r="B202" s="57" t="s">
        <v>286</v>
      </c>
      <c r="C202" s="66" t="b">
        <v>0</v>
      </c>
      <c r="D202" s="83" t="s">
        <v>2477</v>
      </c>
      <c r="E202" s="62" t="s">
        <v>42</v>
      </c>
      <c r="F202" s="62" t="s">
        <v>48</v>
      </c>
      <c r="G202" s="62" t="s">
        <v>185</v>
      </c>
      <c r="H202" s="62" t="s">
        <v>2346</v>
      </c>
      <c r="I202" s="68" t="s">
        <v>183</v>
      </c>
      <c r="J202" s="62" t="s">
        <v>1048</v>
      </c>
      <c r="K202" s="62" t="s">
        <v>184</v>
      </c>
      <c r="L202" s="62" t="s">
        <v>897</v>
      </c>
      <c r="M202" s="62" t="s">
        <v>1738</v>
      </c>
      <c r="N202" s="62" t="s">
        <v>1556</v>
      </c>
      <c r="O202" s="62" t="s">
        <v>2349</v>
      </c>
      <c r="P202" s="30" t="s">
        <v>825</v>
      </c>
      <c r="Q202" s="30" t="s">
        <v>2351</v>
      </c>
      <c r="R202" s="28"/>
      <c r="S202" s="69" t="s">
        <v>2352</v>
      </c>
      <c r="T202" s="69" t="s">
        <v>2352</v>
      </c>
      <c r="U202" s="28">
        <v>0.0</v>
      </c>
      <c r="V202" s="70">
        <v>0.0</v>
      </c>
      <c r="W202" s="30" t="s">
        <v>2353</v>
      </c>
    </row>
    <row r="203">
      <c r="A203" s="67">
        <f>ROW()-ROW(Table_Actions[N])</f>
        <v>46</v>
      </c>
      <c r="B203" s="57" t="s">
        <v>295</v>
      </c>
      <c r="C203" s="66" t="b">
        <v>0</v>
      </c>
      <c r="D203" s="83" t="s">
        <v>2477</v>
      </c>
      <c r="E203" s="62" t="s">
        <v>42</v>
      </c>
      <c r="F203" s="62" t="s">
        <v>48</v>
      </c>
      <c r="G203" s="62" t="s">
        <v>185</v>
      </c>
      <c r="H203" s="62" t="s">
        <v>2346</v>
      </c>
      <c r="I203" s="68" t="s">
        <v>183</v>
      </c>
      <c r="J203" s="62" t="s">
        <v>1048</v>
      </c>
      <c r="K203" s="62" t="s">
        <v>184</v>
      </c>
      <c r="L203" s="62" t="s">
        <v>897</v>
      </c>
      <c r="M203" s="62" t="s">
        <v>1751</v>
      </c>
      <c r="N203" s="62" t="s">
        <v>1556</v>
      </c>
      <c r="O203" s="62" t="s">
        <v>2349</v>
      </c>
      <c r="P203" s="30" t="s">
        <v>825</v>
      </c>
      <c r="Q203" s="30" t="s">
        <v>2351</v>
      </c>
      <c r="R203" s="28"/>
      <c r="S203" s="69" t="s">
        <v>2352</v>
      </c>
      <c r="T203" s="69" t="s">
        <v>2352</v>
      </c>
      <c r="U203" s="28">
        <v>0.0</v>
      </c>
      <c r="V203" s="70">
        <v>0.0</v>
      </c>
      <c r="W203" s="30" t="s">
        <v>2353</v>
      </c>
    </row>
    <row r="204">
      <c r="A204" s="67">
        <f>ROW()-ROW(Table_Actions[N])</f>
        <v>47</v>
      </c>
      <c r="B204" s="57" t="s">
        <v>306</v>
      </c>
      <c r="C204" s="66" t="b">
        <v>0</v>
      </c>
      <c r="D204" s="83" t="s">
        <v>2477</v>
      </c>
      <c r="E204" s="62" t="s">
        <v>42</v>
      </c>
      <c r="F204" s="62" t="s">
        <v>48</v>
      </c>
      <c r="G204" s="62" t="s">
        <v>185</v>
      </c>
      <c r="H204" s="62" t="s">
        <v>2346</v>
      </c>
      <c r="I204" s="68" t="s">
        <v>183</v>
      </c>
      <c r="J204" s="62" t="s">
        <v>1048</v>
      </c>
      <c r="K204" s="62" t="s">
        <v>184</v>
      </c>
      <c r="L204" s="62" t="s">
        <v>897</v>
      </c>
      <c r="M204" s="62" t="s">
        <v>1751</v>
      </c>
      <c r="N204" s="62" t="s">
        <v>1556</v>
      </c>
      <c r="O204" s="62" t="s">
        <v>2349</v>
      </c>
      <c r="P204" s="30" t="s">
        <v>825</v>
      </c>
      <c r="Q204" s="30" t="s">
        <v>2351</v>
      </c>
      <c r="R204" s="28"/>
      <c r="S204" s="69" t="s">
        <v>2352</v>
      </c>
      <c r="T204" s="69" t="s">
        <v>2352</v>
      </c>
      <c r="U204" s="28">
        <v>0.0</v>
      </c>
      <c r="V204" s="70">
        <v>0.0</v>
      </c>
      <c r="W204" s="30" t="s">
        <v>2353</v>
      </c>
    </row>
    <row r="205">
      <c r="A205" s="67">
        <f>ROW()-ROW(Table_Actions[N])</f>
        <v>48</v>
      </c>
      <c r="B205" s="57" t="s">
        <v>317</v>
      </c>
      <c r="C205" s="66" t="b">
        <v>0</v>
      </c>
      <c r="D205" s="83" t="s">
        <v>2477</v>
      </c>
      <c r="E205" s="62" t="s">
        <v>42</v>
      </c>
      <c r="F205" s="62" t="s">
        <v>48</v>
      </c>
      <c r="G205" s="62" t="s">
        <v>185</v>
      </c>
      <c r="H205" s="62" t="s">
        <v>2346</v>
      </c>
      <c r="I205" s="68" t="s">
        <v>183</v>
      </c>
      <c r="J205" s="62" t="s">
        <v>1048</v>
      </c>
      <c r="K205" s="62" t="s">
        <v>184</v>
      </c>
      <c r="L205" s="62" t="s">
        <v>897</v>
      </c>
      <c r="M205" s="62" t="s">
        <v>1762</v>
      </c>
      <c r="N205" s="62" t="s">
        <v>1556</v>
      </c>
      <c r="O205" s="62" t="s">
        <v>2349</v>
      </c>
      <c r="P205" s="30" t="s">
        <v>825</v>
      </c>
      <c r="Q205" s="30" t="s">
        <v>2351</v>
      </c>
      <c r="R205" s="28"/>
      <c r="S205" s="69" t="s">
        <v>2352</v>
      </c>
      <c r="T205" s="69" t="s">
        <v>2352</v>
      </c>
      <c r="U205" s="28">
        <v>0.0</v>
      </c>
      <c r="V205" s="70">
        <v>0.0</v>
      </c>
      <c r="W205" s="30" t="s">
        <v>2353</v>
      </c>
    </row>
    <row r="206">
      <c r="A206" s="67">
        <f>ROW()-ROW(Table_Actions[N])</f>
        <v>49</v>
      </c>
      <c r="B206" s="57" t="s">
        <v>2928</v>
      </c>
      <c r="C206" s="66" t="b">
        <v>0</v>
      </c>
      <c r="D206" s="83" t="s">
        <v>2477</v>
      </c>
      <c r="E206" s="62" t="s">
        <v>42</v>
      </c>
      <c r="F206" s="62" t="s">
        <v>48</v>
      </c>
      <c r="G206" s="62" t="s">
        <v>185</v>
      </c>
      <c r="H206" s="62" t="s">
        <v>2346</v>
      </c>
      <c r="I206" s="68" t="s">
        <v>183</v>
      </c>
      <c r="J206" s="62" t="s">
        <v>1048</v>
      </c>
      <c r="K206" s="62" t="s">
        <v>184</v>
      </c>
      <c r="L206" s="62" t="s">
        <v>897</v>
      </c>
      <c r="M206" s="62" t="s">
        <v>1771</v>
      </c>
      <c r="N206" s="62" t="s">
        <v>1556</v>
      </c>
      <c r="O206" s="62" t="s">
        <v>2349</v>
      </c>
      <c r="P206" s="30" t="s">
        <v>825</v>
      </c>
      <c r="Q206" s="30" t="s">
        <v>2351</v>
      </c>
      <c r="R206" s="28"/>
      <c r="S206" s="69" t="s">
        <v>2352</v>
      </c>
      <c r="T206" s="69" t="s">
        <v>2352</v>
      </c>
      <c r="U206" s="28">
        <v>0.0</v>
      </c>
      <c r="V206" s="70">
        <v>0.0</v>
      </c>
      <c r="W206" s="30" t="s">
        <v>2353</v>
      </c>
    </row>
    <row r="207">
      <c r="A207" s="67">
        <f>ROW()-ROW(Table_Actions[N])</f>
        <v>50</v>
      </c>
      <c r="B207" s="57" t="s">
        <v>342</v>
      </c>
      <c r="C207" s="66" t="b">
        <v>0</v>
      </c>
      <c r="D207" s="83" t="s">
        <v>2477</v>
      </c>
      <c r="E207" s="62" t="s">
        <v>42</v>
      </c>
      <c r="F207" s="62" t="s">
        <v>48</v>
      </c>
      <c r="G207" s="62" t="s">
        <v>185</v>
      </c>
      <c r="H207" s="62" t="s">
        <v>2346</v>
      </c>
      <c r="I207" s="68" t="s">
        <v>183</v>
      </c>
      <c r="J207" s="62" t="s">
        <v>1048</v>
      </c>
      <c r="K207" s="62" t="s">
        <v>184</v>
      </c>
      <c r="L207" s="62" t="s">
        <v>897</v>
      </c>
      <c r="M207" s="62" t="s">
        <v>1614</v>
      </c>
      <c r="N207" s="62" t="s">
        <v>1556</v>
      </c>
      <c r="O207" s="62" t="s">
        <v>2349</v>
      </c>
      <c r="P207" s="30" t="s">
        <v>825</v>
      </c>
      <c r="Q207" s="30" t="s">
        <v>2351</v>
      </c>
      <c r="R207" s="28"/>
      <c r="S207" s="69" t="s">
        <v>2352</v>
      </c>
      <c r="T207" s="69" t="s">
        <v>2352</v>
      </c>
      <c r="U207" s="28">
        <v>0.0</v>
      </c>
      <c r="V207" s="70">
        <v>0.0</v>
      </c>
      <c r="W207" s="30" t="s">
        <v>2353</v>
      </c>
    </row>
    <row r="208">
      <c r="A208" s="67">
        <f>ROW()-ROW(Table_Actions[N])</f>
        <v>51</v>
      </c>
      <c r="B208" s="57" t="s">
        <v>2944</v>
      </c>
      <c r="C208" s="66" t="b">
        <v>0</v>
      </c>
      <c r="D208" s="83" t="s">
        <v>2477</v>
      </c>
      <c r="E208" s="62" t="s">
        <v>42</v>
      </c>
      <c r="F208" s="62" t="s">
        <v>48</v>
      </c>
      <c r="G208" s="62" t="s">
        <v>185</v>
      </c>
      <c r="H208" s="62" t="s">
        <v>2346</v>
      </c>
      <c r="I208" s="68" t="s">
        <v>183</v>
      </c>
      <c r="J208" s="62" t="s">
        <v>1048</v>
      </c>
      <c r="K208" s="62" t="s">
        <v>184</v>
      </c>
      <c r="L208" s="62" t="s">
        <v>897</v>
      </c>
      <c r="M208" s="62" t="s">
        <v>1780</v>
      </c>
      <c r="N208" s="62" t="s">
        <v>1556</v>
      </c>
      <c r="O208" s="62" t="s">
        <v>2349</v>
      </c>
      <c r="P208" s="30" t="s">
        <v>825</v>
      </c>
      <c r="Q208" s="30" t="s">
        <v>2351</v>
      </c>
      <c r="R208" s="28"/>
      <c r="S208" s="69" t="s">
        <v>2352</v>
      </c>
      <c r="T208" s="69" t="s">
        <v>2352</v>
      </c>
      <c r="U208" s="28">
        <v>0.0</v>
      </c>
      <c r="V208" s="70">
        <v>0.0</v>
      </c>
      <c r="W208" s="30" t="s">
        <v>2353</v>
      </c>
    </row>
    <row r="209">
      <c r="A209" s="67">
        <f>ROW()-ROW(Table_Actions[N])</f>
        <v>52</v>
      </c>
      <c r="B209" s="57" t="s">
        <v>375</v>
      </c>
      <c r="C209" s="66" t="b">
        <v>0</v>
      </c>
      <c r="D209" s="83" t="s">
        <v>2477</v>
      </c>
      <c r="E209" s="62" t="s">
        <v>42</v>
      </c>
      <c r="F209" s="62" t="s">
        <v>48</v>
      </c>
      <c r="G209" s="62" t="s">
        <v>185</v>
      </c>
      <c r="H209" s="62" t="s">
        <v>2346</v>
      </c>
      <c r="I209" s="68" t="s">
        <v>183</v>
      </c>
      <c r="J209" s="62" t="s">
        <v>1048</v>
      </c>
      <c r="K209" s="62" t="s">
        <v>184</v>
      </c>
      <c r="L209" s="62" t="s">
        <v>897</v>
      </c>
      <c r="M209" s="62" t="s">
        <v>1791</v>
      </c>
      <c r="N209" s="62" t="s">
        <v>1556</v>
      </c>
      <c r="O209" s="62" t="s">
        <v>2349</v>
      </c>
      <c r="P209" s="30" t="s">
        <v>825</v>
      </c>
      <c r="Q209" s="30" t="s">
        <v>2351</v>
      </c>
      <c r="R209" s="28"/>
      <c r="S209" s="69" t="s">
        <v>2352</v>
      </c>
      <c r="T209" s="69" t="s">
        <v>2352</v>
      </c>
      <c r="U209" s="28">
        <v>0.0</v>
      </c>
      <c r="V209" s="70">
        <v>0.0</v>
      </c>
      <c r="W209" s="30" t="s">
        <v>2353</v>
      </c>
    </row>
    <row r="210">
      <c r="A210" s="67">
        <f>ROW()-ROW(Table_Actions[N])</f>
        <v>53</v>
      </c>
      <c r="B210" s="57" t="s">
        <v>388</v>
      </c>
      <c r="C210" s="66" t="b">
        <v>0</v>
      </c>
      <c r="D210" s="83" t="s">
        <v>2477</v>
      </c>
      <c r="E210" s="62" t="s">
        <v>42</v>
      </c>
      <c r="F210" s="62" t="s">
        <v>48</v>
      </c>
      <c r="G210" s="62" t="s">
        <v>185</v>
      </c>
      <c r="H210" s="62" t="s">
        <v>2346</v>
      </c>
      <c r="I210" s="68" t="s">
        <v>183</v>
      </c>
      <c r="J210" s="62" t="s">
        <v>1048</v>
      </c>
      <c r="K210" s="62" t="s">
        <v>184</v>
      </c>
      <c r="L210" s="62" t="s">
        <v>897</v>
      </c>
      <c r="M210" s="62" t="s">
        <v>1802</v>
      </c>
      <c r="N210" s="62" t="s">
        <v>1556</v>
      </c>
      <c r="O210" s="62" t="s">
        <v>2349</v>
      </c>
      <c r="P210" s="30" t="s">
        <v>825</v>
      </c>
      <c r="Q210" s="30" t="s">
        <v>2351</v>
      </c>
      <c r="R210" s="28"/>
      <c r="S210" s="69" t="s">
        <v>2352</v>
      </c>
      <c r="T210" s="69" t="s">
        <v>2352</v>
      </c>
      <c r="U210" s="28">
        <v>0.0</v>
      </c>
      <c r="V210" s="70">
        <v>0.0</v>
      </c>
      <c r="W210" s="30" t="s">
        <v>2353</v>
      </c>
    </row>
    <row r="211">
      <c r="A211" s="67">
        <f>ROW()-ROW(Table_Actions[N])</f>
        <v>54</v>
      </c>
      <c r="B211" s="57" t="s">
        <v>400</v>
      </c>
      <c r="C211" s="66" t="b">
        <v>0</v>
      </c>
      <c r="D211" s="83" t="s">
        <v>2477</v>
      </c>
      <c r="E211" s="62" t="s">
        <v>42</v>
      </c>
      <c r="F211" s="62" t="s">
        <v>48</v>
      </c>
      <c r="G211" s="62" t="s">
        <v>185</v>
      </c>
      <c r="H211" s="62" t="s">
        <v>2346</v>
      </c>
      <c r="I211" s="68" t="s">
        <v>183</v>
      </c>
      <c r="J211" s="62" t="s">
        <v>1048</v>
      </c>
      <c r="K211" s="62" t="s">
        <v>184</v>
      </c>
      <c r="L211" s="62" t="s">
        <v>919</v>
      </c>
      <c r="M211" s="62" t="s">
        <v>1075</v>
      </c>
      <c r="N211" s="62" t="s">
        <v>1556</v>
      </c>
      <c r="O211" s="62" t="s">
        <v>2349</v>
      </c>
      <c r="P211" s="30" t="s">
        <v>825</v>
      </c>
      <c r="Q211" s="30" t="s">
        <v>2351</v>
      </c>
      <c r="R211" s="28"/>
      <c r="S211" s="69" t="s">
        <v>2352</v>
      </c>
      <c r="T211" s="69" t="s">
        <v>2352</v>
      </c>
      <c r="U211" s="28">
        <v>0.0</v>
      </c>
      <c r="V211" s="70">
        <v>0.0</v>
      </c>
      <c r="W211" s="30" t="s">
        <v>2353</v>
      </c>
    </row>
    <row r="212">
      <c r="A212" s="67">
        <f>ROW()-ROW(Table_Actions[N])</f>
        <v>55</v>
      </c>
      <c r="B212" s="57" t="s">
        <v>423</v>
      </c>
      <c r="C212" s="66" t="b">
        <v>0</v>
      </c>
      <c r="D212" s="83" t="s">
        <v>2477</v>
      </c>
      <c r="E212" s="62" t="s">
        <v>42</v>
      </c>
      <c r="F212" s="62" t="s">
        <v>48</v>
      </c>
      <c r="G212" s="62" t="s">
        <v>185</v>
      </c>
      <c r="H212" s="62" t="s">
        <v>2346</v>
      </c>
      <c r="I212" s="68" t="s">
        <v>183</v>
      </c>
      <c r="J212" s="62" t="s">
        <v>1048</v>
      </c>
      <c r="K212" s="62" t="s">
        <v>184</v>
      </c>
      <c r="L212" s="62" t="s">
        <v>897</v>
      </c>
      <c r="M212" s="62" t="s">
        <v>1860</v>
      </c>
      <c r="N212" s="62" t="s">
        <v>1556</v>
      </c>
      <c r="O212" s="62" t="s">
        <v>2349</v>
      </c>
      <c r="P212" s="30" t="s">
        <v>825</v>
      </c>
      <c r="Q212" s="30" t="s">
        <v>2351</v>
      </c>
      <c r="R212" s="28"/>
      <c r="S212" s="69" t="s">
        <v>2352</v>
      </c>
      <c r="T212" s="69" t="s">
        <v>2352</v>
      </c>
      <c r="U212" s="28">
        <v>0.0</v>
      </c>
      <c r="V212" s="70">
        <v>0.0</v>
      </c>
      <c r="W212" s="30" t="s">
        <v>2353</v>
      </c>
    </row>
    <row r="213">
      <c r="A213" s="67">
        <f>ROW()-ROW(Table_Actions[N])</f>
        <v>56</v>
      </c>
      <c r="B213" s="57" t="s">
        <v>431</v>
      </c>
      <c r="C213" s="66" t="b">
        <v>0</v>
      </c>
      <c r="D213" s="83" t="s">
        <v>2477</v>
      </c>
      <c r="E213" s="62" t="s">
        <v>42</v>
      </c>
      <c r="F213" s="62" t="s">
        <v>48</v>
      </c>
      <c r="G213" s="62" t="s">
        <v>185</v>
      </c>
      <c r="H213" s="62" t="s">
        <v>2346</v>
      </c>
      <c r="I213" s="68" t="s">
        <v>183</v>
      </c>
      <c r="J213" s="62" t="s">
        <v>1048</v>
      </c>
      <c r="K213" s="62" t="s">
        <v>184</v>
      </c>
      <c r="L213" s="62" t="s">
        <v>925</v>
      </c>
      <c r="M213" s="62" t="s">
        <v>1075</v>
      </c>
      <c r="N213" s="62" t="s">
        <v>1556</v>
      </c>
      <c r="O213" s="62" t="s">
        <v>2349</v>
      </c>
      <c r="P213" s="30" t="s">
        <v>825</v>
      </c>
      <c r="Q213" s="30" t="s">
        <v>2351</v>
      </c>
      <c r="R213" s="28"/>
      <c r="S213" s="69" t="s">
        <v>2352</v>
      </c>
      <c r="T213" s="69" t="s">
        <v>2352</v>
      </c>
      <c r="U213" s="28">
        <v>0.0</v>
      </c>
      <c r="V213" s="70">
        <v>0.0</v>
      </c>
      <c r="W213" s="30" t="s">
        <v>2353</v>
      </c>
    </row>
    <row r="214">
      <c r="A214" s="67">
        <f>ROW()-ROW(Table_Actions[N])</f>
        <v>57</v>
      </c>
      <c r="B214" s="57" t="s">
        <v>441</v>
      </c>
      <c r="C214" s="66" t="b">
        <v>0</v>
      </c>
      <c r="D214" s="83" t="s">
        <v>2477</v>
      </c>
      <c r="E214" s="62" t="s">
        <v>42</v>
      </c>
      <c r="F214" s="62" t="s">
        <v>48</v>
      </c>
      <c r="G214" s="62" t="s">
        <v>185</v>
      </c>
      <c r="H214" s="62" t="s">
        <v>2346</v>
      </c>
      <c r="I214" s="68" t="s">
        <v>183</v>
      </c>
      <c r="J214" s="62" t="s">
        <v>1048</v>
      </c>
      <c r="K214" s="62" t="s">
        <v>184</v>
      </c>
      <c r="L214" s="62" t="s">
        <v>897</v>
      </c>
      <c r="M214" s="62" t="s">
        <v>1907</v>
      </c>
      <c r="N214" s="62" t="s">
        <v>1556</v>
      </c>
      <c r="O214" s="62" t="s">
        <v>2349</v>
      </c>
      <c r="P214" s="30" t="s">
        <v>825</v>
      </c>
      <c r="Q214" s="30" t="s">
        <v>2351</v>
      </c>
      <c r="R214" s="28"/>
      <c r="S214" s="69" t="s">
        <v>2352</v>
      </c>
      <c r="T214" s="69" t="s">
        <v>2352</v>
      </c>
      <c r="U214" s="28">
        <v>0.0</v>
      </c>
      <c r="V214" s="70">
        <v>0.0</v>
      </c>
      <c r="W214" s="30" t="s">
        <v>2353</v>
      </c>
    </row>
    <row r="215">
      <c r="A215" s="67">
        <f>ROW()-ROW(Table_Actions[N])</f>
        <v>58</v>
      </c>
      <c r="B215" s="57" t="s">
        <v>450</v>
      </c>
      <c r="C215" s="66" t="b">
        <v>0</v>
      </c>
      <c r="D215" s="83" t="s">
        <v>2477</v>
      </c>
      <c r="E215" s="62" t="s">
        <v>42</v>
      </c>
      <c r="F215" s="62" t="s">
        <v>48</v>
      </c>
      <c r="G215" s="62" t="s">
        <v>185</v>
      </c>
      <c r="H215" s="62" t="s">
        <v>2346</v>
      </c>
      <c r="I215" s="68" t="s">
        <v>183</v>
      </c>
      <c r="J215" s="62" t="s">
        <v>1048</v>
      </c>
      <c r="K215" s="62" t="s">
        <v>184</v>
      </c>
      <c r="L215" s="62" t="s">
        <v>938</v>
      </c>
      <c r="M215" s="62" t="s">
        <v>1075</v>
      </c>
      <c r="N215" s="62" t="s">
        <v>1556</v>
      </c>
      <c r="O215" s="62" t="s">
        <v>2349</v>
      </c>
      <c r="P215" s="30" t="s">
        <v>825</v>
      </c>
      <c r="Q215" s="30" t="s">
        <v>2351</v>
      </c>
      <c r="R215" s="28"/>
      <c r="S215" s="69" t="s">
        <v>2352</v>
      </c>
      <c r="T215" s="69" t="s">
        <v>2352</v>
      </c>
      <c r="U215" s="28">
        <v>0.0</v>
      </c>
      <c r="V215" s="70">
        <v>0.0</v>
      </c>
      <c r="W215" s="30" t="s">
        <v>2353</v>
      </c>
    </row>
    <row r="216">
      <c r="A216" s="67">
        <f>ROW()-ROW(Table_Actions[N])</f>
        <v>59</v>
      </c>
      <c r="B216" s="57" t="s">
        <v>462</v>
      </c>
      <c r="C216" s="66" t="b">
        <v>0</v>
      </c>
      <c r="D216" s="83" t="s">
        <v>2477</v>
      </c>
      <c r="E216" s="62" t="s">
        <v>42</v>
      </c>
      <c r="F216" s="62" t="s">
        <v>48</v>
      </c>
      <c r="G216" s="62" t="s">
        <v>185</v>
      </c>
      <c r="H216" s="62" t="s">
        <v>2346</v>
      </c>
      <c r="I216" s="68" t="s">
        <v>183</v>
      </c>
      <c r="J216" s="62" t="s">
        <v>1048</v>
      </c>
      <c r="K216" s="62" t="s">
        <v>184</v>
      </c>
      <c r="L216" s="62" t="s">
        <v>952</v>
      </c>
      <c r="M216" s="62" t="s">
        <v>1075</v>
      </c>
      <c r="N216" s="62" t="s">
        <v>1556</v>
      </c>
      <c r="O216" s="62" t="s">
        <v>2349</v>
      </c>
      <c r="P216" s="30" t="s">
        <v>825</v>
      </c>
      <c r="Q216" s="30" t="s">
        <v>2351</v>
      </c>
      <c r="R216" s="28"/>
      <c r="S216" s="69" t="s">
        <v>2352</v>
      </c>
      <c r="T216" s="69" t="s">
        <v>2352</v>
      </c>
      <c r="U216" s="28">
        <v>0.0</v>
      </c>
      <c r="V216" s="70">
        <v>0.0</v>
      </c>
      <c r="W216" s="30" t="s">
        <v>2353</v>
      </c>
    </row>
    <row r="217">
      <c r="A217" s="67">
        <f>ROW()-ROW(Table_Actions[N])</f>
        <v>60</v>
      </c>
      <c r="B217" s="57" t="s">
        <v>3001</v>
      </c>
      <c r="C217" s="66" t="b">
        <v>0</v>
      </c>
      <c r="D217" s="83" t="s">
        <v>2477</v>
      </c>
      <c r="E217" s="62" t="s">
        <v>42</v>
      </c>
      <c r="F217" s="62" t="s">
        <v>48</v>
      </c>
      <c r="G217" s="62" t="s">
        <v>185</v>
      </c>
      <c r="H217" s="62" t="s">
        <v>2346</v>
      </c>
      <c r="I217" s="68" t="s">
        <v>183</v>
      </c>
      <c r="J217" s="62" t="s">
        <v>1048</v>
      </c>
      <c r="K217" s="62" t="s">
        <v>184</v>
      </c>
      <c r="L217" s="62" t="s">
        <v>897</v>
      </c>
      <c r="M217" s="62" t="s">
        <v>2156</v>
      </c>
      <c r="N217" s="62" t="s">
        <v>1556</v>
      </c>
      <c r="O217" s="62" t="s">
        <v>2349</v>
      </c>
      <c r="P217" s="30" t="s">
        <v>825</v>
      </c>
      <c r="Q217" s="30" t="s">
        <v>2351</v>
      </c>
      <c r="R217" s="28"/>
      <c r="S217" s="69" t="s">
        <v>2352</v>
      </c>
      <c r="T217" s="69" t="s">
        <v>2352</v>
      </c>
      <c r="U217" s="28">
        <v>0.0</v>
      </c>
      <c r="V217" s="70">
        <v>0.0</v>
      </c>
      <c r="W217" s="30" t="s">
        <v>2353</v>
      </c>
    </row>
    <row r="218">
      <c r="A218" s="67">
        <f>ROW()-ROW(Table_Actions[N])</f>
        <v>61</v>
      </c>
      <c r="B218" s="57" t="s">
        <v>2015</v>
      </c>
      <c r="C218" s="66" t="b">
        <v>0</v>
      </c>
      <c r="D218" s="62" t="s">
        <v>2480</v>
      </c>
      <c r="E218" s="62" t="s">
        <v>42</v>
      </c>
      <c r="F218" s="62" t="s">
        <v>48</v>
      </c>
      <c r="G218" s="62" t="s">
        <v>185</v>
      </c>
      <c r="H218" s="62" t="s">
        <v>2346</v>
      </c>
      <c r="I218" s="68" t="s">
        <v>183</v>
      </c>
      <c r="J218" s="62" t="s">
        <v>1048</v>
      </c>
      <c r="K218" s="62" t="s">
        <v>184</v>
      </c>
      <c r="L218" s="62" t="s">
        <v>958</v>
      </c>
      <c r="M218" s="62" t="s">
        <v>1075</v>
      </c>
      <c r="N218" s="62" t="s">
        <v>1556</v>
      </c>
      <c r="O218" s="62" t="s">
        <v>2349</v>
      </c>
      <c r="P218" s="30" t="s">
        <v>825</v>
      </c>
      <c r="Q218" s="30" t="s">
        <v>2351</v>
      </c>
      <c r="R218" s="28"/>
      <c r="S218" s="69" t="s">
        <v>2352</v>
      </c>
      <c r="T218" s="69" t="s">
        <v>2352</v>
      </c>
      <c r="U218" s="28">
        <v>0.0</v>
      </c>
      <c r="V218" s="70">
        <v>0.0</v>
      </c>
      <c r="W218" s="30" t="s">
        <v>2353</v>
      </c>
    </row>
    <row r="219">
      <c r="A219" s="67">
        <f>ROW()-ROW(Table_Actions[N])</f>
        <v>62</v>
      </c>
      <c r="B219" s="57" t="s">
        <v>489</v>
      </c>
      <c r="C219" s="66" t="b">
        <v>0</v>
      </c>
      <c r="D219" s="83" t="s">
        <v>2477</v>
      </c>
      <c r="E219" s="62" t="s">
        <v>42</v>
      </c>
      <c r="F219" s="62" t="s">
        <v>48</v>
      </c>
      <c r="G219" s="62" t="s">
        <v>185</v>
      </c>
      <c r="H219" s="62" t="s">
        <v>2346</v>
      </c>
      <c r="I219" s="68" t="s">
        <v>183</v>
      </c>
      <c r="J219" s="62" t="s">
        <v>1048</v>
      </c>
      <c r="K219" s="62" t="s">
        <v>184</v>
      </c>
      <c r="L219" s="62" t="s">
        <v>897</v>
      </c>
      <c r="M219" s="62" t="s">
        <v>2198</v>
      </c>
      <c r="N219" s="62" t="s">
        <v>1556</v>
      </c>
      <c r="O219" s="62" t="s">
        <v>2349</v>
      </c>
      <c r="P219" s="30" t="s">
        <v>825</v>
      </c>
      <c r="Q219" s="30" t="s">
        <v>2351</v>
      </c>
      <c r="R219" s="28"/>
      <c r="S219" s="69" t="s">
        <v>2352</v>
      </c>
      <c r="T219" s="69" t="s">
        <v>2352</v>
      </c>
      <c r="U219" s="28">
        <v>0.0</v>
      </c>
      <c r="V219" s="70">
        <v>0.0</v>
      </c>
      <c r="W219" s="30" t="s">
        <v>2353</v>
      </c>
    </row>
    <row r="220">
      <c r="A220" s="67">
        <f>ROW()-ROW(Table_Actions[N])</f>
        <v>63</v>
      </c>
      <c r="B220" s="57" t="s">
        <v>2028</v>
      </c>
      <c r="C220" s="66" t="b">
        <v>0</v>
      </c>
      <c r="D220" s="62" t="s">
        <v>2480</v>
      </c>
      <c r="E220" s="62" t="s">
        <v>42</v>
      </c>
      <c r="F220" s="62" t="s">
        <v>48</v>
      </c>
      <c r="G220" s="62" t="s">
        <v>185</v>
      </c>
      <c r="H220" s="62" t="s">
        <v>2346</v>
      </c>
      <c r="I220" s="68" t="s">
        <v>183</v>
      </c>
      <c r="J220" s="62" t="s">
        <v>1048</v>
      </c>
      <c r="K220" s="62" t="s">
        <v>184</v>
      </c>
      <c r="L220" s="62" t="s">
        <v>964</v>
      </c>
      <c r="M220" s="62" t="s">
        <v>1075</v>
      </c>
      <c r="N220" s="62" t="s">
        <v>1556</v>
      </c>
      <c r="O220" s="62" t="s">
        <v>2349</v>
      </c>
      <c r="P220" s="30" t="s">
        <v>825</v>
      </c>
      <c r="Q220" s="30" t="s">
        <v>2351</v>
      </c>
      <c r="R220" s="28"/>
      <c r="S220" s="69" t="s">
        <v>2352</v>
      </c>
      <c r="T220" s="69" t="s">
        <v>2352</v>
      </c>
      <c r="U220" s="28">
        <v>0.0</v>
      </c>
      <c r="V220" s="70">
        <v>0.0</v>
      </c>
      <c r="W220" s="30" t="s">
        <v>2353</v>
      </c>
    </row>
    <row r="221">
      <c r="A221" s="67">
        <f>ROW()-ROW(Table_Actions[N])</f>
        <v>64</v>
      </c>
      <c r="B221" s="57" t="s">
        <v>500</v>
      </c>
      <c r="C221" s="66" t="b">
        <v>0</v>
      </c>
      <c r="D221" s="83" t="s">
        <v>2477</v>
      </c>
      <c r="E221" s="62" t="s">
        <v>42</v>
      </c>
      <c r="F221" s="62" t="s">
        <v>48</v>
      </c>
      <c r="G221" s="62" t="s">
        <v>185</v>
      </c>
      <c r="H221" s="62" t="s">
        <v>2346</v>
      </c>
      <c r="I221" s="68" t="s">
        <v>183</v>
      </c>
      <c r="J221" s="62" t="s">
        <v>1048</v>
      </c>
      <c r="K221" s="62" t="s">
        <v>184</v>
      </c>
      <c r="L221" s="62" t="s">
        <v>977</v>
      </c>
      <c r="M221" s="62" t="s">
        <v>1075</v>
      </c>
      <c r="N221" s="62" t="s">
        <v>1556</v>
      </c>
      <c r="O221" s="62" t="s">
        <v>2349</v>
      </c>
      <c r="P221" s="30" t="s">
        <v>825</v>
      </c>
      <c r="Q221" s="30" t="s">
        <v>2351</v>
      </c>
      <c r="R221" s="28"/>
      <c r="S221" s="69" t="s">
        <v>2352</v>
      </c>
      <c r="T221" s="69" t="s">
        <v>2352</v>
      </c>
      <c r="U221" s="28">
        <v>0.0</v>
      </c>
      <c r="V221" s="70">
        <v>0.0</v>
      </c>
      <c r="W221" s="30" t="s">
        <v>2353</v>
      </c>
    </row>
    <row r="222">
      <c r="A222" s="67">
        <f>ROW()-ROW(Table_Actions[N])</f>
        <v>65</v>
      </c>
      <c r="B222" s="57" t="s">
        <v>519</v>
      </c>
      <c r="C222" s="66" t="b">
        <v>0</v>
      </c>
      <c r="D222" s="83" t="s">
        <v>2477</v>
      </c>
      <c r="E222" s="62" t="s">
        <v>42</v>
      </c>
      <c r="F222" s="62" t="s">
        <v>48</v>
      </c>
      <c r="G222" s="62" t="s">
        <v>185</v>
      </c>
      <c r="H222" s="62" t="s">
        <v>2346</v>
      </c>
      <c r="I222" s="68" t="s">
        <v>183</v>
      </c>
      <c r="J222" s="62" t="s">
        <v>1048</v>
      </c>
      <c r="K222" s="62" t="s">
        <v>184</v>
      </c>
      <c r="L222" s="62" t="s">
        <v>897</v>
      </c>
      <c r="M222" s="62" t="s">
        <v>2398</v>
      </c>
      <c r="N222" s="62" t="s">
        <v>1556</v>
      </c>
      <c r="O222" s="62" t="s">
        <v>2349</v>
      </c>
      <c r="P222" s="30" t="s">
        <v>825</v>
      </c>
      <c r="Q222" s="30" t="s">
        <v>2351</v>
      </c>
      <c r="R222" s="28"/>
      <c r="S222" s="69" t="s">
        <v>2352</v>
      </c>
      <c r="T222" s="69" t="s">
        <v>2352</v>
      </c>
      <c r="U222" s="28">
        <v>0.0</v>
      </c>
      <c r="V222" s="70">
        <v>0.0</v>
      </c>
      <c r="W222" s="30" t="s">
        <v>2353</v>
      </c>
    </row>
    <row r="223">
      <c r="A223" s="67">
        <f>ROW()-ROW(Table_Actions[N])</f>
        <v>66</v>
      </c>
      <c r="B223" s="57" t="s">
        <v>535</v>
      </c>
      <c r="C223" s="66" t="b">
        <v>0</v>
      </c>
      <c r="D223" s="83" t="s">
        <v>2477</v>
      </c>
      <c r="E223" s="62" t="s">
        <v>42</v>
      </c>
      <c r="F223" s="62" t="s">
        <v>48</v>
      </c>
      <c r="G223" s="62" t="s">
        <v>185</v>
      </c>
      <c r="H223" s="62" t="s">
        <v>2346</v>
      </c>
      <c r="I223" s="68" t="s">
        <v>183</v>
      </c>
      <c r="J223" s="62" t="s">
        <v>1048</v>
      </c>
      <c r="K223" s="62" t="s">
        <v>184</v>
      </c>
      <c r="L223" s="62" t="s">
        <v>897</v>
      </c>
      <c r="M223" s="62" t="s">
        <v>2433</v>
      </c>
      <c r="N223" s="62" t="s">
        <v>1556</v>
      </c>
      <c r="O223" s="62" t="s">
        <v>2349</v>
      </c>
      <c r="P223" s="30" t="s">
        <v>825</v>
      </c>
      <c r="Q223" s="30" t="s">
        <v>2351</v>
      </c>
      <c r="R223" s="28"/>
      <c r="S223" s="69" t="s">
        <v>2352</v>
      </c>
      <c r="T223" s="69" t="s">
        <v>2352</v>
      </c>
      <c r="U223" s="28">
        <v>0.0</v>
      </c>
      <c r="V223" s="70">
        <v>0.0</v>
      </c>
      <c r="W223" s="30" t="s">
        <v>2353</v>
      </c>
    </row>
    <row r="224">
      <c r="A224" s="67">
        <f>ROW()-ROW(Table_Actions[N])</f>
        <v>67</v>
      </c>
      <c r="B224" s="57" t="s">
        <v>3049</v>
      </c>
      <c r="C224" s="66" t="b">
        <v>0</v>
      </c>
      <c r="D224" s="83" t="s">
        <v>2477</v>
      </c>
      <c r="E224" s="62" t="s">
        <v>42</v>
      </c>
      <c r="F224" s="62" t="s">
        <v>48</v>
      </c>
      <c r="G224" s="62" t="s">
        <v>185</v>
      </c>
      <c r="H224" s="62" t="s">
        <v>2346</v>
      </c>
      <c r="I224" s="68" t="s">
        <v>183</v>
      </c>
      <c r="J224" s="62" t="s">
        <v>1048</v>
      </c>
      <c r="K224" s="62" t="s">
        <v>184</v>
      </c>
      <c r="L224" s="62" t="s">
        <v>897</v>
      </c>
      <c r="M224" s="62" t="s">
        <v>2410</v>
      </c>
      <c r="N224" s="62" t="s">
        <v>1556</v>
      </c>
      <c r="O224" s="62" t="s">
        <v>2349</v>
      </c>
      <c r="P224" s="30" t="s">
        <v>825</v>
      </c>
      <c r="Q224" s="30" t="s">
        <v>2351</v>
      </c>
      <c r="R224" s="28"/>
      <c r="S224" s="69" t="s">
        <v>2352</v>
      </c>
      <c r="T224" s="69" t="s">
        <v>2352</v>
      </c>
      <c r="U224" s="28">
        <v>0.0</v>
      </c>
      <c r="V224" s="70">
        <v>0.0</v>
      </c>
      <c r="W224" s="30" t="s">
        <v>2353</v>
      </c>
    </row>
    <row r="225">
      <c r="A225" s="67">
        <f>ROW()-ROW(Table_Actions[N])</f>
        <v>68</v>
      </c>
      <c r="B225" s="57" t="s">
        <v>3056</v>
      </c>
      <c r="C225" s="66" t="b">
        <v>0</v>
      </c>
      <c r="D225" s="83" t="s">
        <v>2477</v>
      </c>
      <c r="E225" s="62" t="s">
        <v>42</v>
      </c>
      <c r="F225" s="62" t="s">
        <v>48</v>
      </c>
      <c r="G225" s="62" t="s">
        <v>185</v>
      </c>
      <c r="H225" s="62" t="s">
        <v>2346</v>
      </c>
      <c r="I225" s="68" t="s">
        <v>183</v>
      </c>
      <c r="J225" s="62" t="s">
        <v>1048</v>
      </c>
      <c r="K225" s="62" t="s">
        <v>184</v>
      </c>
      <c r="L225" s="62" t="s">
        <v>897</v>
      </c>
      <c r="M225" s="62" t="s">
        <v>2416</v>
      </c>
      <c r="N225" s="62" t="s">
        <v>1556</v>
      </c>
      <c r="O225" s="62" t="s">
        <v>2349</v>
      </c>
      <c r="P225" s="30" t="s">
        <v>825</v>
      </c>
      <c r="Q225" s="30" t="s">
        <v>2351</v>
      </c>
      <c r="R225" s="28"/>
      <c r="S225" s="69" t="s">
        <v>2352</v>
      </c>
      <c r="T225" s="69" t="s">
        <v>2352</v>
      </c>
      <c r="U225" s="28">
        <v>0.0</v>
      </c>
      <c r="V225" s="70">
        <v>0.0</v>
      </c>
      <c r="W225" s="30" t="s">
        <v>2353</v>
      </c>
    </row>
    <row r="226">
      <c r="A226" s="67">
        <f>ROW()-ROW(Table_Actions[N])</f>
        <v>69</v>
      </c>
      <c r="B226" s="57" t="s">
        <v>579</v>
      </c>
      <c r="C226" s="66" t="b">
        <v>0</v>
      </c>
      <c r="D226" s="83" t="s">
        <v>2477</v>
      </c>
      <c r="E226" s="62" t="s">
        <v>42</v>
      </c>
      <c r="F226" s="62" t="s">
        <v>48</v>
      </c>
      <c r="G226" s="62" t="s">
        <v>185</v>
      </c>
      <c r="H226" s="62" t="s">
        <v>2346</v>
      </c>
      <c r="I226" s="68" t="s">
        <v>183</v>
      </c>
      <c r="J226" s="62" t="s">
        <v>1048</v>
      </c>
      <c r="K226" s="62" t="s">
        <v>184</v>
      </c>
      <c r="L226" s="62" t="s">
        <v>897</v>
      </c>
      <c r="M226" s="62" t="s">
        <v>2426</v>
      </c>
      <c r="N226" s="62" t="s">
        <v>1556</v>
      </c>
      <c r="O226" s="62" t="s">
        <v>2349</v>
      </c>
      <c r="P226" s="30" t="s">
        <v>825</v>
      </c>
      <c r="Q226" s="30" t="s">
        <v>2351</v>
      </c>
      <c r="R226" s="28"/>
      <c r="S226" s="69" t="s">
        <v>2352</v>
      </c>
      <c r="T226" s="69" t="s">
        <v>2352</v>
      </c>
      <c r="U226" s="28">
        <v>0.0</v>
      </c>
      <c r="V226" s="70">
        <v>0.0</v>
      </c>
      <c r="W226" s="30" t="s">
        <v>2353</v>
      </c>
    </row>
    <row r="227">
      <c r="A227" s="67">
        <f>ROW()-ROW(Table_Actions[N])</f>
        <v>70</v>
      </c>
      <c r="B227" s="57" t="s">
        <v>598</v>
      </c>
      <c r="C227" s="66" t="b">
        <v>0</v>
      </c>
      <c r="D227" s="83" t="s">
        <v>2477</v>
      </c>
      <c r="E227" s="62" t="s">
        <v>42</v>
      </c>
      <c r="F227" s="62" t="s">
        <v>48</v>
      </c>
      <c r="G227" s="62" t="s">
        <v>185</v>
      </c>
      <c r="H227" s="62" t="s">
        <v>2346</v>
      </c>
      <c r="I227" s="68" t="s">
        <v>183</v>
      </c>
      <c r="J227" s="62" t="s">
        <v>1048</v>
      </c>
      <c r="K227" s="62" t="s">
        <v>184</v>
      </c>
      <c r="L227" s="62" t="s">
        <v>897</v>
      </c>
      <c r="M227" s="62" t="s">
        <v>2433</v>
      </c>
      <c r="N227" s="62" t="s">
        <v>1556</v>
      </c>
      <c r="O227" s="62" t="s">
        <v>2349</v>
      </c>
      <c r="P227" s="30" t="s">
        <v>825</v>
      </c>
      <c r="Q227" s="30" t="s">
        <v>2351</v>
      </c>
      <c r="R227" s="28"/>
      <c r="S227" s="69" t="s">
        <v>2352</v>
      </c>
      <c r="T227" s="69" t="s">
        <v>2352</v>
      </c>
      <c r="U227" s="28">
        <v>0.0</v>
      </c>
      <c r="V227" s="70">
        <v>0.0</v>
      </c>
      <c r="W227" s="30" t="s">
        <v>2353</v>
      </c>
    </row>
    <row r="228">
      <c r="A228" s="67">
        <f>ROW()-ROW(Table_Actions[N])</f>
        <v>71</v>
      </c>
      <c r="B228" s="57" t="s">
        <v>3084</v>
      </c>
      <c r="C228" s="66" t="b">
        <v>0</v>
      </c>
      <c r="D228" s="83" t="s">
        <v>2477</v>
      </c>
      <c r="E228" s="62" t="s">
        <v>42</v>
      </c>
      <c r="F228" s="62" t="s">
        <v>48</v>
      </c>
      <c r="G228" s="62" t="s">
        <v>185</v>
      </c>
      <c r="H228" s="62" t="s">
        <v>2346</v>
      </c>
      <c r="I228" s="68" t="s">
        <v>183</v>
      </c>
      <c r="J228" s="62" t="s">
        <v>1048</v>
      </c>
      <c r="K228" s="62" t="s">
        <v>184</v>
      </c>
      <c r="L228" s="62" t="s">
        <v>897</v>
      </c>
      <c r="M228" s="62" t="s">
        <v>2439</v>
      </c>
      <c r="N228" s="62" t="s">
        <v>1556</v>
      </c>
      <c r="O228" s="62" t="s">
        <v>2349</v>
      </c>
      <c r="P228" s="30" t="s">
        <v>825</v>
      </c>
      <c r="Q228" s="30" t="s">
        <v>2351</v>
      </c>
      <c r="R228" s="28"/>
      <c r="S228" s="69" t="s">
        <v>2352</v>
      </c>
      <c r="T228" s="69" t="s">
        <v>2352</v>
      </c>
      <c r="U228" s="28">
        <v>0.0</v>
      </c>
      <c r="V228" s="70">
        <v>0.0</v>
      </c>
      <c r="W228" s="30" t="s">
        <v>2353</v>
      </c>
    </row>
    <row r="229">
      <c r="A229" s="67">
        <f>ROW()-ROW(Table_Actions[N])</f>
        <v>72</v>
      </c>
      <c r="B229" s="57" t="s">
        <v>636</v>
      </c>
      <c r="C229" s="66" t="b">
        <v>0</v>
      </c>
      <c r="D229" s="83" t="s">
        <v>2477</v>
      </c>
      <c r="E229" s="62" t="s">
        <v>42</v>
      </c>
      <c r="F229" s="62" t="s">
        <v>48</v>
      </c>
      <c r="G229" s="62" t="s">
        <v>185</v>
      </c>
      <c r="H229" s="62" t="s">
        <v>2346</v>
      </c>
      <c r="I229" s="68" t="s">
        <v>183</v>
      </c>
      <c r="J229" s="62" t="s">
        <v>1048</v>
      </c>
      <c r="K229" s="62" t="s">
        <v>184</v>
      </c>
      <c r="L229" s="62" t="s">
        <v>897</v>
      </c>
      <c r="M229" s="62" t="s">
        <v>2448</v>
      </c>
      <c r="N229" s="62" t="s">
        <v>1556</v>
      </c>
      <c r="O229" s="62" t="s">
        <v>2349</v>
      </c>
      <c r="P229" s="30" t="s">
        <v>825</v>
      </c>
      <c r="Q229" s="30" t="s">
        <v>2351</v>
      </c>
      <c r="R229" s="28"/>
      <c r="S229" s="69" t="s">
        <v>2352</v>
      </c>
      <c r="T229" s="69" t="s">
        <v>2352</v>
      </c>
      <c r="U229" s="28">
        <v>0.0</v>
      </c>
      <c r="V229" s="70">
        <v>0.0</v>
      </c>
      <c r="W229" s="30" t="s">
        <v>2353</v>
      </c>
    </row>
    <row r="230">
      <c r="A230" s="67">
        <f>ROW()-ROW(Table_Actions[N])</f>
        <v>73</v>
      </c>
      <c r="B230" s="57" t="s">
        <v>3099</v>
      </c>
      <c r="C230" s="66" t="b">
        <v>0</v>
      </c>
      <c r="D230" s="83" t="s">
        <v>2477</v>
      </c>
      <c r="E230" s="62" t="s">
        <v>42</v>
      </c>
      <c r="F230" s="62" t="s">
        <v>48</v>
      </c>
      <c r="G230" s="62" t="s">
        <v>185</v>
      </c>
      <c r="H230" s="62" t="s">
        <v>2346</v>
      </c>
      <c r="I230" s="68" t="s">
        <v>183</v>
      </c>
      <c r="J230" s="62" t="s">
        <v>1048</v>
      </c>
      <c r="K230" s="62" t="s">
        <v>184</v>
      </c>
      <c r="L230" s="62" t="s">
        <v>897</v>
      </c>
      <c r="M230" s="62" t="s">
        <v>2457</v>
      </c>
      <c r="N230" s="62" t="s">
        <v>1556</v>
      </c>
      <c r="O230" s="62" t="s">
        <v>2349</v>
      </c>
      <c r="P230" s="30" t="s">
        <v>825</v>
      </c>
      <c r="Q230" s="30" t="s">
        <v>2351</v>
      </c>
      <c r="R230" s="28"/>
      <c r="S230" s="69" t="s">
        <v>2352</v>
      </c>
      <c r="T230" s="69" t="s">
        <v>2352</v>
      </c>
      <c r="U230" s="28">
        <v>0.0</v>
      </c>
      <c r="V230" s="70">
        <v>0.0</v>
      </c>
      <c r="W230" s="30" t="s">
        <v>2353</v>
      </c>
    </row>
    <row r="231">
      <c r="A231" s="67">
        <f>ROW()-ROW(Table_Actions[N])</f>
        <v>74</v>
      </c>
      <c r="B231" s="57" t="s">
        <v>657</v>
      </c>
      <c r="C231" s="66" t="b">
        <v>0</v>
      </c>
      <c r="D231" s="83" t="s">
        <v>2477</v>
      </c>
      <c r="E231" s="62" t="s">
        <v>42</v>
      </c>
      <c r="F231" s="62" t="s">
        <v>48</v>
      </c>
      <c r="G231" s="62" t="s">
        <v>185</v>
      </c>
      <c r="H231" s="62" t="s">
        <v>2346</v>
      </c>
      <c r="I231" s="68" t="s">
        <v>183</v>
      </c>
      <c r="J231" s="62" t="s">
        <v>1048</v>
      </c>
      <c r="K231" s="62" t="s">
        <v>184</v>
      </c>
      <c r="L231" s="62" t="s">
        <v>897</v>
      </c>
      <c r="M231" s="62" t="s">
        <v>2468</v>
      </c>
      <c r="N231" s="62" t="s">
        <v>1556</v>
      </c>
      <c r="O231" s="62" t="s">
        <v>2349</v>
      </c>
      <c r="P231" s="30" t="s">
        <v>825</v>
      </c>
      <c r="Q231" s="30" t="s">
        <v>2351</v>
      </c>
      <c r="R231" s="28"/>
      <c r="S231" s="69" t="s">
        <v>2352</v>
      </c>
      <c r="T231" s="69" t="s">
        <v>2352</v>
      </c>
      <c r="U231" s="28">
        <v>0.0</v>
      </c>
      <c r="V231" s="70">
        <v>0.0</v>
      </c>
      <c r="W231" s="30" t="s">
        <v>2353</v>
      </c>
    </row>
    <row r="232">
      <c r="A232" s="67">
        <f>ROW()-ROW(Table_Actions[N])</f>
        <v>75</v>
      </c>
      <c r="B232" s="57" t="s">
        <v>674</v>
      </c>
      <c r="C232" s="66" t="b">
        <v>0</v>
      </c>
      <c r="D232" s="83" t="s">
        <v>2477</v>
      </c>
      <c r="E232" s="62" t="s">
        <v>42</v>
      </c>
      <c r="F232" s="62" t="s">
        <v>48</v>
      </c>
      <c r="G232" s="62" t="s">
        <v>185</v>
      </c>
      <c r="H232" s="62" t="s">
        <v>2346</v>
      </c>
      <c r="I232" s="68" t="s">
        <v>183</v>
      </c>
      <c r="J232" s="62" t="s">
        <v>1048</v>
      </c>
      <c r="K232" s="62" t="s">
        <v>184</v>
      </c>
      <c r="L232" s="62" t="s">
        <v>897</v>
      </c>
      <c r="M232" s="62" t="s">
        <v>2475</v>
      </c>
      <c r="N232" s="62" t="s">
        <v>1556</v>
      </c>
      <c r="O232" s="62" t="s">
        <v>2349</v>
      </c>
      <c r="P232" s="30" t="s">
        <v>825</v>
      </c>
      <c r="Q232" s="30" t="s">
        <v>2351</v>
      </c>
      <c r="R232" s="28"/>
      <c r="S232" s="69" t="s">
        <v>2352</v>
      </c>
      <c r="T232" s="69" t="s">
        <v>2352</v>
      </c>
      <c r="U232" s="28">
        <v>0.0</v>
      </c>
      <c r="V232" s="70">
        <v>0.0</v>
      </c>
      <c r="W232" s="30" t="s">
        <v>2353</v>
      </c>
    </row>
    <row r="233">
      <c r="A233" s="67">
        <f>ROW()-ROW(Table_Actions[N])</f>
        <v>76</v>
      </c>
      <c r="B233" s="57" t="s">
        <v>684</v>
      </c>
      <c r="C233" s="66" t="b">
        <v>0</v>
      </c>
      <c r="D233" s="83" t="s">
        <v>2477</v>
      </c>
      <c r="E233" s="62" t="s">
        <v>42</v>
      </c>
      <c r="F233" s="62" t="s">
        <v>48</v>
      </c>
      <c r="G233" s="62" t="s">
        <v>185</v>
      </c>
      <c r="H233" s="62" t="s">
        <v>2346</v>
      </c>
      <c r="I233" s="68" t="s">
        <v>183</v>
      </c>
      <c r="J233" s="62" t="s">
        <v>1048</v>
      </c>
      <c r="K233" s="62" t="s">
        <v>184</v>
      </c>
      <c r="L233" s="62" t="s">
        <v>897</v>
      </c>
      <c r="M233" s="62" t="s">
        <v>2485</v>
      </c>
      <c r="N233" s="62" t="s">
        <v>1556</v>
      </c>
      <c r="O233" s="62" t="s">
        <v>2349</v>
      </c>
      <c r="P233" s="30" t="s">
        <v>825</v>
      </c>
      <c r="Q233" s="30" t="s">
        <v>2351</v>
      </c>
      <c r="R233" s="28"/>
      <c r="S233" s="69" t="s">
        <v>2352</v>
      </c>
      <c r="T233" s="69" t="s">
        <v>2352</v>
      </c>
      <c r="U233" s="28">
        <v>0.0</v>
      </c>
      <c r="V233" s="70">
        <v>0.0</v>
      </c>
      <c r="W233" s="30" t="s">
        <v>2353</v>
      </c>
    </row>
    <row r="234">
      <c r="A234" s="67">
        <f>ROW()-ROW(Table_Actions[N])</f>
        <v>77</v>
      </c>
      <c r="B234" s="57" t="s">
        <v>700</v>
      </c>
      <c r="C234" s="66" t="b">
        <v>0</v>
      </c>
      <c r="D234" s="83" t="s">
        <v>2477</v>
      </c>
      <c r="E234" s="62" t="s">
        <v>42</v>
      </c>
      <c r="F234" s="62" t="s">
        <v>48</v>
      </c>
      <c r="G234" s="62" t="s">
        <v>185</v>
      </c>
      <c r="H234" s="62" t="s">
        <v>2346</v>
      </c>
      <c r="I234" s="68" t="s">
        <v>183</v>
      </c>
      <c r="J234" s="62" t="s">
        <v>1048</v>
      </c>
      <c r="K234" s="62" t="s">
        <v>184</v>
      </c>
      <c r="L234" s="62" t="s">
        <v>897</v>
      </c>
      <c r="M234" s="62" t="s">
        <v>2485</v>
      </c>
      <c r="N234" s="62" t="s">
        <v>1556</v>
      </c>
      <c r="O234" s="62" t="s">
        <v>2349</v>
      </c>
      <c r="P234" s="30" t="s">
        <v>825</v>
      </c>
      <c r="Q234" s="30" t="s">
        <v>2351</v>
      </c>
      <c r="R234" s="28"/>
      <c r="S234" s="69" t="s">
        <v>2352</v>
      </c>
      <c r="T234" s="69" t="s">
        <v>2352</v>
      </c>
      <c r="U234" s="28">
        <v>0.0</v>
      </c>
      <c r="V234" s="70">
        <v>0.0</v>
      </c>
      <c r="W234" s="30" t="s">
        <v>2353</v>
      </c>
    </row>
    <row r="235">
      <c r="A235" s="67">
        <f>ROW()-ROW(Table_Actions[N])</f>
        <v>78</v>
      </c>
      <c r="B235" s="57" t="s">
        <v>3139</v>
      </c>
      <c r="C235" s="66" t="b">
        <v>0</v>
      </c>
      <c r="D235" s="83" t="s">
        <v>2477</v>
      </c>
      <c r="E235" s="62" t="s">
        <v>42</v>
      </c>
      <c r="F235" s="62" t="s">
        <v>48</v>
      </c>
      <c r="G235" s="62" t="s">
        <v>185</v>
      </c>
      <c r="H235" s="62" t="s">
        <v>2346</v>
      </c>
      <c r="I235" s="68" t="s">
        <v>183</v>
      </c>
      <c r="J235" s="62" t="s">
        <v>1048</v>
      </c>
      <c r="K235" s="62" t="s">
        <v>184</v>
      </c>
      <c r="L235" s="62" t="s">
        <v>897</v>
      </c>
      <c r="M235" s="62" t="s">
        <v>2494</v>
      </c>
      <c r="N235" s="62" t="s">
        <v>1556</v>
      </c>
      <c r="O235" s="62" t="s">
        <v>2349</v>
      </c>
      <c r="P235" s="30" t="s">
        <v>825</v>
      </c>
      <c r="Q235" s="30" t="s">
        <v>2351</v>
      </c>
      <c r="R235" s="28"/>
      <c r="S235" s="69" t="s">
        <v>2352</v>
      </c>
      <c r="T235" s="69" t="s">
        <v>2352</v>
      </c>
      <c r="U235" s="28">
        <v>0.0</v>
      </c>
      <c r="V235" s="70">
        <v>0.0</v>
      </c>
      <c r="W235" s="30" t="s">
        <v>2353</v>
      </c>
    </row>
    <row r="236">
      <c r="A236" s="67">
        <f>ROW()-ROW(Table_Actions[N])</f>
        <v>79</v>
      </c>
      <c r="B236" s="57" t="s">
        <v>726</v>
      </c>
      <c r="C236" s="66" t="b">
        <v>0</v>
      </c>
      <c r="D236" s="83" t="s">
        <v>2477</v>
      </c>
      <c r="E236" s="62" t="s">
        <v>42</v>
      </c>
      <c r="F236" s="62" t="s">
        <v>48</v>
      </c>
      <c r="G236" s="62" t="s">
        <v>185</v>
      </c>
      <c r="H236" s="62" t="s">
        <v>2346</v>
      </c>
      <c r="I236" s="68" t="s">
        <v>183</v>
      </c>
      <c r="J236" s="62" t="s">
        <v>1048</v>
      </c>
      <c r="K236" s="62" t="s">
        <v>184</v>
      </c>
      <c r="L236" s="62" t="s">
        <v>897</v>
      </c>
      <c r="M236" s="62" t="s">
        <v>2507</v>
      </c>
      <c r="N236" s="62" t="s">
        <v>1556</v>
      </c>
      <c r="O236" s="62" t="s">
        <v>2349</v>
      </c>
      <c r="P236" s="30" t="s">
        <v>825</v>
      </c>
      <c r="Q236" s="30" t="s">
        <v>2351</v>
      </c>
      <c r="R236" s="28"/>
      <c r="S236" s="69" t="s">
        <v>2352</v>
      </c>
      <c r="T236" s="69" t="s">
        <v>2352</v>
      </c>
      <c r="U236" s="28">
        <v>0.0</v>
      </c>
      <c r="V236" s="70">
        <v>0.0</v>
      </c>
      <c r="W236" s="30" t="s">
        <v>2353</v>
      </c>
    </row>
    <row r="237">
      <c r="A237" s="67">
        <f>ROW()-ROW(Table_Actions[N])</f>
        <v>80</v>
      </c>
      <c r="B237" s="57" t="s">
        <v>3155</v>
      </c>
      <c r="C237" s="66" t="b">
        <v>0</v>
      </c>
      <c r="D237" s="83" t="s">
        <v>2477</v>
      </c>
      <c r="E237" s="62" t="s">
        <v>42</v>
      </c>
      <c r="F237" s="62" t="s">
        <v>48</v>
      </c>
      <c r="G237" s="62" t="s">
        <v>185</v>
      </c>
      <c r="H237" s="62" t="s">
        <v>2346</v>
      </c>
      <c r="I237" s="68" t="s">
        <v>183</v>
      </c>
      <c r="J237" s="62" t="s">
        <v>1048</v>
      </c>
      <c r="K237" s="62" t="s">
        <v>184</v>
      </c>
      <c r="L237" s="62" t="s">
        <v>897</v>
      </c>
      <c r="M237" s="62" t="s">
        <v>2516</v>
      </c>
      <c r="N237" s="62" t="s">
        <v>1556</v>
      </c>
      <c r="O237" s="62" t="s">
        <v>2349</v>
      </c>
      <c r="P237" s="30" t="s">
        <v>825</v>
      </c>
      <c r="Q237" s="30" t="s">
        <v>2351</v>
      </c>
      <c r="R237" s="28"/>
      <c r="S237" s="69" t="s">
        <v>2352</v>
      </c>
      <c r="T237" s="69" t="s">
        <v>2352</v>
      </c>
      <c r="U237" s="28">
        <v>0.0</v>
      </c>
      <c r="V237" s="70">
        <v>0.0</v>
      </c>
      <c r="W237" s="30" t="s">
        <v>2353</v>
      </c>
    </row>
    <row r="238">
      <c r="A238" s="67">
        <f>ROW()-ROW(Table_Actions[N])</f>
        <v>81</v>
      </c>
      <c r="B238" s="57" t="s">
        <v>3163</v>
      </c>
      <c r="C238" s="66" t="b">
        <v>0</v>
      </c>
      <c r="D238" s="83" t="s">
        <v>2477</v>
      </c>
      <c r="E238" s="62" t="s">
        <v>42</v>
      </c>
      <c r="F238" s="62" t="s">
        <v>48</v>
      </c>
      <c r="G238" s="62" t="s">
        <v>185</v>
      </c>
      <c r="H238" s="62" t="s">
        <v>2346</v>
      </c>
      <c r="I238" s="68" t="s">
        <v>183</v>
      </c>
      <c r="J238" s="62" t="s">
        <v>1048</v>
      </c>
      <c r="K238" s="62" t="s">
        <v>184</v>
      </c>
      <c r="L238" s="62" t="s">
        <v>897</v>
      </c>
      <c r="M238" s="62" t="s">
        <v>2524</v>
      </c>
      <c r="N238" s="62" t="s">
        <v>1556</v>
      </c>
      <c r="O238" s="62" t="s">
        <v>2349</v>
      </c>
      <c r="P238" s="30" t="s">
        <v>825</v>
      </c>
      <c r="Q238" s="30" t="s">
        <v>2351</v>
      </c>
      <c r="R238" s="28"/>
      <c r="S238" s="69" t="s">
        <v>2352</v>
      </c>
      <c r="T238" s="69" t="s">
        <v>2352</v>
      </c>
      <c r="U238" s="28">
        <v>0.0</v>
      </c>
      <c r="V238" s="70">
        <v>0.0</v>
      </c>
      <c r="W238" s="30" t="s">
        <v>2353</v>
      </c>
    </row>
    <row r="239">
      <c r="A239" s="67">
        <f>ROW()-ROW(Table_Actions[N])</f>
        <v>82</v>
      </c>
      <c r="B239" s="57" t="s">
        <v>762</v>
      </c>
      <c r="C239" s="66" t="b">
        <v>0</v>
      </c>
      <c r="D239" s="83" t="s">
        <v>2477</v>
      </c>
      <c r="E239" s="62" t="s">
        <v>42</v>
      </c>
      <c r="F239" s="62" t="s">
        <v>48</v>
      </c>
      <c r="G239" s="62" t="s">
        <v>185</v>
      </c>
      <c r="H239" s="62" t="s">
        <v>2346</v>
      </c>
      <c r="I239" s="68" t="s">
        <v>183</v>
      </c>
      <c r="J239" s="62" t="s">
        <v>1048</v>
      </c>
      <c r="K239" s="62" t="s">
        <v>184</v>
      </c>
      <c r="L239" s="62" t="s">
        <v>897</v>
      </c>
      <c r="M239" s="62" t="s">
        <v>2535</v>
      </c>
      <c r="N239" s="62" t="s">
        <v>1556</v>
      </c>
      <c r="O239" s="62" t="s">
        <v>2349</v>
      </c>
      <c r="P239" s="30" t="s">
        <v>825</v>
      </c>
      <c r="Q239" s="30" t="s">
        <v>2351</v>
      </c>
      <c r="R239" s="28"/>
      <c r="S239" s="69" t="s">
        <v>2352</v>
      </c>
      <c r="T239" s="69" t="s">
        <v>2352</v>
      </c>
      <c r="U239" s="28">
        <v>0.0</v>
      </c>
      <c r="V239" s="70">
        <v>0.0</v>
      </c>
      <c r="W239" s="30" t="s">
        <v>2353</v>
      </c>
    </row>
    <row r="240">
      <c r="A240" s="67">
        <f>ROW()-ROW(Table_Actions[N])</f>
        <v>83</v>
      </c>
      <c r="B240" s="57" t="s">
        <v>768</v>
      </c>
      <c r="C240" s="66" t="b">
        <v>0</v>
      </c>
      <c r="D240" s="83" t="s">
        <v>2477</v>
      </c>
      <c r="E240" s="62" t="s">
        <v>42</v>
      </c>
      <c r="F240" s="62" t="s">
        <v>48</v>
      </c>
      <c r="G240" s="62" t="s">
        <v>185</v>
      </c>
      <c r="H240" s="62" t="s">
        <v>2346</v>
      </c>
      <c r="I240" s="68" t="s">
        <v>183</v>
      </c>
      <c r="J240" s="62" t="s">
        <v>1048</v>
      </c>
      <c r="K240" s="62" t="s">
        <v>184</v>
      </c>
      <c r="L240" s="62" t="s">
        <v>897</v>
      </c>
      <c r="M240" s="62" t="s">
        <v>2543</v>
      </c>
      <c r="N240" s="62" t="s">
        <v>1556</v>
      </c>
      <c r="O240" s="62" t="s">
        <v>2349</v>
      </c>
      <c r="P240" s="30" t="s">
        <v>825</v>
      </c>
      <c r="Q240" s="30" t="s">
        <v>2351</v>
      </c>
      <c r="R240" s="28"/>
      <c r="S240" s="69" t="s">
        <v>2352</v>
      </c>
      <c r="T240" s="69" t="s">
        <v>2352</v>
      </c>
      <c r="U240" s="28">
        <v>0.0</v>
      </c>
      <c r="V240" s="70">
        <v>0.0</v>
      </c>
      <c r="W240" s="30" t="s">
        <v>2353</v>
      </c>
    </row>
    <row r="241">
      <c r="A241" s="67">
        <f>ROW()-ROW(Table_Actions[N])</f>
        <v>84</v>
      </c>
      <c r="B241" s="57" t="s">
        <v>773</v>
      </c>
      <c r="C241" s="66" t="b">
        <v>0</v>
      </c>
      <c r="D241" s="83" t="s">
        <v>2477</v>
      </c>
      <c r="E241" s="62" t="s">
        <v>42</v>
      </c>
      <c r="F241" s="62" t="s">
        <v>48</v>
      </c>
      <c r="G241" s="62" t="s">
        <v>185</v>
      </c>
      <c r="H241" s="62" t="s">
        <v>2346</v>
      </c>
      <c r="I241" s="68" t="s">
        <v>183</v>
      </c>
      <c r="J241" s="62" t="s">
        <v>1048</v>
      </c>
      <c r="K241" s="62" t="s">
        <v>184</v>
      </c>
      <c r="L241" s="62" t="s">
        <v>990</v>
      </c>
      <c r="M241" s="62" t="s">
        <v>1075</v>
      </c>
      <c r="N241" s="62" t="s">
        <v>1556</v>
      </c>
      <c r="O241" s="62" t="s">
        <v>2349</v>
      </c>
      <c r="P241" s="30" t="s">
        <v>825</v>
      </c>
      <c r="Q241" s="30" t="s">
        <v>2351</v>
      </c>
      <c r="R241" s="28"/>
      <c r="S241" s="69" t="s">
        <v>2352</v>
      </c>
      <c r="T241" s="69" t="s">
        <v>2352</v>
      </c>
      <c r="U241" s="28">
        <v>0.0</v>
      </c>
      <c r="V241" s="70">
        <v>0.0</v>
      </c>
      <c r="W241" s="30" t="s">
        <v>2353</v>
      </c>
    </row>
    <row r="242">
      <c r="A242" s="67">
        <f>ROW()-ROW(Table_Actions[N])</f>
        <v>85</v>
      </c>
      <c r="B242" s="57" t="s">
        <v>3189</v>
      </c>
      <c r="C242" s="66" t="b">
        <v>0</v>
      </c>
      <c r="D242" s="83" t="s">
        <v>2477</v>
      </c>
      <c r="E242" s="62" t="s">
        <v>42</v>
      </c>
      <c r="F242" s="62" t="s">
        <v>48</v>
      </c>
      <c r="G242" s="62" t="s">
        <v>185</v>
      </c>
      <c r="H242" s="62" t="s">
        <v>2346</v>
      </c>
      <c r="I242" s="68" t="s">
        <v>183</v>
      </c>
      <c r="J242" s="62" t="s">
        <v>1048</v>
      </c>
      <c r="K242" s="62" t="s">
        <v>184</v>
      </c>
      <c r="L242" s="62" t="s">
        <v>897</v>
      </c>
      <c r="M242" s="62" t="s">
        <v>2662</v>
      </c>
      <c r="N242" s="62" t="s">
        <v>1556</v>
      </c>
      <c r="O242" s="62" t="s">
        <v>2349</v>
      </c>
      <c r="P242" s="30" t="s">
        <v>825</v>
      </c>
      <c r="Q242" s="30" t="s">
        <v>2351</v>
      </c>
      <c r="R242" s="28"/>
      <c r="S242" s="69" t="s">
        <v>2352</v>
      </c>
      <c r="T242" s="69" t="s">
        <v>2352</v>
      </c>
      <c r="U242" s="28">
        <v>0.0</v>
      </c>
      <c r="V242" s="70">
        <v>0.0</v>
      </c>
      <c r="W242" s="30" t="s">
        <v>2353</v>
      </c>
    </row>
    <row r="243">
      <c r="A243" s="67">
        <f>ROW()-ROW(Table_Actions[N])</f>
        <v>86</v>
      </c>
      <c r="B243" s="57" t="s">
        <v>3196</v>
      </c>
      <c r="C243" s="66" t="b">
        <v>0</v>
      </c>
      <c r="D243" s="83" t="s">
        <v>2477</v>
      </c>
      <c r="E243" s="62" t="s">
        <v>42</v>
      </c>
      <c r="F243" s="62" t="s">
        <v>48</v>
      </c>
      <c r="G243" s="62" t="s">
        <v>185</v>
      </c>
      <c r="H243" s="62" t="s">
        <v>2346</v>
      </c>
      <c r="I243" s="68" t="s">
        <v>183</v>
      </c>
      <c r="J243" s="62" t="s">
        <v>1048</v>
      </c>
      <c r="K243" s="62" t="s">
        <v>184</v>
      </c>
      <c r="L243" s="62" t="s">
        <v>897</v>
      </c>
      <c r="M243" s="62" t="s">
        <v>2665</v>
      </c>
      <c r="N243" s="62" t="s">
        <v>1556</v>
      </c>
      <c r="O243" s="62" t="s">
        <v>2349</v>
      </c>
      <c r="P243" s="30" t="s">
        <v>825</v>
      </c>
      <c r="Q243" s="30" t="s">
        <v>2351</v>
      </c>
      <c r="R243" s="28"/>
      <c r="S243" s="69" t="s">
        <v>2352</v>
      </c>
      <c r="T243" s="69" t="s">
        <v>2352</v>
      </c>
      <c r="U243" s="28">
        <v>0.0</v>
      </c>
      <c r="V243" s="70">
        <v>0.0</v>
      </c>
      <c r="W243" s="30" t="s">
        <v>2353</v>
      </c>
    </row>
    <row r="244">
      <c r="A244" s="67">
        <f>ROW()-ROW(Table_Actions[N])</f>
        <v>87</v>
      </c>
      <c r="B244" s="57" t="s">
        <v>805</v>
      </c>
      <c r="C244" s="66" t="b">
        <v>0</v>
      </c>
      <c r="D244" s="83" t="s">
        <v>2477</v>
      </c>
      <c r="E244" s="62" t="s">
        <v>42</v>
      </c>
      <c r="F244" s="62" t="s">
        <v>48</v>
      </c>
      <c r="G244" s="62" t="s">
        <v>185</v>
      </c>
      <c r="H244" s="62" t="s">
        <v>2346</v>
      </c>
      <c r="I244" s="68" t="s">
        <v>183</v>
      </c>
      <c r="J244" s="62" t="s">
        <v>1048</v>
      </c>
      <c r="K244" s="62" t="s">
        <v>184</v>
      </c>
      <c r="L244" s="62" t="s">
        <v>897</v>
      </c>
      <c r="M244" s="62" t="s">
        <v>2670</v>
      </c>
      <c r="N244" s="62" t="s">
        <v>1556</v>
      </c>
      <c r="O244" s="62" t="s">
        <v>2349</v>
      </c>
      <c r="P244" s="30" t="s">
        <v>825</v>
      </c>
      <c r="Q244" s="30" t="s">
        <v>2351</v>
      </c>
      <c r="R244" s="28"/>
      <c r="S244" s="69" t="s">
        <v>2352</v>
      </c>
      <c r="T244" s="69" t="s">
        <v>2352</v>
      </c>
      <c r="U244" s="28">
        <v>0.0</v>
      </c>
      <c r="V244" s="70">
        <v>0.0</v>
      </c>
      <c r="W244" s="30" t="s">
        <v>2353</v>
      </c>
    </row>
    <row r="245">
      <c r="A245" s="67">
        <f>ROW()-ROW(Table_Actions[N])</f>
        <v>88</v>
      </c>
      <c r="B245" s="57" t="s">
        <v>818</v>
      </c>
      <c r="C245" s="66" t="b">
        <v>0</v>
      </c>
      <c r="D245" s="83" t="s">
        <v>2477</v>
      </c>
      <c r="E245" s="62" t="s">
        <v>42</v>
      </c>
      <c r="F245" s="62" t="s">
        <v>48</v>
      </c>
      <c r="G245" s="62" t="s">
        <v>185</v>
      </c>
      <c r="H245" s="62" t="s">
        <v>2346</v>
      </c>
      <c r="I245" s="68" t="s">
        <v>183</v>
      </c>
      <c r="J245" s="62" t="s">
        <v>1048</v>
      </c>
      <c r="K245" s="62" t="s">
        <v>184</v>
      </c>
      <c r="L245" s="62" t="s">
        <v>897</v>
      </c>
      <c r="M245" s="62" t="s">
        <v>2673</v>
      </c>
      <c r="N245" s="62" t="s">
        <v>1556</v>
      </c>
      <c r="O245" s="62" t="s">
        <v>2349</v>
      </c>
      <c r="P245" s="30" t="s">
        <v>825</v>
      </c>
      <c r="Q245" s="30" t="s">
        <v>2351</v>
      </c>
      <c r="R245" s="28"/>
      <c r="S245" s="69" t="s">
        <v>2352</v>
      </c>
      <c r="T245" s="69" t="s">
        <v>2352</v>
      </c>
      <c r="U245" s="28">
        <v>0.0</v>
      </c>
      <c r="V245" s="70">
        <v>0.0</v>
      </c>
      <c r="W245" s="30" t="s">
        <v>2353</v>
      </c>
    </row>
    <row r="246">
      <c r="A246" s="67">
        <f>ROW()-ROW(Table_Actions[N])</f>
        <v>89</v>
      </c>
      <c r="B246" s="57" t="s">
        <v>836</v>
      </c>
      <c r="C246" s="66" t="b">
        <v>0</v>
      </c>
      <c r="D246" s="83" t="s">
        <v>2477</v>
      </c>
      <c r="E246" s="62" t="s">
        <v>42</v>
      </c>
      <c r="F246" s="62" t="s">
        <v>48</v>
      </c>
      <c r="G246" s="62" t="s">
        <v>185</v>
      </c>
      <c r="H246" s="62" t="s">
        <v>2346</v>
      </c>
      <c r="I246" s="68" t="s">
        <v>183</v>
      </c>
      <c r="J246" s="62" t="s">
        <v>1048</v>
      </c>
      <c r="K246" s="62" t="s">
        <v>184</v>
      </c>
      <c r="L246" s="62" t="s">
        <v>897</v>
      </c>
      <c r="M246" s="62" t="s">
        <v>2485</v>
      </c>
      <c r="N246" s="62" t="s">
        <v>1556</v>
      </c>
      <c r="O246" s="62" t="s">
        <v>2349</v>
      </c>
      <c r="P246" s="30" t="s">
        <v>825</v>
      </c>
      <c r="Q246" s="30" t="s">
        <v>2351</v>
      </c>
      <c r="R246" s="28"/>
      <c r="S246" s="69" t="s">
        <v>2352</v>
      </c>
      <c r="T246" s="69" t="s">
        <v>2352</v>
      </c>
      <c r="U246" s="28">
        <v>0.0</v>
      </c>
      <c r="V246" s="70">
        <v>0.0</v>
      </c>
      <c r="W246" s="30" t="s">
        <v>2353</v>
      </c>
    </row>
    <row r="247">
      <c r="A247" s="67">
        <f>ROW()-ROW(Table_Actions[N])</f>
        <v>90</v>
      </c>
      <c r="B247" s="57" t="s">
        <v>3225</v>
      </c>
      <c r="C247" s="66" t="b">
        <v>0</v>
      </c>
      <c r="D247" s="83" t="s">
        <v>2477</v>
      </c>
      <c r="E247" s="62" t="s">
        <v>42</v>
      </c>
      <c r="F247" s="62" t="s">
        <v>48</v>
      </c>
      <c r="G247" s="62" t="s">
        <v>185</v>
      </c>
      <c r="H247" s="62" t="s">
        <v>2346</v>
      </c>
      <c r="I247" s="68" t="s">
        <v>183</v>
      </c>
      <c r="J247" s="62" t="s">
        <v>1048</v>
      </c>
      <c r="K247" s="62" t="s">
        <v>184</v>
      </c>
      <c r="L247" s="62" t="s">
        <v>995</v>
      </c>
      <c r="M247" s="62" t="s">
        <v>1075</v>
      </c>
      <c r="N247" s="62" t="s">
        <v>1556</v>
      </c>
      <c r="O247" s="62" t="s">
        <v>2349</v>
      </c>
      <c r="P247" s="30" t="s">
        <v>825</v>
      </c>
      <c r="Q247" s="30" t="s">
        <v>2351</v>
      </c>
      <c r="R247" s="28"/>
      <c r="S247" s="69" t="s">
        <v>2352</v>
      </c>
      <c r="T247" s="69" t="s">
        <v>2352</v>
      </c>
      <c r="U247" s="28">
        <v>0.0</v>
      </c>
      <c r="V247" s="70">
        <v>0.0</v>
      </c>
      <c r="W247" s="30" t="s">
        <v>2353</v>
      </c>
    </row>
    <row r="248">
      <c r="A248" s="67">
        <f>ROW()-ROW(Table_Actions[N])</f>
        <v>91</v>
      </c>
      <c r="B248" s="57" t="s">
        <v>3234</v>
      </c>
      <c r="C248" s="66" t="b">
        <v>0</v>
      </c>
      <c r="D248" s="83" t="s">
        <v>2477</v>
      </c>
      <c r="E248" s="62" t="s">
        <v>42</v>
      </c>
      <c r="F248" s="62" t="s">
        <v>48</v>
      </c>
      <c r="G248" s="62" t="s">
        <v>185</v>
      </c>
      <c r="H248" s="62" t="s">
        <v>2346</v>
      </c>
      <c r="I248" s="68" t="s">
        <v>183</v>
      </c>
      <c r="J248" s="62" t="s">
        <v>1048</v>
      </c>
      <c r="K248" s="62" t="s">
        <v>184</v>
      </c>
      <c r="L248" s="62" t="s">
        <v>995</v>
      </c>
      <c r="M248" s="62" t="s">
        <v>1075</v>
      </c>
      <c r="N248" s="62" t="s">
        <v>1556</v>
      </c>
      <c r="O248" s="62" t="s">
        <v>2349</v>
      </c>
      <c r="P248" s="30" t="s">
        <v>825</v>
      </c>
      <c r="Q248" s="30" t="s">
        <v>2351</v>
      </c>
      <c r="R248" s="28"/>
      <c r="S248" s="69" t="s">
        <v>2352</v>
      </c>
      <c r="T248" s="69" t="s">
        <v>2352</v>
      </c>
      <c r="U248" s="28">
        <v>0.0</v>
      </c>
      <c r="V248" s="70">
        <v>0.0</v>
      </c>
      <c r="W248" s="30" t="s">
        <v>2353</v>
      </c>
    </row>
    <row r="249">
      <c r="A249" s="67">
        <f>ROW()-ROW(Table_Actions[N])</f>
        <v>92</v>
      </c>
      <c r="B249" s="57" t="s">
        <v>869</v>
      </c>
      <c r="C249" s="66" t="b">
        <v>0</v>
      </c>
      <c r="D249" s="83" t="s">
        <v>2477</v>
      </c>
      <c r="E249" s="62" t="s">
        <v>42</v>
      </c>
      <c r="F249" s="62" t="s">
        <v>48</v>
      </c>
      <c r="G249" s="62" t="s">
        <v>185</v>
      </c>
      <c r="H249" s="62" t="s">
        <v>2346</v>
      </c>
      <c r="I249" s="68" t="s">
        <v>183</v>
      </c>
      <c r="J249" s="62" t="s">
        <v>1048</v>
      </c>
      <c r="K249" s="62" t="s">
        <v>184</v>
      </c>
      <c r="L249" s="62" t="s">
        <v>999</v>
      </c>
      <c r="M249" s="62" t="s">
        <v>1075</v>
      </c>
      <c r="N249" s="62" t="s">
        <v>1556</v>
      </c>
      <c r="O249" s="62" t="s">
        <v>2349</v>
      </c>
      <c r="P249" s="30" t="s">
        <v>825</v>
      </c>
      <c r="Q249" s="30" t="s">
        <v>2351</v>
      </c>
      <c r="R249" s="28"/>
      <c r="S249" s="69" t="s">
        <v>2352</v>
      </c>
      <c r="T249" s="69" t="s">
        <v>2352</v>
      </c>
      <c r="U249" s="28">
        <v>0.0</v>
      </c>
      <c r="V249" s="70">
        <v>0.0</v>
      </c>
      <c r="W249" s="30" t="s">
        <v>2353</v>
      </c>
    </row>
    <row r="250">
      <c r="A250" s="67">
        <f>ROW()-ROW(Table_Actions[N])</f>
        <v>93</v>
      </c>
      <c r="B250" s="57" t="s">
        <v>3250</v>
      </c>
      <c r="C250" s="66" t="b">
        <v>0</v>
      </c>
      <c r="D250" s="83" t="s">
        <v>2477</v>
      </c>
      <c r="E250" s="62" t="s">
        <v>42</v>
      </c>
      <c r="F250" s="62" t="s">
        <v>48</v>
      </c>
      <c r="G250" s="62" t="s">
        <v>185</v>
      </c>
      <c r="H250" s="62" t="s">
        <v>2346</v>
      </c>
      <c r="I250" s="68" t="s">
        <v>183</v>
      </c>
      <c r="J250" s="62" t="s">
        <v>1048</v>
      </c>
      <c r="K250" s="62" t="s">
        <v>184</v>
      </c>
      <c r="L250" s="62" t="s">
        <v>897</v>
      </c>
      <c r="M250" s="62" t="s">
        <v>2688</v>
      </c>
      <c r="N250" s="62" t="s">
        <v>1556</v>
      </c>
      <c r="O250" s="62" t="s">
        <v>2349</v>
      </c>
      <c r="P250" s="30" t="s">
        <v>825</v>
      </c>
      <c r="Q250" s="30" t="s">
        <v>2351</v>
      </c>
      <c r="R250" s="28"/>
      <c r="S250" s="69" t="s">
        <v>2352</v>
      </c>
      <c r="T250" s="69" t="s">
        <v>2352</v>
      </c>
      <c r="U250" s="28">
        <v>0.0</v>
      </c>
      <c r="V250" s="70">
        <v>0.0</v>
      </c>
      <c r="W250" s="30" t="s">
        <v>2353</v>
      </c>
    </row>
    <row r="251">
      <c r="A251" s="67">
        <f>ROW()-ROW(Table_Actions[N])</f>
        <v>94</v>
      </c>
      <c r="B251" s="57" t="s">
        <v>888</v>
      </c>
      <c r="C251" s="66" t="b">
        <v>0</v>
      </c>
      <c r="D251" s="83" t="s">
        <v>2477</v>
      </c>
      <c r="E251" s="62" t="s">
        <v>42</v>
      </c>
      <c r="F251" s="62" t="s">
        <v>48</v>
      </c>
      <c r="G251" s="62" t="s">
        <v>185</v>
      </c>
      <c r="H251" s="62" t="s">
        <v>2346</v>
      </c>
      <c r="I251" s="68" t="s">
        <v>183</v>
      </c>
      <c r="J251" s="62" t="s">
        <v>1048</v>
      </c>
      <c r="K251" s="62" t="s">
        <v>184</v>
      </c>
      <c r="L251" s="62" t="s">
        <v>897</v>
      </c>
      <c r="M251" s="62" t="s">
        <v>2696</v>
      </c>
      <c r="N251" s="62" t="s">
        <v>1556</v>
      </c>
      <c r="O251" s="62" t="s">
        <v>2349</v>
      </c>
      <c r="P251" s="30" t="s">
        <v>825</v>
      </c>
      <c r="Q251" s="30" t="s">
        <v>2351</v>
      </c>
      <c r="R251" s="28"/>
      <c r="S251" s="69" t="s">
        <v>2352</v>
      </c>
      <c r="T251" s="69" t="s">
        <v>2352</v>
      </c>
      <c r="U251" s="28">
        <v>0.0</v>
      </c>
      <c r="V251" s="70">
        <v>0.0</v>
      </c>
      <c r="W251" s="30" t="s">
        <v>2353</v>
      </c>
    </row>
    <row r="252">
      <c r="A252" s="67">
        <f>ROW()-ROW(Table_Actions[N])</f>
        <v>95</v>
      </c>
      <c r="B252" s="57" t="s">
        <v>204</v>
      </c>
      <c r="C252" s="66" t="b">
        <v>0</v>
      </c>
      <c r="D252" s="62" t="s">
        <v>2400</v>
      </c>
      <c r="E252" s="62" t="s">
        <v>42</v>
      </c>
      <c r="F252" s="62" t="s">
        <v>48</v>
      </c>
      <c r="G252" s="62" t="s">
        <v>185</v>
      </c>
      <c r="H252" s="62" t="s">
        <v>2346</v>
      </c>
      <c r="I252" s="68" t="s">
        <v>215</v>
      </c>
      <c r="J252" s="62" t="s">
        <v>1048</v>
      </c>
      <c r="K252" s="62" t="s">
        <v>184</v>
      </c>
      <c r="L252" s="62" t="s">
        <v>889</v>
      </c>
      <c r="M252" s="62" t="s">
        <v>1075</v>
      </c>
      <c r="N252" s="62" t="s">
        <v>1556</v>
      </c>
      <c r="O252" s="62" t="s">
        <v>2349</v>
      </c>
      <c r="P252" s="30" t="s">
        <v>825</v>
      </c>
      <c r="Q252" s="30" t="s">
        <v>2351</v>
      </c>
      <c r="R252" s="28"/>
      <c r="S252" s="69" t="s">
        <v>2352</v>
      </c>
      <c r="T252" s="69" t="s">
        <v>2352</v>
      </c>
      <c r="U252" s="28">
        <v>0.0</v>
      </c>
      <c r="V252" s="70">
        <v>0.0</v>
      </c>
      <c r="W252" s="30" t="s">
        <v>2353</v>
      </c>
    </row>
    <row r="253">
      <c r="A253" s="67">
        <f>ROW()-ROW(Table_Actions[N])</f>
        <v>96</v>
      </c>
      <c r="B253" s="57" t="s">
        <v>216</v>
      </c>
      <c r="C253" s="66" t="b">
        <v>0</v>
      </c>
      <c r="D253" s="62" t="s">
        <v>2400</v>
      </c>
      <c r="E253" s="62" t="s">
        <v>42</v>
      </c>
      <c r="F253" s="62" t="s">
        <v>48</v>
      </c>
      <c r="G253" s="62" t="s">
        <v>185</v>
      </c>
      <c r="H253" s="62" t="s">
        <v>2346</v>
      </c>
      <c r="I253" s="68" t="s">
        <v>199</v>
      </c>
      <c r="J253" s="62" t="s">
        <v>1048</v>
      </c>
      <c r="K253" s="62" t="s">
        <v>184</v>
      </c>
      <c r="L253" s="62" t="s">
        <v>889</v>
      </c>
      <c r="M253" s="62" t="s">
        <v>1075</v>
      </c>
      <c r="N253" s="62" t="s">
        <v>1556</v>
      </c>
      <c r="O253" s="62" t="s">
        <v>2349</v>
      </c>
      <c r="P253" s="30" t="s">
        <v>825</v>
      </c>
      <c r="Q253" s="30" t="s">
        <v>2351</v>
      </c>
      <c r="R253" s="28"/>
      <c r="S253" s="69" t="s">
        <v>2352</v>
      </c>
      <c r="T253" s="69" t="s">
        <v>2352</v>
      </c>
      <c r="U253" s="28">
        <v>0.0</v>
      </c>
      <c r="V253" s="70">
        <v>0.0</v>
      </c>
      <c r="W253" s="30" t="s">
        <v>2353</v>
      </c>
    </row>
    <row r="254">
      <c r="A254" s="67">
        <f>ROW()-ROW(Table_Actions[N])</f>
        <v>97</v>
      </c>
      <c r="B254" s="57" t="s">
        <v>3273</v>
      </c>
      <c r="C254" s="66" t="b">
        <v>0</v>
      </c>
      <c r="D254" s="62" t="s">
        <v>2400</v>
      </c>
      <c r="E254" s="62" t="s">
        <v>42</v>
      </c>
      <c r="F254" s="62" t="s">
        <v>48</v>
      </c>
      <c r="G254" s="62" t="s">
        <v>185</v>
      </c>
      <c r="H254" s="62" t="s">
        <v>2346</v>
      </c>
      <c r="I254" s="68" t="s">
        <v>1728</v>
      </c>
      <c r="J254" s="62" t="s">
        <v>1048</v>
      </c>
      <c r="K254" s="62" t="s">
        <v>184</v>
      </c>
      <c r="L254" s="62" t="s">
        <v>889</v>
      </c>
      <c r="M254" s="62" t="s">
        <v>1075</v>
      </c>
      <c r="N254" s="62" t="s">
        <v>1556</v>
      </c>
      <c r="O254" s="62" t="s">
        <v>2349</v>
      </c>
      <c r="P254" s="30" t="s">
        <v>825</v>
      </c>
      <c r="Q254" s="30" t="s">
        <v>2351</v>
      </c>
      <c r="R254" s="28"/>
      <c r="S254" s="69" t="s">
        <v>2352</v>
      </c>
      <c r="T254" s="69" t="s">
        <v>2352</v>
      </c>
      <c r="U254" s="28">
        <v>0.0</v>
      </c>
      <c r="V254" s="70">
        <v>0.0</v>
      </c>
      <c r="W254" s="30" t="s">
        <v>2353</v>
      </c>
    </row>
    <row r="255">
      <c r="A255" s="67">
        <f>ROW()-ROW(Table_Actions[N])</f>
        <v>98</v>
      </c>
      <c r="B255" s="57" t="s">
        <v>241</v>
      </c>
      <c r="C255" s="66" t="b">
        <v>0</v>
      </c>
      <c r="D255" s="62" t="s">
        <v>2400</v>
      </c>
      <c r="E255" s="62" t="s">
        <v>42</v>
      </c>
      <c r="F255" s="62" t="s">
        <v>48</v>
      </c>
      <c r="G255" s="62" t="s">
        <v>185</v>
      </c>
      <c r="H255" s="62" t="s">
        <v>2346</v>
      </c>
      <c r="I255" s="68" t="s">
        <v>249</v>
      </c>
      <c r="J255" s="62" t="s">
        <v>1048</v>
      </c>
      <c r="K255" s="62" t="s">
        <v>184</v>
      </c>
      <c r="L255" s="62" t="s">
        <v>889</v>
      </c>
      <c r="M255" s="62" t="s">
        <v>1075</v>
      </c>
      <c r="N255" s="62" t="s">
        <v>1556</v>
      </c>
      <c r="O255" s="62" t="s">
        <v>2349</v>
      </c>
      <c r="P255" s="30" t="s">
        <v>825</v>
      </c>
      <c r="Q255" s="30" t="s">
        <v>2351</v>
      </c>
      <c r="R255" s="28"/>
      <c r="S255" s="69" t="s">
        <v>2352</v>
      </c>
      <c r="T255" s="69" t="s">
        <v>2352</v>
      </c>
      <c r="U255" s="28">
        <v>0.0</v>
      </c>
      <c r="V255" s="70">
        <v>0.0</v>
      </c>
      <c r="W255" s="30" t="s">
        <v>2353</v>
      </c>
    </row>
    <row r="256">
      <c r="A256" s="67">
        <f>ROW()-ROW(Table_Actions[N])</f>
        <v>99</v>
      </c>
      <c r="B256" s="57" t="s">
        <v>254</v>
      </c>
      <c r="C256" s="66" t="b">
        <v>0</v>
      </c>
      <c r="D256" s="62" t="s">
        <v>2400</v>
      </c>
      <c r="E256" s="62" t="s">
        <v>42</v>
      </c>
      <c r="F256" s="62" t="s">
        <v>48</v>
      </c>
      <c r="G256" s="62" t="s">
        <v>185</v>
      </c>
      <c r="H256" s="62" t="s">
        <v>2346</v>
      </c>
      <c r="I256" s="68" t="s">
        <v>238</v>
      </c>
      <c r="J256" s="62" t="s">
        <v>1048</v>
      </c>
      <c r="K256" s="62" t="s">
        <v>184</v>
      </c>
      <c r="L256" s="62" t="s">
        <v>889</v>
      </c>
      <c r="M256" s="62" t="s">
        <v>1075</v>
      </c>
      <c r="N256" s="62" t="s">
        <v>1556</v>
      </c>
      <c r="O256" s="62" t="s">
        <v>2349</v>
      </c>
      <c r="P256" s="30" t="s">
        <v>825</v>
      </c>
      <c r="Q256" s="30" t="s">
        <v>2351</v>
      </c>
      <c r="R256" s="28"/>
      <c r="S256" s="69" t="s">
        <v>2352</v>
      </c>
      <c r="T256" s="69" t="s">
        <v>2352</v>
      </c>
      <c r="U256" s="28">
        <v>0.0</v>
      </c>
      <c r="V256" s="70">
        <v>0.0</v>
      </c>
      <c r="W256" s="30" t="s">
        <v>2353</v>
      </c>
    </row>
    <row r="257">
      <c r="A257" s="67">
        <f>ROW()-ROW(Table_Actions[N])</f>
        <v>100</v>
      </c>
      <c r="B257" s="57" t="s">
        <v>3274</v>
      </c>
      <c r="C257" s="66" t="b">
        <v>0</v>
      </c>
      <c r="D257" s="62" t="s">
        <v>2400</v>
      </c>
      <c r="E257" s="62" t="s">
        <v>42</v>
      </c>
      <c r="F257" s="62" t="s">
        <v>48</v>
      </c>
      <c r="G257" s="62" t="s">
        <v>185</v>
      </c>
      <c r="H257" s="62" t="s">
        <v>2346</v>
      </c>
      <c r="I257" s="68" t="s">
        <v>2700</v>
      </c>
      <c r="J257" s="62" t="s">
        <v>1048</v>
      </c>
      <c r="K257" s="62" t="s">
        <v>184</v>
      </c>
      <c r="L257" s="62" t="s">
        <v>889</v>
      </c>
      <c r="M257" s="62" t="s">
        <v>1075</v>
      </c>
      <c r="N257" s="62" t="s">
        <v>1556</v>
      </c>
      <c r="O257" s="62" t="s">
        <v>2349</v>
      </c>
      <c r="P257" s="30" t="s">
        <v>825</v>
      </c>
      <c r="Q257" s="30" t="s">
        <v>2351</v>
      </c>
      <c r="R257" s="28"/>
      <c r="S257" s="69" t="s">
        <v>2352</v>
      </c>
      <c r="T257" s="69" t="s">
        <v>2352</v>
      </c>
      <c r="U257" s="28">
        <v>0.0</v>
      </c>
      <c r="V257" s="70">
        <v>0.0</v>
      </c>
      <c r="W257" s="30" t="s">
        <v>2353</v>
      </c>
    </row>
    <row r="258">
      <c r="A258" s="67">
        <f>ROW()-ROW(Table_Actions[N])</f>
        <v>101</v>
      </c>
      <c r="B258" s="57" t="s">
        <v>3275</v>
      </c>
      <c r="C258" s="66" t="b">
        <v>0</v>
      </c>
      <c r="D258" s="62" t="s">
        <v>2400</v>
      </c>
      <c r="E258" s="62" t="s">
        <v>42</v>
      </c>
      <c r="F258" s="62" t="s">
        <v>48</v>
      </c>
      <c r="G258" s="62" t="s">
        <v>185</v>
      </c>
      <c r="H258" s="62" t="s">
        <v>2346</v>
      </c>
      <c r="I258" s="68" t="s">
        <v>341</v>
      </c>
      <c r="J258" s="62" t="s">
        <v>1048</v>
      </c>
      <c r="K258" s="62" t="s">
        <v>184</v>
      </c>
      <c r="L258" s="62" t="s">
        <v>889</v>
      </c>
      <c r="M258" s="62" t="s">
        <v>1075</v>
      </c>
      <c r="N258" s="62" t="s">
        <v>1556</v>
      </c>
      <c r="O258" s="62" t="s">
        <v>2349</v>
      </c>
      <c r="P258" s="30" t="s">
        <v>825</v>
      </c>
      <c r="Q258" s="30" t="s">
        <v>2351</v>
      </c>
      <c r="R258" s="28"/>
      <c r="S258" s="69" t="s">
        <v>2352</v>
      </c>
      <c r="T258" s="69" t="s">
        <v>2352</v>
      </c>
      <c r="U258" s="28">
        <v>0.0</v>
      </c>
      <c r="V258" s="70">
        <v>0.0</v>
      </c>
      <c r="W258" s="30" t="s">
        <v>2353</v>
      </c>
    </row>
    <row r="259">
      <c r="A259" s="67">
        <f>ROW()-ROW(Table_Actions[N])</f>
        <v>102</v>
      </c>
      <c r="B259" s="57" t="s">
        <v>3276</v>
      </c>
      <c r="C259" s="66" t="b">
        <v>0</v>
      </c>
      <c r="D259" s="62" t="s">
        <v>2400</v>
      </c>
      <c r="E259" s="62" t="s">
        <v>42</v>
      </c>
      <c r="F259" s="62" t="s">
        <v>48</v>
      </c>
      <c r="G259" s="62" t="s">
        <v>185</v>
      </c>
      <c r="H259" s="62" t="s">
        <v>2346</v>
      </c>
      <c r="I259" s="68" t="s">
        <v>1757</v>
      </c>
      <c r="J259" s="62" t="s">
        <v>1048</v>
      </c>
      <c r="K259" s="62" t="s">
        <v>184</v>
      </c>
      <c r="L259" s="62" t="s">
        <v>889</v>
      </c>
      <c r="M259" s="62" t="s">
        <v>1075</v>
      </c>
      <c r="N259" s="62" t="s">
        <v>1556</v>
      </c>
      <c r="O259" s="62" t="s">
        <v>2349</v>
      </c>
      <c r="P259" s="30" t="s">
        <v>825</v>
      </c>
      <c r="Q259" s="30" t="s">
        <v>2351</v>
      </c>
      <c r="R259" s="28"/>
      <c r="S259" s="69" t="s">
        <v>2352</v>
      </c>
      <c r="T259" s="69" t="s">
        <v>2352</v>
      </c>
      <c r="U259" s="28">
        <v>0.0</v>
      </c>
      <c r="V259" s="70">
        <v>0.0</v>
      </c>
      <c r="W259" s="30" t="s">
        <v>2353</v>
      </c>
    </row>
    <row r="260">
      <c r="A260" s="67">
        <f>ROW()-ROW(Table_Actions[N])</f>
        <v>103</v>
      </c>
      <c r="B260" s="57" t="s">
        <v>3277</v>
      </c>
      <c r="C260" s="66" t="b">
        <v>0</v>
      </c>
      <c r="D260" s="62" t="s">
        <v>2400</v>
      </c>
      <c r="E260" s="62" t="s">
        <v>42</v>
      </c>
      <c r="F260" s="62" t="s">
        <v>48</v>
      </c>
      <c r="G260" s="62" t="s">
        <v>185</v>
      </c>
      <c r="H260" s="62" t="s">
        <v>2346</v>
      </c>
      <c r="I260" s="68" t="s">
        <v>386</v>
      </c>
      <c r="J260" s="62" t="s">
        <v>1048</v>
      </c>
      <c r="K260" s="62" t="s">
        <v>184</v>
      </c>
      <c r="L260" s="62" t="s">
        <v>889</v>
      </c>
      <c r="M260" s="62" t="s">
        <v>1075</v>
      </c>
      <c r="N260" s="62" t="s">
        <v>1556</v>
      </c>
      <c r="O260" s="62" t="s">
        <v>2349</v>
      </c>
      <c r="P260" s="30" t="s">
        <v>825</v>
      </c>
      <c r="Q260" s="30" t="s">
        <v>2351</v>
      </c>
      <c r="R260" s="28"/>
      <c r="S260" s="69" t="s">
        <v>2352</v>
      </c>
      <c r="T260" s="69" t="s">
        <v>2352</v>
      </c>
      <c r="U260" s="28">
        <v>0.0</v>
      </c>
      <c r="V260" s="70">
        <v>0.0</v>
      </c>
      <c r="W260" s="30" t="s">
        <v>2353</v>
      </c>
    </row>
    <row r="261">
      <c r="A261" s="67">
        <f>ROW()-ROW(Table_Actions[N])</f>
        <v>104</v>
      </c>
      <c r="B261" s="57" t="s">
        <v>3278</v>
      </c>
      <c r="C261" s="66" t="b">
        <v>0</v>
      </c>
      <c r="D261" s="62" t="s">
        <v>2400</v>
      </c>
      <c r="E261" s="62" t="s">
        <v>42</v>
      </c>
      <c r="F261" s="62" t="s">
        <v>48</v>
      </c>
      <c r="G261" s="62" t="s">
        <v>185</v>
      </c>
      <c r="H261" s="62" t="s">
        <v>2346</v>
      </c>
      <c r="I261" s="68" t="s">
        <v>1866</v>
      </c>
      <c r="J261" s="62" t="s">
        <v>1048</v>
      </c>
      <c r="K261" s="62" t="s">
        <v>184</v>
      </c>
      <c r="L261" s="62" t="s">
        <v>889</v>
      </c>
      <c r="M261" s="62" t="s">
        <v>1075</v>
      </c>
      <c r="N261" s="62" t="s">
        <v>1556</v>
      </c>
      <c r="O261" s="62" t="s">
        <v>2349</v>
      </c>
      <c r="P261" s="30" t="s">
        <v>825</v>
      </c>
      <c r="Q261" s="30" t="s">
        <v>2351</v>
      </c>
      <c r="R261" s="28"/>
      <c r="S261" s="69" t="s">
        <v>2352</v>
      </c>
      <c r="T261" s="69" t="s">
        <v>2352</v>
      </c>
      <c r="U261" s="28">
        <v>0.0</v>
      </c>
      <c r="V261" s="70">
        <v>0.0</v>
      </c>
      <c r="W261" s="30" t="s">
        <v>2353</v>
      </c>
    </row>
    <row r="262">
      <c r="A262" s="67">
        <f>ROW()-ROW(Table_Actions[N])</f>
        <v>105</v>
      </c>
      <c r="B262" s="57" t="s">
        <v>3279</v>
      </c>
      <c r="C262" s="66" t="b">
        <v>0</v>
      </c>
      <c r="D262" s="62" t="s">
        <v>2400</v>
      </c>
      <c r="E262" s="62" t="s">
        <v>42</v>
      </c>
      <c r="F262" s="62" t="s">
        <v>48</v>
      </c>
      <c r="G262" s="62" t="s">
        <v>185</v>
      </c>
      <c r="H262" s="62" t="s">
        <v>2346</v>
      </c>
      <c r="I262" s="68" t="s">
        <v>612</v>
      </c>
      <c r="J262" s="62" t="s">
        <v>1048</v>
      </c>
      <c r="K262" s="62" t="s">
        <v>184</v>
      </c>
      <c r="L262" s="62" t="s">
        <v>889</v>
      </c>
      <c r="M262" s="62" t="s">
        <v>1075</v>
      </c>
      <c r="N262" s="62" t="s">
        <v>1556</v>
      </c>
      <c r="O262" s="62" t="s">
        <v>2349</v>
      </c>
      <c r="P262" s="30" t="s">
        <v>825</v>
      </c>
      <c r="Q262" s="30" t="s">
        <v>2351</v>
      </c>
      <c r="R262" s="28"/>
      <c r="S262" s="69" t="s">
        <v>2352</v>
      </c>
      <c r="T262" s="69" t="s">
        <v>2352</v>
      </c>
      <c r="U262" s="28">
        <v>0.0</v>
      </c>
      <c r="V262" s="70">
        <v>0.0</v>
      </c>
      <c r="W262" s="30" t="s">
        <v>2353</v>
      </c>
    </row>
    <row r="263">
      <c r="A263" s="67">
        <f>ROW()-ROW(Table_Actions[N])</f>
        <v>106</v>
      </c>
      <c r="B263" s="57" t="s">
        <v>3280</v>
      </c>
      <c r="C263" s="66" t="b">
        <v>0</v>
      </c>
      <c r="D263" s="62" t="s">
        <v>2400</v>
      </c>
      <c r="E263" s="62" t="s">
        <v>42</v>
      </c>
      <c r="F263" s="62" t="s">
        <v>48</v>
      </c>
      <c r="G263" s="62" t="s">
        <v>185</v>
      </c>
      <c r="H263" s="62" t="s">
        <v>2346</v>
      </c>
      <c r="I263" s="68" t="s">
        <v>631</v>
      </c>
      <c r="J263" s="62" t="s">
        <v>1048</v>
      </c>
      <c r="K263" s="62" t="s">
        <v>184</v>
      </c>
      <c r="L263" s="62" t="s">
        <v>889</v>
      </c>
      <c r="M263" s="62" t="s">
        <v>1075</v>
      </c>
      <c r="N263" s="62" t="s">
        <v>1556</v>
      </c>
      <c r="O263" s="62" t="s">
        <v>2349</v>
      </c>
      <c r="P263" s="30" t="s">
        <v>825</v>
      </c>
      <c r="Q263" s="30" t="s">
        <v>2351</v>
      </c>
      <c r="R263" s="28"/>
      <c r="S263" s="69" t="s">
        <v>2352</v>
      </c>
      <c r="T263" s="69" t="s">
        <v>2352</v>
      </c>
      <c r="U263" s="28">
        <v>0.0</v>
      </c>
      <c r="V263" s="70">
        <v>0.0</v>
      </c>
      <c r="W263" s="30" t="s">
        <v>2353</v>
      </c>
    </row>
    <row r="264">
      <c r="A264" s="67">
        <f>ROW()-ROW(Table_Actions[N])</f>
        <v>107</v>
      </c>
      <c r="B264" s="57" t="s">
        <v>3281</v>
      </c>
      <c r="C264" s="66" t="b">
        <v>0</v>
      </c>
      <c r="D264" s="62" t="s">
        <v>2400</v>
      </c>
      <c r="E264" s="62" t="s">
        <v>42</v>
      </c>
      <c r="F264" s="62" t="s">
        <v>48</v>
      </c>
      <c r="G264" s="62" t="s">
        <v>185</v>
      </c>
      <c r="H264" s="62" t="s">
        <v>2346</v>
      </c>
      <c r="I264" s="68" t="s">
        <v>1908</v>
      </c>
      <c r="J264" s="62" t="s">
        <v>1048</v>
      </c>
      <c r="K264" s="62" t="s">
        <v>184</v>
      </c>
      <c r="L264" s="62" t="s">
        <v>889</v>
      </c>
      <c r="M264" s="62" t="s">
        <v>1075</v>
      </c>
      <c r="N264" s="62" t="s">
        <v>1556</v>
      </c>
      <c r="O264" s="62" t="s">
        <v>2349</v>
      </c>
      <c r="P264" s="30" t="s">
        <v>825</v>
      </c>
      <c r="Q264" s="30" t="s">
        <v>2351</v>
      </c>
      <c r="R264" s="28"/>
      <c r="S264" s="69" t="s">
        <v>2352</v>
      </c>
      <c r="T264" s="69" t="s">
        <v>2352</v>
      </c>
      <c r="U264" s="28">
        <v>0.0</v>
      </c>
      <c r="V264" s="70">
        <v>0.0</v>
      </c>
      <c r="W264" s="30" t="s">
        <v>2353</v>
      </c>
    </row>
    <row r="265">
      <c r="A265" s="67">
        <f>ROW()-ROW(Table_Actions[N])</f>
        <v>108</v>
      </c>
      <c r="B265" s="57" t="s">
        <v>3282</v>
      </c>
      <c r="C265" s="66" t="b">
        <v>0</v>
      </c>
      <c r="D265" s="62" t="s">
        <v>2400</v>
      </c>
      <c r="E265" s="62" t="s">
        <v>42</v>
      </c>
      <c r="F265" s="62" t="s">
        <v>48</v>
      </c>
      <c r="G265" s="62" t="s">
        <v>185</v>
      </c>
      <c r="H265" s="62" t="s">
        <v>2346</v>
      </c>
      <c r="I265" s="68" t="s">
        <v>696</v>
      </c>
      <c r="J265" s="62" t="s">
        <v>1048</v>
      </c>
      <c r="K265" s="62" t="s">
        <v>184</v>
      </c>
      <c r="L265" s="62" t="s">
        <v>889</v>
      </c>
      <c r="M265" s="62" t="s">
        <v>1075</v>
      </c>
      <c r="N265" s="62" t="s">
        <v>1556</v>
      </c>
      <c r="O265" s="62" t="s">
        <v>2349</v>
      </c>
      <c r="P265" s="30" t="s">
        <v>825</v>
      </c>
      <c r="Q265" s="30" t="s">
        <v>2351</v>
      </c>
      <c r="R265" s="28"/>
      <c r="S265" s="69" t="s">
        <v>2352</v>
      </c>
      <c r="T265" s="69" t="s">
        <v>2352</v>
      </c>
      <c r="U265" s="28">
        <v>0.0</v>
      </c>
      <c r="V265" s="70">
        <v>0.0</v>
      </c>
      <c r="W265" s="30" t="s">
        <v>2353</v>
      </c>
    </row>
    <row r="266">
      <c r="A266" s="67">
        <f>ROW()-ROW(Table_Actions[N])</f>
        <v>109</v>
      </c>
      <c r="B266" s="57" t="s">
        <v>3283</v>
      </c>
      <c r="C266" s="66" t="b">
        <v>0</v>
      </c>
      <c r="D266" s="62" t="s">
        <v>2400</v>
      </c>
      <c r="E266" s="62" t="s">
        <v>42</v>
      </c>
      <c r="F266" s="62" t="s">
        <v>48</v>
      </c>
      <c r="G266" s="62" t="s">
        <v>185</v>
      </c>
      <c r="H266" s="62" t="s">
        <v>2346</v>
      </c>
      <c r="I266" s="68" t="s">
        <v>1940</v>
      </c>
      <c r="J266" s="62" t="s">
        <v>1048</v>
      </c>
      <c r="K266" s="62" t="s">
        <v>184</v>
      </c>
      <c r="L266" s="62" t="s">
        <v>889</v>
      </c>
      <c r="M266" s="62" t="s">
        <v>1075</v>
      </c>
      <c r="N266" s="62" t="s">
        <v>1556</v>
      </c>
      <c r="O266" s="62" t="s">
        <v>2349</v>
      </c>
      <c r="P266" s="30" t="s">
        <v>825</v>
      </c>
      <c r="Q266" s="30" t="s">
        <v>2351</v>
      </c>
      <c r="R266" s="28"/>
      <c r="S266" s="69" t="s">
        <v>2352</v>
      </c>
      <c r="T266" s="69" t="s">
        <v>2352</v>
      </c>
      <c r="U266" s="28">
        <v>0.0</v>
      </c>
      <c r="V266" s="70">
        <v>0.0</v>
      </c>
      <c r="W266" s="30" t="s">
        <v>2353</v>
      </c>
    </row>
    <row r="267">
      <c r="A267" s="67">
        <f>ROW()-ROW(Table_Actions[N])</f>
        <v>110</v>
      </c>
      <c r="B267" s="57" t="s">
        <v>3284</v>
      </c>
      <c r="C267" s="66" t="b">
        <v>0</v>
      </c>
      <c r="D267" s="62" t="s">
        <v>2400</v>
      </c>
      <c r="E267" s="62" t="s">
        <v>42</v>
      </c>
      <c r="F267" s="62" t="s">
        <v>48</v>
      </c>
      <c r="G267" s="62" t="s">
        <v>185</v>
      </c>
      <c r="H267" s="62" t="s">
        <v>2346</v>
      </c>
      <c r="I267" s="68" t="s">
        <v>1954</v>
      </c>
      <c r="J267" s="62" t="s">
        <v>1048</v>
      </c>
      <c r="K267" s="62" t="s">
        <v>184</v>
      </c>
      <c r="L267" s="62" t="s">
        <v>889</v>
      </c>
      <c r="M267" s="62" t="s">
        <v>1075</v>
      </c>
      <c r="N267" s="62" t="s">
        <v>1556</v>
      </c>
      <c r="O267" s="62" t="s">
        <v>2349</v>
      </c>
      <c r="P267" s="30" t="s">
        <v>825</v>
      </c>
      <c r="Q267" s="30" t="s">
        <v>2351</v>
      </c>
      <c r="R267" s="28"/>
      <c r="S267" s="69" t="s">
        <v>2352</v>
      </c>
      <c r="T267" s="69" t="s">
        <v>2352</v>
      </c>
      <c r="U267" s="28">
        <v>0.0</v>
      </c>
      <c r="V267" s="70">
        <v>0.0</v>
      </c>
      <c r="W267" s="30" t="s">
        <v>2353</v>
      </c>
    </row>
    <row r="268">
      <c r="A268" s="67">
        <f>ROW()-ROW(Table_Actions[N])</f>
        <v>111</v>
      </c>
      <c r="B268" s="57" t="s">
        <v>3285</v>
      </c>
      <c r="C268" s="66" t="b">
        <v>0</v>
      </c>
      <c r="D268" s="62" t="s">
        <v>2400</v>
      </c>
      <c r="E268" s="62" t="s">
        <v>42</v>
      </c>
      <c r="F268" s="62" t="s">
        <v>48</v>
      </c>
      <c r="G268" s="62" t="s">
        <v>185</v>
      </c>
      <c r="H268" s="62" t="s">
        <v>2346</v>
      </c>
      <c r="I268" s="68" t="s">
        <v>760</v>
      </c>
      <c r="J268" s="62" t="s">
        <v>1048</v>
      </c>
      <c r="K268" s="62" t="s">
        <v>184</v>
      </c>
      <c r="L268" s="62" t="s">
        <v>889</v>
      </c>
      <c r="M268" s="62" t="s">
        <v>1075</v>
      </c>
      <c r="N268" s="62" t="s">
        <v>1556</v>
      </c>
      <c r="O268" s="62" t="s">
        <v>2349</v>
      </c>
      <c r="P268" s="30" t="s">
        <v>825</v>
      </c>
      <c r="Q268" s="30" t="s">
        <v>2351</v>
      </c>
      <c r="R268" s="28"/>
      <c r="S268" s="69" t="s">
        <v>2352</v>
      </c>
      <c r="T268" s="69" t="s">
        <v>2352</v>
      </c>
      <c r="U268" s="28">
        <v>0.0</v>
      </c>
      <c r="V268" s="70">
        <v>0.0</v>
      </c>
      <c r="W268" s="30" t="s">
        <v>2353</v>
      </c>
    </row>
    <row r="269">
      <c r="A269" s="67">
        <f>ROW()-ROW(Table_Actions[N])</f>
        <v>112</v>
      </c>
      <c r="B269" s="57" t="s">
        <v>3286</v>
      </c>
      <c r="C269" s="66" t="b">
        <v>0</v>
      </c>
      <c r="D269" s="62" t="s">
        <v>2400</v>
      </c>
      <c r="E269" s="62" t="s">
        <v>42</v>
      </c>
      <c r="F269" s="62" t="s">
        <v>48</v>
      </c>
      <c r="G269" s="62" t="s">
        <v>185</v>
      </c>
      <c r="H269" s="62" t="s">
        <v>2346</v>
      </c>
      <c r="I269" s="68" t="s">
        <v>849</v>
      </c>
      <c r="J269" s="62" t="s">
        <v>1048</v>
      </c>
      <c r="K269" s="62" t="s">
        <v>184</v>
      </c>
      <c r="L269" s="62" t="s">
        <v>889</v>
      </c>
      <c r="M269" s="62" t="s">
        <v>1075</v>
      </c>
      <c r="N269" s="62" t="s">
        <v>1556</v>
      </c>
      <c r="O269" s="62" t="s">
        <v>2349</v>
      </c>
      <c r="P269" s="30" t="s">
        <v>825</v>
      </c>
      <c r="Q269" s="30" t="s">
        <v>2351</v>
      </c>
      <c r="R269" s="28"/>
      <c r="S269" s="69" t="s">
        <v>2352</v>
      </c>
      <c r="T269" s="69" t="s">
        <v>2352</v>
      </c>
      <c r="U269" s="28">
        <v>0.0</v>
      </c>
      <c r="V269" s="70">
        <v>0.0</v>
      </c>
      <c r="W269" s="30" t="s">
        <v>2353</v>
      </c>
    </row>
    <row r="270">
      <c r="A270" s="67">
        <f>ROW()-ROW(Table_Actions[N])</f>
        <v>113</v>
      </c>
      <c r="B270" s="57" t="s">
        <v>3287</v>
      </c>
      <c r="C270" s="66" t="b">
        <v>0</v>
      </c>
      <c r="D270" s="62" t="s">
        <v>2400</v>
      </c>
      <c r="E270" s="62" t="s">
        <v>42</v>
      </c>
      <c r="F270" s="62" t="s">
        <v>48</v>
      </c>
      <c r="G270" s="62" t="s">
        <v>185</v>
      </c>
      <c r="H270" s="62" t="s">
        <v>2346</v>
      </c>
      <c r="I270" s="68" t="s">
        <v>1741</v>
      </c>
      <c r="J270" s="62" t="s">
        <v>1048</v>
      </c>
      <c r="K270" s="62" t="s">
        <v>184</v>
      </c>
      <c r="L270" s="62" t="s">
        <v>889</v>
      </c>
      <c r="M270" s="62" t="s">
        <v>1075</v>
      </c>
      <c r="N270" s="62" t="s">
        <v>1556</v>
      </c>
      <c r="O270" s="62" t="s">
        <v>2349</v>
      </c>
      <c r="P270" s="30" t="s">
        <v>825</v>
      </c>
      <c r="Q270" s="30" t="s">
        <v>2351</v>
      </c>
      <c r="R270" s="28"/>
      <c r="S270" s="69" t="s">
        <v>2352</v>
      </c>
      <c r="T270" s="69" t="s">
        <v>2352</v>
      </c>
      <c r="U270" s="28">
        <v>0.0</v>
      </c>
      <c r="V270" s="70">
        <v>0.0</v>
      </c>
      <c r="W270" s="30" t="s">
        <v>2353</v>
      </c>
    </row>
    <row r="271">
      <c r="A271" s="67">
        <f>ROW()-ROW(Table_Actions[N])</f>
        <v>114</v>
      </c>
      <c r="B271" s="57" t="s">
        <v>3288</v>
      </c>
      <c r="C271" s="66" t="b">
        <v>0</v>
      </c>
      <c r="D271" s="62" t="s">
        <v>2400</v>
      </c>
      <c r="E271" s="62" t="s">
        <v>42</v>
      </c>
      <c r="F271" s="62" t="s">
        <v>48</v>
      </c>
      <c r="G271" s="62" t="s">
        <v>185</v>
      </c>
      <c r="H271" s="62" t="s">
        <v>2346</v>
      </c>
      <c r="I271" s="68" t="s">
        <v>866</v>
      </c>
      <c r="J271" s="62" t="s">
        <v>1048</v>
      </c>
      <c r="K271" s="62" t="s">
        <v>184</v>
      </c>
      <c r="L271" s="62" t="s">
        <v>889</v>
      </c>
      <c r="M271" s="62" t="s">
        <v>1075</v>
      </c>
      <c r="N271" s="62" t="s">
        <v>1556</v>
      </c>
      <c r="O271" s="62" t="s">
        <v>2349</v>
      </c>
      <c r="P271" s="30" t="s">
        <v>825</v>
      </c>
      <c r="Q271" s="30" t="s">
        <v>2351</v>
      </c>
      <c r="R271" s="28"/>
      <c r="S271" s="69" t="s">
        <v>2352</v>
      </c>
      <c r="T271" s="69" t="s">
        <v>2352</v>
      </c>
      <c r="U271" s="28">
        <v>0.0</v>
      </c>
      <c r="V271" s="70">
        <v>0.0</v>
      </c>
      <c r="W271" s="30" t="s">
        <v>2353</v>
      </c>
    </row>
    <row r="272">
      <c r="A272" s="67">
        <f>ROW()-ROW(Table_Actions[N])</f>
        <v>115</v>
      </c>
      <c r="B272" s="57" t="s">
        <v>3289</v>
      </c>
      <c r="C272" s="66" t="b">
        <v>0</v>
      </c>
      <c r="D272" s="62" t="s">
        <v>2400</v>
      </c>
      <c r="E272" s="62" t="s">
        <v>42</v>
      </c>
      <c r="F272" s="62" t="s">
        <v>48</v>
      </c>
      <c r="G272" s="62" t="s">
        <v>185</v>
      </c>
      <c r="H272" s="62" t="s">
        <v>2346</v>
      </c>
      <c r="I272" s="68" t="s">
        <v>790</v>
      </c>
      <c r="J272" s="62" t="s">
        <v>1048</v>
      </c>
      <c r="K272" s="62" t="s">
        <v>184</v>
      </c>
      <c r="L272" s="62" t="s">
        <v>889</v>
      </c>
      <c r="M272" s="62" t="s">
        <v>1075</v>
      </c>
      <c r="N272" s="62" t="s">
        <v>1556</v>
      </c>
      <c r="O272" s="62" t="s">
        <v>2349</v>
      </c>
      <c r="P272" s="30" t="s">
        <v>825</v>
      </c>
      <c r="Q272" s="30" t="s">
        <v>2351</v>
      </c>
      <c r="R272" s="28"/>
      <c r="S272" s="69" t="s">
        <v>2352</v>
      </c>
      <c r="T272" s="69" t="s">
        <v>2352</v>
      </c>
      <c r="U272" s="28">
        <v>0.0</v>
      </c>
      <c r="V272" s="70">
        <v>0.0</v>
      </c>
      <c r="W272" s="30" t="s">
        <v>2353</v>
      </c>
    </row>
    <row r="273">
      <c r="A273" s="67">
        <f>ROW()-ROW(Table_Actions[N])</f>
        <v>116</v>
      </c>
      <c r="B273" s="57" t="s">
        <v>1431</v>
      </c>
      <c r="C273" s="66" t="b">
        <v>0</v>
      </c>
      <c r="D273" s="62" t="s">
        <v>2400</v>
      </c>
      <c r="E273" s="62" t="s">
        <v>42</v>
      </c>
      <c r="F273" s="62" t="s">
        <v>48</v>
      </c>
      <c r="G273" s="62" t="s">
        <v>185</v>
      </c>
      <c r="H273" s="62" t="s">
        <v>2346</v>
      </c>
      <c r="I273" s="68" t="s">
        <v>1442</v>
      </c>
      <c r="J273" s="62" t="s">
        <v>1048</v>
      </c>
      <c r="K273" s="62" t="s">
        <v>184</v>
      </c>
      <c r="L273" s="62" t="s">
        <v>889</v>
      </c>
      <c r="M273" s="62" t="s">
        <v>1075</v>
      </c>
      <c r="N273" s="62" t="s">
        <v>1556</v>
      </c>
      <c r="O273" s="62" t="s">
        <v>2349</v>
      </c>
      <c r="P273" s="30" t="s">
        <v>825</v>
      </c>
      <c r="Q273" s="30" t="s">
        <v>2351</v>
      </c>
      <c r="R273" s="28"/>
      <c r="S273" s="69" t="s">
        <v>2352</v>
      </c>
      <c r="T273" s="69" t="s">
        <v>2352</v>
      </c>
      <c r="U273" s="28">
        <v>0.0</v>
      </c>
      <c r="V273" s="70">
        <v>0.0</v>
      </c>
      <c r="W273" s="30" t="s">
        <v>2353</v>
      </c>
    </row>
    <row r="274">
      <c r="A274" s="67">
        <f>ROW()-ROW(Table_Actions[N])</f>
        <v>117</v>
      </c>
      <c r="B274" s="57" t="s">
        <v>3290</v>
      </c>
      <c r="C274" s="66" t="b">
        <v>0</v>
      </c>
      <c r="D274" s="62" t="s">
        <v>2400</v>
      </c>
      <c r="E274" s="62" t="s">
        <v>42</v>
      </c>
      <c r="F274" s="62" t="s">
        <v>48</v>
      </c>
      <c r="G274" s="62" t="s">
        <v>185</v>
      </c>
      <c r="H274" s="62" t="s">
        <v>2346</v>
      </c>
      <c r="I274" s="68" t="s">
        <v>2708</v>
      </c>
      <c r="J274" s="62" t="s">
        <v>1048</v>
      </c>
      <c r="K274" s="62" t="s">
        <v>184</v>
      </c>
      <c r="L274" s="62" t="s">
        <v>889</v>
      </c>
      <c r="M274" s="62" t="s">
        <v>1075</v>
      </c>
      <c r="N274" s="62" t="s">
        <v>1556</v>
      </c>
      <c r="O274" s="62" t="s">
        <v>2349</v>
      </c>
      <c r="P274" s="30" t="s">
        <v>825</v>
      </c>
      <c r="Q274" s="30" t="s">
        <v>2351</v>
      </c>
      <c r="R274" s="28"/>
      <c r="S274" s="69" t="s">
        <v>2352</v>
      </c>
      <c r="T274" s="69" t="s">
        <v>2352</v>
      </c>
      <c r="U274" s="28">
        <v>0.0</v>
      </c>
      <c r="V274" s="70">
        <v>0.0</v>
      </c>
      <c r="W274" s="30" t="s">
        <v>2353</v>
      </c>
    </row>
    <row r="275">
      <c r="A275" s="67">
        <f>ROW()-ROW(Table_Actions[N])</f>
        <v>118</v>
      </c>
      <c r="B275" s="57" t="s">
        <v>3291</v>
      </c>
      <c r="C275" s="66" t="b">
        <v>0</v>
      </c>
      <c r="D275" s="62" t="s">
        <v>2400</v>
      </c>
      <c r="E275" s="62" t="s">
        <v>42</v>
      </c>
      <c r="F275" s="62" t="s">
        <v>48</v>
      </c>
      <c r="G275" s="62" t="s">
        <v>185</v>
      </c>
      <c r="H275" s="62" t="s">
        <v>2346</v>
      </c>
      <c r="I275" s="68" t="s">
        <v>547</v>
      </c>
      <c r="J275" s="62" t="s">
        <v>1048</v>
      </c>
      <c r="K275" s="62" t="s">
        <v>184</v>
      </c>
      <c r="L275" s="62" t="s">
        <v>889</v>
      </c>
      <c r="M275" s="62" t="s">
        <v>1075</v>
      </c>
      <c r="N275" s="62" t="s">
        <v>1556</v>
      </c>
      <c r="O275" s="62" t="s">
        <v>2349</v>
      </c>
      <c r="P275" s="30" t="s">
        <v>825</v>
      </c>
      <c r="Q275" s="30" t="s">
        <v>2351</v>
      </c>
      <c r="R275" s="28"/>
      <c r="S275" s="69" t="s">
        <v>2352</v>
      </c>
      <c r="T275" s="69" t="s">
        <v>2352</v>
      </c>
      <c r="U275" s="28">
        <v>0.0</v>
      </c>
      <c r="V275" s="70">
        <v>0.0</v>
      </c>
      <c r="W275" s="30" t="s">
        <v>2353</v>
      </c>
    </row>
    <row r="276">
      <c r="A276" s="67">
        <f>ROW()-ROW(Table_Actions[N])</f>
        <v>119</v>
      </c>
      <c r="B276" s="57" t="s">
        <v>1571</v>
      </c>
      <c r="C276" s="66" t="b">
        <v>0</v>
      </c>
      <c r="D276" s="62" t="s">
        <v>2400</v>
      </c>
      <c r="E276" s="62" t="s">
        <v>42</v>
      </c>
      <c r="F276" s="62" t="s">
        <v>48</v>
      </c>
      <c r="G276" s="62" t="s">
        <v>185</v>
      </c>
      <c r="H276" s="62" t="s">
        <v>2346</v>
      </c>
      <c r="I276" s="68" t="s">
        <v>1582</v>
      </c>
      <c r="J276" s="62" t="s">
        <v>1048</v>
      </c>
      <c r="K276" s="62" t="s">
        <v>184</v>
      </c>
      <c r="L276" s="62" t="s">
        <v>889</v>
      </c>
      <c r="M276" s="62" t="s">
        <v>1075</v>
      </c>
      <c r="N276" s="62" t="s">
        <v>1556</v>
      </c>
      <c r="O276" s="62" t="s">
        <v>2349</v>
      </c>
      <c r="P276" s="30" t="s">
        <v>825</v>
      </c>
      <c r="Q276" s="30" t="s">
        <v>2351</v>
      </c>
      <c r="R276" s="28"/>
      <c r="S276" s="69" t="s">
        <v>2352</v>
      </c>
      <c r="T276" s="69" t="s">
        <v>2352</v>
      </c>
      <c r="U276" s="28">
        <v>0.0</v>
      </c>
      <c r="V276" s="70">
        <v>0.0</v>
      </c>
      <c r="W276" s="30" t="s">
        <v>2353</v>
      </c>
    </row>
    <row r="277">
      <c r="A277" s="67">
        <f>ROW()-ROW(Table_Actions[N])</f>
        <v>120</v>
      </c>
      <c r="B277" s="57" t="s">
        <v>3292</v>
      </c>
      <c r="C277" s="66" t="b">
        <v>0</v>
      </c>
      <c r="D277" s="62" t="s">
        <v>2400</v>
      </c>
      <c r="E277" s="62" t="s">
        <v>42</v>
      </c>
      <c r="F277" s="62" t="s">
        <v>48</v>
      </c>
      <c r="G277" s="62" t="s">
        <v>185</v>
      </c>
      <c r="H277" s="62" t="s">
        <v>2346</v>
      </c>
      <c r="I277" s="68" t="s">
        <v>2718</v>
      </c>
      <c r="J277" s="62" t="s">
        <v>1048</v>
      </c>
      <c r="K277" s="62" t="s">
        <v>184</v>
      </c>
      <c r="L277" s="62" t="s">
        <v>889</v>
      </c>
      <c r="M277" s="62" t="s">
        <v>1075</v>
      </c>
      <c r="N277" s="62" t="s">
        <v>1556</v>
      </c>
      <c r="O277" s="62" t="s">
        <v>2349</v>
      </c>
      <c r="P277" s="30" t="s">
        <v>825</v>
      </c>
      <c r="Q277" s="30" t="s">
        <v>2351</v>
      </c>
      <c r="R277" s="28"/>
      <c r="S277" s="69" t="s">
        <v>2352</v>
      </c>
      <c r="T277" s="69" t="s">
        <v>2352</v>
      </c>
      <c r="U277" s="28">
        <v>0.0</v>
      </c>
      <c r="V277" s="70">
        <v>0.0</v>
      </c>
      <c r="W277" s="30" t="s">
        <v>2353</v>
      </c>
    </row>
    <row r="278">
      <c r="A278" s="67">
        <f>ROW()-ROW(Table_Actions[N])</f>
        <v>121</v>
      </c>
      <c r="B278" s="57" t="s">
        <v>3293</v>
      </c>
      <c r="C278" s="66" t="b">
        <v>0</v>
      </c>
      <c r="D278" s="62" t="s">
        <v>2400</v>
      </c>
      <c r="E278" s="62" t="s">
        <v>42</v>
      </c>
      <c r="F278" s="62" t="s">
        <v>48</v>
      </c>
      <c r="G278" s="62" t="s">
        <v>185</v>
      </c>
      <c r="H278" s="62" t="s">
        <v>2346</v>
      </c>
      <c r="I278" s="68" t="s">
        <v>2719</v>
      </c>
      <c r="J278" s="62" t="s">
        <v>1048</v>
      </c>
      <c r="K278" s="62" t="s">
        <v>184</v>
      </c>
      <c r="L278" s="62" t="s">
        <v>889</v>
      </c>
      <c r="M278" s="62" t="s">
        <v>1075</v>
      </c>
      <c r="N278" s="62" t="s">
        <v>1556</v>
      </c>
      <c r="O278" s="62" t="s">
        <v>2349</v>
      </c>
      <c r="P278" s="30" t="s">
        <v>825</v>
      </c>
      <c r="Q278" s="30" t="s">
        <v>2351</v>
      </c>
      <c r="R278" s="28"/>
      <c r="S278" s="69" t="s">
        <v>2352</v>
      </c>
      <c r="T278" s="69" t="s">
        <v>2352</v>
      </c>
      <c r="U278" s="28">
        <v>0.0</v>
      </c>
      <c r="V278" s="70">
        <v>0.0</v>
      </c>
      <c r="W278" s="30" t="s">
        <v>2353</v>
      </c>
    </row>
    <row r="279">
      <c r="A279" s="67">
        <f>ROW()-ROW(Table_Actions[N])</f>
        <v>122</v>
      </c>
      <c r="B279" s="57" t="s">
        <v>1629</v>
      </c>
      <c r="C279" s="66" t="b">
        <v>0</v>
      </c>
      <c r="D279" s="62" t="s">
        <v>2400</v>
      </c>
      <c r="E279" s="62" t="s">
        <v>42</v>
      </c>
      <c r="F279" s="62" t="s">
        <v>48</v>
      </c>
      <c r="G279" s="62" t="s">
        <v>185</v>
      </c>
      <c r="H279" s="62" t="s">
        <v>2346</v>
      </c>
      <c r="I279" s="68" t="s">
        <v>1983</v>
      </c>
      <c r="J279" s="62" t="s">
        <v>1048</v>
      </c>
      <c r="K279" s="62" t="s">
        <v>184</v>
      </c>
      <c r="L279" s="62" t="s">
        <v>889</v>
      </c>
      <c r="M279" s="62" t="s">
        <v>1075</v>
      </c>
      <c r="N279" s="62" t="s">
        <v>1556</v>
      </c>
      <c r="O279" s="62" t="s">
        <v>2349</v>
      </c>
      <c r="P279" s="30" t="s">
        <v>825</v>
      </c>
      <c r="Q279" s="30" t="s">
        <v>2351</v>
      </c>
      <c r="R279" s="28"/>
      <c r="S279" s="69" t="s">
        <v>2352</v>
      </c>
      <c r="T279" s="69" t="s">
        <v>2352</v>
      </c>
      <c r="U279" s="28">
        <v>0.0</v>
      </c>
      <c r="V279" s="70">
        <v>0.0</v>
      </c>
      <c r="W279" s="30" t="s">
        <v>2353</v>
      </c>
    </row>
    <row r="280">
      <c r="A280" s="67">
        <f>ROW()-ROW(Table_Actions[N])</f>
        <v>123</v>
      </c>
      <c r="B280" s="57" t="s">
        <v>3294</v>
      </c>
      <c r="C280" s="66" t="b">
        <v>0</v>
      </c>
      <c r="D280" s="83" t="s">
        <v>2477</v>
      </c>
      <c r="E280" s="62" t="s">
        <v>42</v>
      </c>
      <c r="F280" s="62" t="s">
        <v>48</v>
      </c>
      <c r="G280" s="62" t="s">
        <v>185</v>
      </c>
      <c r="H280" s="62" t="s">
        <v>2346</v>
      </c>
      <c r="I280" s="68" t="s">
        <v>183</v>
      </c>
      <c r="J280" s="62" t="s">
        <v>1048</v>
      </c>
      <c r="K280" s="62" t="s">
        <v>184</v>
      </c>
      <c r="L280" s="62" t="s">
        <v>897</v>
      </c>
      <c r="M280" s="62" t="s">
        <v>1572</v>
      </c>
      <c r="N280" s="62" t="s">
        <v>1556</v>
      </c>
      <c r="O280" s="62" t="s">
        <v>2349</v>
      </c>
      <c r="P280" s="30" t="s">
        <v>825</v>
      </c>
      <c r="Q280" s="30" t="s">
        <v>2351</v>
      </c>
      <c r="R280" s="28"/>
      <c r="S280" s="69" t="s">
        <v>2352</v>
      </c>
      <c r="T280" s="69" t="s">
        <v>2352</v>
      </c>
      <c r="U280" s="28">
        <v>0.0</v>
      </c>
      <c r="V280" s="70">
        <v>0.0</v>
      </c>
      <c r="W280" s="30" t="s">
        <v>2353</v>
      </c>
    </row>
    <row r="281">
      <c r="A281" s="67">
        <f>ROW()-ROW(Table_Actions[N])</f>
        <v>124</v>
      </c>
      <c r="B281" s="57" t="s">
        <v>3295</v>
      </c>
      <c r="C281" s="66" t="b">
        <v>0</v>
      </c>
      <c r="D281" s="83" t="s">
        <v>2477</v>
      </c>
      <c r="E281" s="62" t="s">
        <v>42</v>
      </c>
      <c r="F281" s="62" t="s">
        <v>48</v>
      </c>
      <c r="G281" s="62" t="s">
        <v>185</v>
      </c>
      <c r="H281" s="62" t="s">
        <v>2346</v>
      </c>
      <c r="I281" s="68" t="s">
        <v>183</v>
      </c>
      <c r="J281" s="62" t="s">
        <v>1048</v>
      </c>
      <c r="K281" s="62" t="s">
        <v>184</v>
      </c>
      <c r="L281" s="62" t="s">
        <v>897</v>
      </c>
      <c r="M281" s="62" t="s">
        <v>1583</v>
      </c>
      <c r="N281" s="62" t="s">
        <v>1556</v>
      </c>
      <c r="O281" s="62" t="s">
        <v>2349</v>
      </c>
      <c r="P281" s="30" t="s">
        <v>825</v>
      </c>
      <c r="Q281" s="30" t="s">
        <v>2351</v>
      </c>
      <c r="R281" s="28"/>
      <c r="S281" s="69" t="s">
        <v>2352</v>
      </c>
      <c r="T281" s="69" t="s">
        <v>2352</v>
      </c>
      <c r="U281" s="28">
        <v>0.0</v>
      </c>
      <c r="V281" s="70">
        <v>0.0</v>
      </c>
      <c r="W281" s="30" t="s">
        <v>2353</v>
      </c>
    </row>
    <row r="282">
      <c r="A282" s="67">
        <f>ROW()-ROW(Table_Actions[N])</f>
        <v>125</v>
      </c>
      <c r="B282" s="57" t="s">
        <v>3296</v>
      </c>
      <c r="C282" s="66" t="b">
        <v>0</v>
      </c>
      <c r="D282" s="83" t="s">
        <v>2477</v>
      </c>
      <c r="E282" s="62" t="s">
        <v>42</v>
      </c>
      <c r="F282" s="62" t="s">
        <v>48</v>
      </c>
      <c r="G282" s="62" t="s">
        <v>185</v>
      </c>
      <c r="H282" s="62" t="s">
        <v>2346</v>
      </c>
      <c r="I282" s="68" t="s">
        <v>183</v>
      </c>
      <c r="J282" s="62" t="s">
        <v>1048</v>
      </c>
      <c r="K282" s="62" t="s">
        <v>184</v>
      </c>
      <c r="L282" s="62" t="s">
        <v>897</v>
      </c>
      <c r="M282" s="62" t="s">
        <v>1561</v>
      </c>
      <c r="N282" s="62" t="s">
        <v>1556</v>
      </c>
      <c r="O282" s="62" t="s">
        <v>2349</v>
      </c>
      <c r="P282" s="30" t="s">
        <v>825</v>
      </c>
      <c r="Q282" s="30" t="s">
        <v>2351</v>
      </c>
      <c r="R282" s="28"/>
      <c r="S282" s="69" t="s">
        <v>2352</v>
      </c>
      <c r="T282" s="69" t="s">
        <v>2352</v>
      </c>
      <c r="U282" s="28">
        <v>0.0</v>
      </c>
      <c r="V282" s="70">
        <v>0.0</v>
      </c>
      <c r="W282" s="30" t="s">
        <v>2353</v>
      </c>
    </row>
    <row r="283">
      <c r="A283" s="67">
        <f>ROW()-ROW(Table_Actions[N])</f>
        <v>126</v>
      </c>
      <c r="B283" s="57" t="s">
        <v>3297</v>
      </c>
      <c r="C283" s="66" t="b">
        <v>1</v>
      </c>
      <c r="D283" s="62" t="s">
        <v>2483</v>
      </c>
      <c r="E283" s="62" t="s">
        <v>42</v>
      </c>
      <c r="F283" s="62" t="s">
        <v>48</v>
      </c>
      <c r="G283" s="62" t="s">
        <v>185</v>
      </c>
      <c r="H283" s="62" t="s">
        <v>2346</v>
      </c>
      <c r="I283" s="68" t="s">
        <v>183</v>
      </c>
      <c r="J283" s="62" t="s">
        <v>1048</v>
      </c>
      <c r="K283" s="62" t="s">
        <v>184</v>
      </c>
      <c r="L283" s="62" t="s">
        <v>889</v>
      </c>
      <c r="M283" s="62" t="s">
        <v>1075</v>
      </c>
      <c r="N283" s="62" t="s">
        <v>1556</v>
      </c>
      <c r="O283" s="62" t="s">
        <v>2740</v>
      </c>
      <c r="P283" s="30" t="s">
        <v>825</v>
      </c>
      <c r="Q283" s="30" t="s">
        <v>2351</v>
      </c>
      <c r="R283" s="28"/>
      <c r="S283" s="69" t="s">
        <v>2352</v>
      </c>
      <c r="T283" s="69" t="s">
        <v>2352</v>
      </c>
      <c r="U283" s="28">
        <v>0.0</v>
      </c>
      <c r="V283" s="70">
        <v>0.0</v>
      </c>
      <c r="W283" s="30" t="s">
        <v>2353</v>
      </c>
    </row>
    <row r="284">
      <c r="A284" s="67">
        <f>ROW()-ROW(Table_Actions[N])</f>
        <v>127</v>
      </c>
      <c r="B284" s="57" t="s">
        <v>3298</v>
      </c>
      <c r="C284" s="66" t="b">
        <v>0</v>
      </c>
      <c r="D284" s="62" t="s">
        <v>2446</v>
      </c>
      <c r="E284" s="62" t="s">
        <v>523</v>
      </c>
      <c r="F284" s="62" t="s">
        <v>48</v>
      </c>
      <c r="G284" s="62" t="s">
        <v>185</v>
      </c>
      <c r="H284" s="62" t="s">
        <v>2346</v>
      </c>
      <c r="I284" s="68" t="s">
        <v>183</v>
      </c>
      <c r="J284" s="62" t="s">
        <v>1048</v>
      </c>
      <c r="K284" s="62" t="s">
        <v>184</v>
      </c>
      <c r="L284" s="62" t="s">
        <v>889</v>
      </c>
      <c r="M284" s="62" t="s">
        <v>1075</v>
      </c>
      <c r="N284" s="62" t="s">
        <v>1556</v>
      </c>
      <c r="O284" s="62" t="s">
        <v>2349</v>
      </c>
      <c r="P284" s="30" t="s">
        <v>825</v>
      </c>
      <c r="Q284" s="30" t="s">
        <v>2351</v>
      </c>
      <c r="R284" s="28"/>
      <c r="S284" s="69" t="s">
        <v>2352</v>
      </c>
      <c r="T284" s="69" t="s">
        <v>2352</v>
      </c>
      <c r="U284" s="28">
        <v>0.0</v>
      </c>
      <c r="V284" s="70">
        <v>0.0</v>
      </c>
      <c r="W284" s="30" t="s">
        <v>2353</v>
      </c>
    </row>
    <row r="285">
      <c r="A285" s="67">
        <f>ROW()-ROW(Table_Actions[N])</f>
        <v>128</v>
      </c>
      <c r="B285" s="57" t="s">
        <v>901</v>
      </c>
      <c r="C285" s="66" t="b">
        <v>0</v>
      </c>
      <c r="D285" s="62" t="s">
        <v>2477</v>
      </c>
      <c r="E285" s="62" t="s">
        <v>42</v>
      </c>
      <c r="F285" s="62" t="s">
        <v>48</v>
      </c>
      <c r="G285" s="62" t="s">
        <v>185</v>
      </c>
      <c r="H285" s="62" t="s">
        <v>2346</v>
      </c>
      <c r="I285" s="68" t="s">
        <v>183</v>
      </c>
      <c r="J285" s="62" t="s">
        <v>1048</v>
      </c>
      <c r="K285" s="62" t="s">
        <v>184</v>
      </c>
      <c r="L285" s="62" t="s">
        <v>1013</v>
      </c>
      <c r="M285" s="62" t="s">
        <v>1075</v>
      </c>
      <c r="N285" s="62" t="s">
        <v>1556</v>
      </c>
      <c r="O285" s="62" t="s">
        <v>2349</v>
      </c>
      <c r="P285" s="30" t="s">
        <v>825</v>
      </c>
      <c r="Q285" s="30" t="s">
        <v>2351</v>
      </c>
      <c r="R285" s="28"/>
      <c r="S285" s="69" t="s">
        <v>2352</v>
      </c>
      <c r="T285" s="69" t="s">
        <v>2352</v>
      </c>
      <c r="U285" s="28">
        <v>0.0</v>
      </c>
      <c r="V285" s="70">
        <v>0.0</v>
      </c>
      <c r="W285" s="30" t="s">
        <v>2353</v>
      </c>
    </row>
    <row r="286">
      <c r="A286" s="67">
        <f>ROW()-ROW(Table_Actions[N])</f>
        <v>129</v>
      </c>
      <c r="B286" s="57" t="s">
        <v>1743</v>
      </c>
      <c r="C286" s="66" t="b">
        <v>1</v>
      </c>
      <c r="D286" s="62" t="s">
        <v>2400</v>
      </c>
      <c r="E286" s="62" t="s">
        <v>42</v>
      </c>
      <c r="F286" s="62" t="s">
        <v>48</v>
      </c>
      <c r="G286" s="62" t="s">
        <v>185</v>
      </c>
      <c r="H286" s="62" t="s">
        <v>2346</v>
      </c>
      <c r="I286" s="68" t="s">
        <v>2054</v>
      </c>
      <c r="J286" s="62" t="s">
        <v>1048</v>
      </c>
      <c r="K286" s="62" t="s">
        <v>184</v>
      </c>
      <c r="L286" s="62" t="s">
        <v>889</v>
      </c>
      <c r="M286" s="62" t="s">
        <v>1075</v>
      </c>
      <c r="N286" s="62" t="s">
        <v>1556</v>
      </c>
      <c r="O286" s="62" t="s">
        <v>2349</v>
      </c>
      <c r="P286" s="30" t="s">
        <v>825</v>
      </c>
      <c r="Q286" s="30" t="s">
        <v>2351</v>
      </c>
      <c r="R286" s="28"/>
      <c r="S286" s="69" t="s">
        <v>2352</v>
      </c>
      <c r="T286" s="69" t="s">
        <v>2352</v>
      </c>
      <c r="U286" s="28">
        <v>0.0</v>
      </c>
      <c r="V286" s="70">
        <v>0.0</v>
      </c>
      <c r="W286" s="30" t="s">
        <v>2353</v>
      </c>
    </row>
    <row r="287">
      <c r="A287" s="67">
        <f>ROW()-ROW(Table_Actions[N])</f>
        <v>130</v>
      </c>
      <c r="B287" s="57" t="s">
        <v>917</v>
      </c>
      <c r="C287" s="66" t="b">
        <v>0</v>
      </c>
      <c r="D287" s="62" t="s">
        <v>2477</v>
      </c>
      <c r="E287" s="62" t="s">
        <v>42</v>
      </c>
      <c r="F287" s="62" t="s">
        <v>48</v>
      </c>
      <c r="G287" s="62" t="s">
        <v>185</v>
      </c>
      <c r="H287" s="62" t="s">
        <v>2346</v>
      </c>
      <c r="I287" s="68" t="s">
        <v>183</v>
      </c>
      <c r="J287" s="62" t="s">
        <v>1048</v>
      </c>
      <c r="K287" s="62" t="s">
        <v>184</v>
      </c>
      <c r="L287" s="62" t="s">
        <v>1023</v>
      </c>
      <c r="M287" s="62" t="s">
        <v>1075</v>
      </c>
      <c r="N287" s="62" t="s">
        <v>1556</v>
      </c>
      <c r="O287" s="62" t="s">
        <v>2349</v>
      </c>
      <c r="P287" s="30" t="s">
        <v>825</v>
      </c>
      <c r="Q287" s="30" t="s">
        <v>2351</v>
      </c>
      <c r="R287" s="28"/>
      <c r="S287" s="69" t="s">
        <v>2352</v>
      </c>
      <c r="T287" s="69" t="s">
        <v>2352</v>
      </c>
      <c r="U287" s="28">
        <v>0.0</v>
      </c>
      <c r="V287" s="70">
        <v>0.0</v>
      </c>
      <c r="W287" s="30" t="s">
        <v>2353</v>
      </c>
    </row>
    <row r="288">
      <c r="A288" s="67">
        <f>ROW()-ROW(Table_Actions[N])</f>
        <v>131</v>
      </c>
      <c r="B288" s="57" t="s">
        <v>2043</v>
      </c>
      <c r="C288" s="66" t="b">
        <v>0</v>
      </c>
      <c r="D288" s="62" t="s">
        <v>2446</v>
      </c>
      <c r="E288" s="62" t="s">
        <v>539</v>
      </c>
      <c r="F288" s="79" t="s">
        <v>48</v>
      </c>
      <c r="G288" s="79" t="s">
        <v>185</v>
      </c>
      <c r="H288" s="79" t="s">
        <v>2346</v>
      </c>
      <c r="I288" s="80" t="s">
        <v>183</v>
      </c>
      <c r="J288" s="79" t="s">
        <v>1048</v>
      </c>
      <c r="K288" s="79" t="s">
        <v>184</v>
      </c>
      <c r="L288" s="62" t="s">
        <v>889</v>
      </c>
      <c r="M288" s="62" t="s">
        <v>1075</v>
      </c>
      <c r="N288" s="62" t="s">
        <v>1556</v>
      </c>
      <c r="O288" s="62" t="s">
        <v>2349</v>
      </c>
      <c r="P288" s="30" t="s">
        <v>825</v>
      </c>
      <c r="Q288" s="30" t="s">
        <v>2351</v>
      </c>
      <c r="R288" s="28"/>
      <c r="S288" s="69" t="s">
        <v>2352</v>
      </c>
      <c r="T288" s="69" t="s">
        <v>2352</v>
      </c>
      <c r="U288" s="28">
        <v>0.0</v>
      </c>
      <c r="V288" s="70">
        <v>0.0</v>
      </c>
      <c r="W288" s="30" t="s">
        <v>2353</v>
      </c>
    </row>
    <row r="289">
      <c r="A289" s="67">
        <f>ROW()-ROW(Table_Actions[N])</f>
        <v>132</v>
      </c>
      <c r="B289" s="57" t="s">
        <v>3299</v>
      </c>
      <c r="C289" s="66" t="b">
        <v>0</v>
      </c>
      <c r="D289" s="62" t="s">
        <v>2446</v>
      </c>
      <c r="E289" s="62" t="s">
        <v>551</v>
      </c>
      <c r="F289" s="79" t="s">
        <v>48</v>
      </c>
      <c r="G289" s="79" t="s">
        <v>185</v>
      </c>
      <c r="H289" s="79" t="s">
        <v>2346</v>
      </c>
      <c r="I289" s="80" t="s">
        <v>183</v>
      </c>
      <c r="J289" s="79" t="s">
        <v>1048</v>
      </c>
      <c r="K289" s="79" t="s">
        <v>184</v>
      </c>
      <c r="L289" s="62" t="s">
        <v>889</v>
      </c>
      <c r="M289" s="62" t="s">
        <v>1075</v>
      </c>
      <c r="N289" s="62" t="s">
        <v>1556</v>
      </c>
      <c r="O289" s="62" t="s">
        <v>2349</v>
      </c>
      <c r="P289" s="30" t="s">
        <v>825</v>
      </c>
      <c r="Q289" s="30" t="s">
        <v>2351</v>
      </c>
      <c r="R289" s="28"/>
      <c r="S289" s="69" t="s">
        <v>2352</v>
      </c>
      <c r="T289" s="69" t="s">
        <v>2352</v>
      </c>
      <c r="U289" s="28">
        <v>0.0</v>
      </c>
      <c r="V289" s="70">
        <v>0.0</v>
      </c>
      <c r="W289" s="30" t="s">
        <v>2353</v>
      </c>
    </row>
    <row r="290">
      <c r="A290" s="67">
        <f>ROW()-ROW(Table_Actions[N])</f>
        <v>133</v>
      </c>
      <c r="B290" s="57" t="s">
        <v>3300</v>
      </c>
      <c r="C290" s="66" t="b">
        <v>0</v>
      </c>
      <c r="D290" s="62" t="s">
        <v>2447</v>
      </c>
      <c r="E290" s="62" t="s">
        <v>539</v>
      </c>
      <c r="F290" s="62" t="s">
        <v>48</v>
      </c>
      <c r="G290" s="62" t="s">
        <v>185</v>
      </c>
      <c r="H290" s="62" t="s">
        <v>2346</v>
      </c>
      <c r="I290" s="68" t="s">
        <v>183</v>
      </c>
      <c r="J290" s="62" t="s">
        <v>1048</v>
      </c>
      <c r="K290" s="62" t="s">
        <v>184</v>
      </c>
      <c r="L290" s="62" t="s">
        <v>889</v>
      </c>
      <c r="M290" s="62" t="s">
        <v>1075</v>
      </c>
      <c r="N290" s="62" t="s">
        <v>1556</v>
      </c>
      <c r="O290" s="62" t="s">
        <v>2349</v>
      </c>
      <c r="P290" s="30" t="s">
        <v>825</v>
      </c>
      <c r="Q290" s="30" t="s">
        <v>2351</v>
      </c>
      <c r="R290" s="28"/>
      <c r="S290" s="69" t="s">
        <v>2352</v>
      </c>
      <c r="T290" s="69" t="s">
        <v>2352</v>
      </c>
      <c r="U290" s="28">
        <v>0.0</v>
      </c>
      <c r="V290" s="70">
        <v>0.0</v>
      </c>
      <c r="W290" s="30" t="s">
        <v>2353</v>
      </c>
    </row>
    <row r="291">
      <c r="A291" s="67">
        <f>ROW()-ROW(Table_Actions[N])</f>
        <v>134</v>
      </c>
      <c r="B291" s="57" t="s">
        <v>3301</v>
      </c>
      <c r="C291" s="66" t="b">
        <v>0</v>
      </c>
      <c r="D291" s="62" t="s">
        <v>2446</v>
      </c>
      <c r="E291" s="62" t="s">
        <v>578</v>
      </c>
      <c r="F291" s="79" t="s">
        <v>48</v>
      </c>
      <c r="G291" s="79" t="s">
        <v>185</v>
      </c>
      <c r="H291" s="79" t="s">
        <v>2346</v>
      </c>
      <c r="I291" s="80" t="s">
        <v>183</v>
      </c>
      <c r="J291" s="79" t="s">
        <v>1048</v>
      </c>
      <c r="K291" s="79" t="s">
        <v>184</v>
      </c>
      <c r="L291" s="62" t="s">
        <v>889</v>
      </c>
      <c r="M291" s="62" t="s">
        <v>1075</v>
      </c>
      <c r="N291" s="62" t="s">
        <v>1556</v>
      </c>
      <c r="O291" s="62" t="s">
        <v>2349</v>
      </c>
      <c r="P291" s="30" t="s">
        <v>825</v>
      </c>
      <c r="Q291" s="30" t="s">
        <v>2351</v>
      </c>
      <c r="R291" s="28"/>
      <c r="S291" s="69" t="s">
        <v>2352</v>
      </c>
      <c r="T291" s="69" t="s">
        <v>2352</v>
      </c>
      <c r="U291" s="28">
        <v>0.0</v>
      </c>
      <c r="V291" s="70">
        <v>0.0</v>
      </c>
      <c r="W291" s="30" t="s">
        <v>2353</v>
      </c>
    </row>
    <row r="292">
      <c r="A292" s="67">
        <f>ROW()-ROW(Table_Actions[N])</f>
        <v>135</v>
      </c>
      <c r="B292" s="57" t="s">
        <v>2070</v>
      </c>
      <c r="C292" s="66" t="b">
        <v>0</v>
      </c>
      <c r="D292" s="62" t="s">
        <v>2461</v>
      </c>
      <c r="E292" s="62" t="s">
        <v>567</v>
      </c>
      <c r="F292" s="62" t="s">
        <v>48</v>
      </c>
      <c r="G292" s="62" t="s">
        <v>185</v>
      </c>
      <c r="H292" s="62" t="s">
        <v>2346</v>
      </c>
      <c r="I292" s="68" t="s">
        <v>183</v>
      </c>
      <c r="J292" s="62" t="s">
        <v>1048</v>
      </c>
      <c r="K292" s="62" t="s">
        <v>184</v>
      </c>
      <c r="L292" s="62" t="s">
        <v>889</v>
      </c>
      <c r="M292" s="62" t="s">
        <v>1075</v>
      </c>
      <c r="N292" s="62" t="s">
        <v>1644</v>
      </c>
      <c r="O292" s="62" t="s">
        <v>2349</v>
      </c>
      <c r="P292" s="30" t="s">
        <v>825</v>
      </c>
      <c r="Q292" s="30" t="s">
        <v>2351</v>
      </c>
      <c r="R292" s="28"/>
      <c r="S292" s="69" t="s">
        <v>2352</v>
      </c>
      <c r="T292" s="69" t="s">
        <v>2352</v>
      </c>
      <c r="U292" s="28">
        <v>0.0</v>
      </c>
      <c r="V292" s="70">
        <v>0.0</v>
      </c>
      <c r="W292" s="30" t="s">
        <v>2353</v>
      </c>
    </row>
    <row r="293">
      <c r="A293" s="67">
        <f>ROW()-ROW(Table_Actions[N])</f>
        <v>136</v>
      </c>
      <c r="B293" s="57" t="s">
        <v>2083</v>
      </c>
      <c r="C293" s="66" t="b">
        <v>0</v>
      </c>
      <c r="D293" s="62" t="s">
        <v>2461</v>
      </c>
      <c r="E293" s="62" t="s">
        <v>567</v>
      </c>
      <c r="F293" s="62" t="s">
        <v>48</v>
      </c>
      <c r="G293" s="62" t="s">
        <v>185</v>
      </c>
      <c r="H293" s="62" t="s">
        <v>2346</v>
      </c>
      <c r="I293" s="68" t="s">
        <v>183</v>
      </c>
      <c r="J293" s="62" t="s">
        <v>1048</v>
      </c>
      <c r="K293" s="62" t="s">
        <v>184</v>
      </c>
      <c r="L293" s="62" t="s">
        <v>889</v>
      </c>
      <c r="M293" s="62" t="s">
        <v>1075</v>
      </c>
      <c r="N293" s="62" t="s">
        <v>2599</v>
      </c>
      <c r="O293" s="62" t="s">
        <v>2349</v>
      </c>
      <c r="P293" s="30" t="s">
        <v>825</v>
      </c>
      <c r="Q293" s="30" t="s">
        <v>2351</v>
      </c>
      <c r="R293" s="28"/>
      <c r="S293" s="69" t="s">
        <v>2352</v>
      </c>
      <c r="T293" s="69" t="s">
        <v>2352</v>
      </c>
      <c r="U293" s="28">
        <v>0.0</v>
      </c>
      <c r="V293" s="70">
        <v>0.0</v>
      </c>
      <c r="W293" s="30" t="s">
        <v>2353</v>
      </c>
    </row>
    <row r="294">
      <c r="A294" s="67">
        <f>ROW()-ROW(Table_Actions[N])</f>
        <v>137</v>
      </c>
      <c r="B294" s="57" t="s">
        <v>3302</v>
      </c>
      <c r="C294" s="66" t="b">
        <v>0</v>
      </c>
      <c r="D294" s="62" t="s">
        <v>2345</v>
      </c>
      <c r="E294" s="62" t="s">
        <v>42</v>
      </c>
      <c r="F294" s="62" t="s">
        <v>48</v>
      </c>
      <c r="G294" s="62" t="s">
        <v>185</v>
      </c>
      <c r="H294" s="62" t="s">
        <v>2346</v>
      </c>
      <c r="I294" s="68" t="s">
        <v>183</v>
      </c>
      <c r="J294" s="62" t="s">
        <v>1048</v>
      </c>
      <c r="K294" s="62" t="s">
        <v>184</v>
      </c>
      <c r="L294" s="62" t="s">
        <v>889</v>
      </c>
      <c r="M294" s="62" t="s">
        <v>1075</v>
      </c>
      <c r="N294" s="62" t="s">
        <v>1556</v>
      </c>
      <c r="O294" s="62" t="s">
        <v>2349</v>
      </c>
      <c r="P294" s="30" t="s">
        <v>825</v>
      </c>
      <c r="Q294" s="30" t="s">
        <v>2351</v>
      </c>
      <c r="R294" s="28"/>
      <c r="S294" s="69" t="s">
        <v>2352</v>
      </c>
      <c r="T294" s="69" t="s">
        <v>2352</v>
      </c>
      <c r="U294" s="28">
        <v>0.0</v>
      </c>
      <c r="V294" s="70">
        <v>0.0</v>
      </c>
      <c r="W294" s="30" t="s">
        <v>2353</v>
      </c>
    </row>
    <row r="295">
      <c r="A295" s="67">
        <f>ROW()-ROW(Table_Actions[N])</f>
        <v>138</v>
      </c>
      <c r="B295" s="57" t="s">
        <v>3303</v>
      </c>
      <c r="C295" s="66" t="b">
        <v>0</v>
      </c>
      <c r="D295" s="62" t="s">
        <v>2446</v>
      </c>
      <c r="E295" s="62" t="s">
        <v>596</v>
      </c>
      <c r="F295" s="62" t="s">
        <v>48</v>
      </c>
      <c r="G295" s="62" t="s">
        <v>185</v>
      </c>
      <c r="H295" s="62" t="s">
        <v>2346</v>
      </c>
      <c r="I295" s="68" t="s">
        <v>183</v>
      </c>
      <c r="J295" s="62" t="s">
        <v>1048</v>
      </c>
      <c r="K295" s="62" t="s">
        <v>184</v>
      </c>
      <c r="L295" s="62" t="s">
        <v>889</v>
      </c>
      <c r="M295" s="62" t="s">
        <v>1075</v>
      </c>
      <c r="N295" s="62" t="s">
        <v>1556</v>
      </c>
      <c r="O295" s="62" t="s">
        <v>2349</v>
      </c>
      <c r="P295" s="30" t="s">
        <v>825</v>
      </c>
      <c r="Q295" s="30" t="s">
        <v>2351</v>
      </c>
      <c r="R295" s="28"/>
      <c r="S295" s="69" t="s">
        <v>2352</v>
      </c>
      <c r="T295" s="69" t="s">
        <v>2352</v>
      </c>
      <c r="U295" s="28">
        <v>0.0</v>
      </c>
      <c r="V295" s="70">
        <v>0.0</v>
      </c>
      <c r="W295" s="30" t="s">
        <v>2353</v>
      </c>
    </row>
    <row r="296">
      <c r="A296" s="67">
        <f>ROW()-ROW(Table_Actions[N])</f>
        <v>139</v>
      </c>
      <c r="B296" s="57" t="s">
        <v>1787</v>
      </c>
      <c r="C296" s="66" t="b">
        <v>0</v>
      </c>
      <c r="D296" s="62" t="s">
        <v>2400</v>
      </c>
      <c r="E296" s="62" t="s">
        <v>42</v>
      </c>
      <c r="F296" s="62" t="s">
        <v>48</v>
      </c>
      <c r="G296" s="62" t="s">
        <v>185</v>
      </c>
      <c r="H296" s="62" t="s">
        <v>2346</v>
      </c>
      <c r="I296" s="68" t="s">
        <v>2723</v>
      </c>
      <c r="J296" s="62" t="s">
        <v>1048</v>
      </c>
      <c r="K296" s="62" t="s">
        <v>184</v>
      </c>
      <c r="L296" s="62" t="s">
        <v>889</v>
      </c>
      <c r="M296" s="62" t="s">
        <v>1075</v>
      </c>
      <c r="N296" s="62" t="s">
        <v>1556</v>
      </c>
      <c r="O296" s="62" t="s">
        <v>2349</v>
      </c>
      <c r="P296" s="30" t="s">
        <v>825</v>
      </c>
      <c r="Q296" s="30" t="s">
        <v>2351</v>
      </c>
      <c r="R296" s="28"/>
      <c r="S296" s="69" t="s">
        <v>2352</v>
      </c>
      <c r="T296" s="69" t="s">
        <v>2352</v>
      </c>
      <c r="U296" s="28">
        <v>0.0</v>
      </c>
      <c r="V296" s="70">
        <v>0.0</v>
      </c>
      <c r="W296" s="30" t="s">
        <v>2353</v>
      </c>
    </row>
    <row r="297">
      <c r="A297" s="67">
        <f>ROW()-ROW(Table_Actions[N])</f>
        <v>140</v>
      </c>
      <c r="B297" s="57" t="s">
        <v>3304</v>
      </c>
      <c r="C297" s="66" t="b">
        <v>0</v>
      </c>
      <c r="D297" s="62" t="s">
        <v>2400</v>
      </c>
      <c r="E297" s="62" t="s">
        <v>42</v>
      </c>
      <c r="F297" s="62" t="s">
        <v>48</v>
      </c>
      <c r="G297" s="62" t="s">
        <v>185</v>
      </c>
      <c r="H297" s="62" t="s">
        <v>2346</v>
      </c>
      <c r="I297" s="68" t="s">
        <v>2725</v>
      </c>
      <c r="J297" s="62" t="s">
        <v>1048</v>
      </c>
      <c r="K297" s="62" t="s">
        <v>184</v>
      </c>
      <c r="L297" s="62" t="s">
        <v>889</v>
      </c>
      <c r="M297" s="62" t="s">
        <v>1075</v>
      </c>
      <c r="N297" s="62" t="s">
        <v>1556</v>
      </c>
      <c r="O297" s="62" t="s">
        <v>2349</v>
      </c>
      <c r="P297" s="30" t="s">
        <v>825</v>
      </c>
      <c r="Q297" s="30" t="s">
        <v>2351</v>
      </c>
      <c r="R297" s="28"/>
      <c r="S297" s="69" t="s">
        <v>2352</v>
      </c>
      <c r="T297" s="69" t="s">
        <v>2352</v>
      </c>
      <c r="U297" s="28">
        <v>0.0</v>
      </c>
      <c r="V297" s="70">
        <v>0.0</v>
      </c>
      <c r="W297" s="30" t="s">
        <v>2353</v>
      </c>
    </row>
    <row r="298">
      <c r="A298" s="67">
        <f>ROW()-ROW(Table_Actions[N])</f>
        <v>141</v>
      </c>
      <c r="B298" s="57" t="s">
        <v>3305</v>
      </c>
      <c r="C298" s="66" t="b">
        <v>0</v>
      </c>
      <c r="D298" s="58" t="s">
        <v>2400</v>
      </c>
      <c r="E298" s="58" t="s">
        <v>42</v>
      </c>
      <c r="F298" s="58" t="s">
        <v>48</v>
      </c>
      <c r="G298" s="58" t="s">
        <v>185</v>
      </c>
      <c r="H298" s="58" t="s">
        <v>2346</v>
      </c>
      <c r="I298" s="68" t="s">
        <v>1100</v>
      </c>
      <c r="J298" s="58" t="s">
        <v>1048</v>
      </c>
      <c r="K298" s="58" t="s">
        <v>184</v>
      </c>
      <c r="L298" s="58" t="s">
        <v>889</v>
      </c>
      <c r="M298" s="58" t="s">
        <v>1075</v>
      </c>
      <c r="N298" s="62" t="s">
        <v>1556</v>
      </c>
      <c r="O298" s="58" t="s">
        <v>2349</v>
      </c>
      <c r="P298" s="30" t="s">
        <v>825</v>
      </c>
      <c r="Q298" s="30" t="s">
        <v>2351</v>
      </c>
      <c r="R298" s="28"/>
      <c r="S298" s="69" t="s">
        <v>2352</v>
      </c>
      <c r="T298" s="69" t="s">
        <v>2352</v>
      </c>
      <c r="U298" s="28">
        <v>0.0</v>
      </c>
      <c r="V298" s="70">
        <v>0.0</v>
      </c>
      <c r="W298" s="30" t="s">
        <v>2353</v>
      </c>
    </row>
    <row r="299">
      <c r="A299" s="67">
        <f>ROW()-ROW(Table_Actions[N])</f>
        <v>142</v>
      </c>
      <c r="B299" s="57" t="s">
        <v>934</v>
      </c>
      <c r="C299" s="66" t="b">
        <v>0</v>
      </c>
      <c r="D299" s="62" t="s">
        <v>2477</v>
      </c>
      <c r="E299" s="62" t="s">
        <v>42</v>
      </c>
      <c r="F299" s="62" t="s">
        <v>48</v>
      </c>
      <c r="G299" s="62" t="s">
        <v>185</v>
      </c>
      <c r="H299" s="62" t="s">
        <v>2346</v>
      </c>
      <c r="I299" s="68" t="s">
        <v>183</v>
      </c>
      <c r="J299" s="62" t="s">
        <v>1048</v>
      </c>
      <c r="K299" s="62" t="s">
        <v>184</v>
      </c>
      <c r="L299" s="62" t="s">
        <v>1030</v>
      </c>
      <c r="M299" s="62" t="s">
        <v>1075</v>
      </c>
      <c r="N299" s="62" t="s">
        <v>1556</v>
      </c>
      <c r="O299" s="62" t="s">
        <v>2349</v>
      </c>
      <c r="P299" s="30" t="s">
        <v>825</v>
      </c>
      <c r="Q299" s="30" t="s">
        <v>2351</v>
      </c>
      <c r="R299" s="28"/>
      <c r="S299" s="69" t="s">
        <v>2352</v>
      </c>
      <c r="T299" s="69" t="s">
        <v>2352</v>
      </c>
      <c r="U299" s="28">
        <v>0.0</v>
      </c>
      <c r="V299" s="70">
        <v>0.0</v>
      </c>
      <c r="W299" s="30" t="s">
        <v>2353</v>
      </c>
    </row>
    <row r="300">
      <c r="A300" s="67">
        <f>ROW()-ROW(Table_Actions[N])</f>
        <v>143</v>
      </c>
      <c r="B300" s="57" t="s">
        <v>950</v>
      </c>
      <c r="C300" s="66" t="b">
        <v>0</v>
      </c>
      <c r="D300" s="62" t="s">
        <v>2477</v>
      </c>
      <c r="E300" s="62" t="s">
        <v>42</v>
      </c>
      <c r="F300" s="62" t="s">
        <v>48</v>
      </c>
      <c r="G300" s="62" t="s">
        <v>185</v>
      </c>
      <c r="H300" s="62" t="s">
        <v>2346</v>
      </c>
      <c r="I300" s="68" t="s">
        <v>183</v>
      </c>
      <c r="J300" s="62" t="s">
        <v>1048</v>
      </c>
      <c r="K300" s="62" t="s">
        <v>184</v>
      </c>
      <c r="L300" s="62" t="s">
        <v>1041</v>
      </c>
      <c r="M300" s="62" t="s">
        <v>1075</v>
      </c>
      <c r="N300" s="62" t="s">
        <v>1556</v>
      </c>
      <c r="O300" s="62" t="s">
        <v>2349</v>
      </c>
      <c r="P300" s="30" t="s">
        <v>825</v>
      </c>
      <c r="Q300" s="30" t="s">
        <v>2351</v>
      </c>
      <c r="R300" s="28"/>
      <c r="S300" s="69" t="s">
        <v>2352</v>
      </c>
      <c r="T300" s="69" t="s">
        <v>2352</v>
      </c>
      <c r="U300" s="28">
        <v>0.0</v>
      </c>
      <c r="V300" s="70">
        <v>0.0</v>
      </c>
      <c r="W300" s="30" t="s">
        <v>2353</v>
      </c>
    </row>
    <row r="301">
      <c r="A301" s="67">
        <f>ROW()-ROW(Table_Actions[N])</f>
        <v>144</v>
      </c>
      <c r="B301" s="57" t="s">
        <v>962</v>
      </c>
      <c r="C301" s="66" t="b">
        <v>0</v>
      </c>
      <c r="D301" s="62" t="s">
        <v>2477</v>
      </c>
      <c r="E301" s="62" t="s">
        <v>42</v>
      </c>
      <c r="F301" s="62" t="s">
        <v>48</v>
      </c>
      <c r="G301" s="62" t="s">
        <v>185</v>
      </c>
      <c r="H301" s="62" t="s">
        <v>2346</v>
      </c>
      <c r="I301" s="68" t="s">
        <v>183</v>
      </c>
      <c r="J301" s="62" t="s">
        <v>1048</v>
      </c>
      <c r="K301" s="62" t="s">
        <v>184</v>
      </c>
      <c r="L301" s="62" t="s">
        <v>1057</v>
      </c>
      <c r="M301" s="62" t="s">
        <v>1075</v>
      </c>
      <c r="N301" s="62" t="s">
        <v>1556</v>
      </c>
      <c r="O301" s="62" t="s">
        <v>2349</v>
      </c>
      <c r="P301" s="30" t="s">
        <v>825</v>
      </c>
      <c r="Q301" s="30" t="s">
        <v>2351</v>
      </c>
      <c r="R301" s="28"/>
      <c r="S301" s="69" t="s">
        <v>2352</v>
      </c>
      <c r="T301" s="69" t="s">
        <v>2352</v>
      </c>
      <c r="U301" s="28">
        <v>0.0</v>
      </c>
      <c r="V301" s="70">
        <v>0.0</v>
      </c>
      <c r="W301" s="30" t="s">
        <v>2353</v>
      </c>
    </row>
    <row r="302">
      <c r="A302" s="67">
        <f>ROW()-ROW(Table_Actions[N])</f>
        <v>145</v>
      </c>
      <c r="B302" s="57" t="s">
        <v>979</v>
      </c>
      <c r="C302" s="66" t="b">
        <v>0</v>
      </c>
      <c r="D302" s="62" t="s">
        <v>2477</v>
      </c>
      <c r="E302" s="62" t="s">
        <v>42</v>
      </c>
      <c r="F302" s="62" t="s">
        <v>48</v>
      </c>
      <c r="G302" s="62" t="s">
        <v>185</v>
      </c>
      <c r="H302" s="62" t="s">
        <v>2346</v>
      </c>
      <c r="I302" s="68" t="s">
        <v>183</v>
      </c>
      <c r="J302" s="62" t="s">
        <v>1048</v>
      </c>
      <c r="K302" s="62" t="s">
        <v>184</v>
      </c>
      <c r="L302" s="62" t="s">
        <v>897</v>
      </c>
      <c r="M302" s="62" t="s">
        <v>2824</v>
      </c>
      <c r="N302" s="62" t="s">
        <v>1556</v>
      </c>
      <c r="O302" s="62" t="s">
        <v>2349</v>
      </c>
      <c r="P302" s="30" t="s">
        <v>825</v>
      </c>
      <c r="Q302" s="30" t="s">
        <v>2351</v>
      </c>
      <c r="R302" s="28"/>
      <c r="S302" s="69" t="s">
        <v>2352</v>
      </c>
      <c r="T302" s="69" t="s">
        <v>2352</v>
      </c>
      <c r="U302" s="28">
        <v>0.0</v>
      </c>
      <c r="V302" s="70">
        <v>0.0</v>
      </c>
      <c r="W302" s="30" t="s">
        <v>2353</v>
      </c>
    </row>
    <row r="303">
      <c r="A303" s="67">
        <f>ROW()-ROW(Table_Actions[N])</f>
        <v>146</v>
      </c>
      <c r="B303" s="57" t="s">
        <v>994</v>
      </c>
      <c r="C303" s="66" t="b">
        <v>0</v>
      </c>
      <c r="D303" s="62" t="s">
        <v>2477</v>
      </c>
      <c r="E303" s="62" t="s">
        <v>42</v>
      </c>
      <c r="F303" s="62" t="s">
        <v>48</v>
      </c>
      <c r="G303" s="62" t="s">
        <v>185</v>
      </c>
      <c r="H303" s="62" t="s">
        <v>2346</v>
      </c>
      <c r="I303" s="68" t="s">
        <v>183</v>
      </c>
      <c r="J303" s="62" t="s">
        <v>1048</v>
      </c>
      <c r="K303" s="62" t="s">
        <v>184</v>
      </c>
      <c r="L303" s="62" t="s">
        <v>897</v>
      </c>
      <c r="M303" s="62" t="s">
        <v>2826</v>
      </c>
      <c r="N303" s="62" t="s">
        <v>1556</v>
      </c>
      <c r="O303" s="62" t="s">
        <v>2349</v>
      </c>
      <c r="P303" s="30" t="s">
        <v>825</v>
      </c>
      <c r="Q303" s="30" t="s">
        <v>2351</v>
      </c>
      <c r="R303" s="28"/>
      <c r="S303" s="69" t="s">
        <v>2352</v>
      </c>
      <c r="T303" s="69" t="s">
        <v>2352</v>
      </c>
      <c r="U303" s="28">
        <v>0.0</v>
      </c>
      <c r="V303" s="70">
        <v>0.0</v>
      </c>
      <c r="W303" s="30" t="s">
        <v>2353</v>
      </c>
    </row>
    <row r="304">
      <c r="A304" s="67">
        <f>ROW()-ROW(Table_Actions[N])</f>
        <v>147</v>
      </c>
      <c r="B304" s="57" t="s">
        <v>1003</v>
      </c>
      <c r="C304" s="66" t="b">
        <v>0</v>
      </c>
      <c r="D304" s="62" t="s">
        <v>2477</v>
      </c>
      <c r="E304" s="62" t="s">
        <v>42</v>
      </c>
      <c r="F304" s="62" t="s">
        <v>48</v>
      </c>
      <c r="G304" s="62" t="s">
        <v>185</v>
      </c>
      <c r="H304" s="62" t="s">
        <v>2346</v>
      </c>
      <c r="I304" s="68" t="s">
        <v>183</v>
      </c>
      <c r="J304" s="62" t="s">
        <v>1048</v>
      </c>
      <c r="K304" s="62" t="s">
        <v>184</v>
      </c>
      <c r="L304" s="62" t="s">
        <v>1074</v>
      </c>
      <c r="M304" s="62" t="s">
        <v>1075</v>
      </c>
      <c r="N304" s="62" t="s">
        <v>1556</v>
      </c>
      <c r="O304" s="62" t="s">
        <v>2349</v>
      </c>
      <c r="P304" s="30" t="s">
        <v>825</v>
      </c>
      <c r="Q304" s="30" t="s">
        <v>2351</v>
      </c>
      <c r="R304" s="28"/>
      <c r="S304" s="69" t="s">
        <v>2352</v>
      </c>
      <c r="T304" s="69" t="s">
        <v>2352</v>
      </c>
      <c r="U304" s="28">
        <v>0.0</v>
      </c>
      <c r="V304" s="70">
        <v>0.0</v>
      </c>
      <c r="W304" s="30" t="s">
        <v>2353</v>
      </c>
    </row>
    <row r="305">
      <c r="A305" s="67">
        <f>ROW()-ROW(Table_Actions[N])</f>
        <v>148</v>
      </c>
      <c r="B305" s="57" t="s">
        <v>1831</v>
      </c>
      <c r="C305" s="66" t="b">
        <v>0</v>
      </c>
      <c r="D305" s="62" t="s">
        <v>2492</v>
      </c>
      <c r="E305" s="62" t="s">
        <v>42</v>
      </c>
      <c r="F305" s="62" t="s">
        <v>48</v>
      </c>
      <c r="G305" s="62" t="s">
        <v>185</v>
      </c>
      <c r="H305" s="62" t="s">
        <v>2346</v>
      </c>
      <c r="I305" s="68" t="s">
        <v>183</v>
      </c>
      <c r="J305" s="62" t="s">
        <v>1048</v>
      </c>
      <c r="K305" s="62" t="s">
        <v>184</v>
      </c>
      <c r="L305" s="62" t="s">
        <v>889</v>
      </c>
      <c r="M305" s="62" t="s">
        <v>1075</v>
      </c>
      <c r="N305" s="62" t="s">
        <v>1556</v>
      </c>
      <c r="O305" s="62" t="s">
        <v>2349</v>
      </c>
      <c r="P305" s="30" t="s">
        <v>825</v>
      </c>
      <c r="Q305" s="30" t="s">
        <v>2351</v>
      </c>
      <c r="R305" s="28"/>
      <c r="S305" s="69" t="s">
        <v>2352</v>
      </c>
      <c r="T305" s="69" t="s">
        <v>2352</v>
      </c>
      <c r="U305" s="28">
        <v>0.0</v>
      </c>
      <c r="V305" s="70">
        <v>0.0</v>
      </c>
      <c r="W305" s="30" t="s">
        <v>2749</v>
      </c>
    </row>
    <row r="306">
      <c r="A306" s="67">
        <f>ROW()-ROW(Table_Actions[N])</f>
        <v>149</v>
      </c>
      <c r="B306" s="57" t="s">
        <v>3306</v>
      </c>
      <c r="C306" s="66" t="b">
        <v>0</v>
      </c>
      <c r="D306" s="58" t="s">
        <v>2400</v>
      </c>
      <c r="E306" s="58" t="s">
        <v>42</v>
      </c>
      <c r="F306" s="58" t="s">
        <v>48</v>
      </c>
      <c r="G306" s="58" t="s">
        <v>185</v>
      </c>
      <c r="H306" s="58" t="s">
        <v>2346</v>
      </c>
      <c r="I306" s="68" t="s">
        <v>1842</v>
      </c>
      <c r="J306" s="58" t="s">
        <v>1048</v>
      </c>
      <c r="K306" s="58" t="s">
        <v>184</v>
      </c>
      <c r="L306" s="58" t="s">
        <v>889</v>
      </c>
      <c r="M306" s="58" t="s">
        <v>1075</v>
      </c>
      <c r="N306" s="62" t="s">
        <v>1556</v>
      </c>
      <c r="O306" s="58" t="s">
        <v>2349</v>
      </c>
      <c r="P306" s="30" t="s">
        <v>825</v>
      </c>
      <c r="Q306" s="30" t="s">
        <v>2351</v>
      </c>
      <c r="R306" s="28"/>
      <c r="S306" s="69" t="s">
        <v>2352</v>
      </c>
      <c r="T306" s="69" t="s">
        <v>2352</v>
      </c>
      <c r="U306" s="28">
        <v>0.0</v>
      </c>
      <c r="V306" s="70">
        <v>0.0</v>
      </c>
      <c r="W306" s="30" t="s">
        <v>2353</v>
      </c>
    </row>
    <row r="307">
      <c r="A307" s="67">
        <f>ROW()-ROW(Table_Actions[N])</f>
        <v>150</v>
      </c>
      <c r="B307" s="57" t="s">
        <v>1015</v>
      </c>
      <c r="C307" s="66" t="b">
        <v>0</v>
      </c>
      <c r="D307" s="62" t="s">
        <v>2477</v>
      </c>
      <c r="E307" s="62" t="s">
        <v>42</v>
      </c>
      <c r="F307" s="62" t="s">
        <v>48</v>
      </c>
      <c r="G307" s="62" t="s">
        <v>185</v>
      </c>
      <c r="H307" s="62" t="s">
        <v>2346</v>
      </c>
      <c r="I307" s="68" t="s">
        <v>183</v>
      </c>
      <c r="J307" s="62" t="s">
        <v>1048</v>
      </c>
      <c r="K307" s="62" t="s">
        <v>184</v>
      </c>
      <c r="L307" s="62" t="s">
        <v>1092</v>
      </c>
      <c r="M307" s="62" t="s">
        <v>1075</v>
      </c>
      <c r="N307" s="62" t="s">
        <v>1556</v>
      </c>
      <c r="O307" s="62" t="s">
        <v>2349</v>
      </c>
      <c r="P307" s="30" t="s">
        <v>825</v>
      </c>
      <c r="Q307" s="30" t="s">
        <v>2351</v>
      </c>
      <c r="R307" s="28"/>
      <c r="S307" s="69" t="s">
        <v>2352</v>
      </c>
      <c r="T307" s="69" t="s">
        <v>2352</v>
      </c>
      <c r="U307" s="28">
        <v>0.0</v>
      </c>
      <c r="V307" s="70">
        <v>0.0</v>
      </c>
      <c r="W307" s="30" t="s">
        <v>2353</v>
      </c>
    </row>
    <row r="308">
      <c r="A308" s="67">
        <f>ROW()-ROW(Table_Actions[N])</f>
        <v>151</v>
      </c>
      <c r="B308" s="57" t="s">
        <v>3307</v>
      </c>
      <c r="C308" s="66" t="b">
        <v>0</v>
      </c>
      <c r="D308" s="62" t="s">
        <v>2461</v>
      </c>
      <c r="E308" s="62" t="s">
        <v>668</v>
      </c>
      <c r="F308" s="62" t="s">
        <v>48</v>
      </c>
      <c r="G308" s="62" t="s">
        <v>185</v>
      </c>
      <c r="H308" s="62" t="s">
        <v>2346</v>
      </c>
      <c r="I308" s="68" t="s">
        <v>183</v>
      </c>
      <c r="J308" s="62" t="s">
        <v>1048</v>
      </c>
      <c r="K308" s="62" t="s">
        <v>184</v>
      </c>
      <c r="L308" s="62" t="s">
        <v>889</v>
      </c>
      <c r="M308" s="62" t="s">
        <v>1075</v>
      </c>
      <c r="N308" s="62" t="s">
        <v>2599</v>
      </c>
      <c r="O308" s="62" t="s">
        <v>2349</v>
      </c>
      <c r="P308" s="30" t="s">
        <v>825</v>
      </c>
      <c r="Q308" s="30" t="s">
        <v>2351</v>
      </c>
      <c r="R308" s="28"/>
      <c r="S308" s="69" t="s">
        <v>2352</v>
      </c>
      <c r="T308" s="69" t="s">
        <v>2352</v>
      </c>
      <c r="U308" s="28">
        <v>0.0</v>
      </c>
      <c r="V308" s="70">
        <v>0.0</v>
      </c>
      <c r="W308" s="30" t="s">
        <v>2353</v>
      </c>
    </row>
    <row r="309">
      <c r="A309" s="67">
        <f>ROW()-ROW(Table_Actions[N])</f>
        <v>152</v>
      </c>
      <c r="B309" s="57" t="s">
        <v>3308</v>
      </c>
      <c r="C309" s="66" t="b">
        <v>1</v>
      </c>
      <c r="D309" s="62" t="s">
        <v>2461</v>
      </c>
      <c r="E309" s="62" t="s">
        <v>668</v>
      </c>
      <c r="F309" s="62" t="s">
        <v>48</v>
      </c>
      <c r="G309" s="62" t="s">
        <v>185</v>
      </c>
      <c r="H309" s="62" t="s">
        <v>2346</v>
      </c>
      <c r="I309" s="68" t="s">
        <v>183</v>
      </c>
      <c r="J309" s="62" t="s">
        <v>1048</v>
      </c>
      <c r="K309" s="62" t="s">
        <v>184</v>
      </c>
      <c r="L309" s="62" t="s">
        <v>889</v>
      </c>
      <c r="M309" s="62" t="s">
        <v>1075</v>
      </c>
      <c r="N309" s="62" t="s">
        <v>2522</v>
      </c>
      <c r="O309" s="62" t="s">
        <v>2349</v>
      </c>
      <c r="P309" s="30" t="s">
        <v>825</v>
      </c>
      <c r="Q309" s="30" t="s">
        <v>2351</v>
      </c>
      <c r="R309" s="28"/>
      <c r="S309" s="69" t="s">
        <v>2352</v>
      </c>
      <c r="T309" s="69" t="s">
        <v>2352</v>
      </c>
      <c r="U309" s="28">
        <v>0.0</v>
      </c>
      <c r="V309" s="70">
        <v>0.0</v>
      </c>
      <c r="W309" s="30" t="s">
        <v>2353</v>
      </c>
    </row>
    <row r="310">
      <c r="A310" s="67">
        <f>ROW()-ROW(Table_Actions[N])</f>
        <v>153</v>
      </c>
      <c r="B310" s="57" t="s">
        <v>3309</v>
      </c>
      <c r="C310" s="66" t="b">
        <v>0</v>
      </c>
      <c r="D310" s="62" t="s">
        <v>2477</v>
      </c>
      <c r="E310" s="62" t="s">
        <v>42</v>
      </c>
      <c r="F310" s="62" t="s">
        <v>48</v>
      </c>
      <c r="G310" s="62" t="s">
        <v>185</v>
      </c>
      <c r="H310" s="62" t="s">
        <v>2346</v>
      </c>
      <c r="I310" s="68" t="s">
        <v>183</v>
      </c>
      <c r="J310" s="62" t="s">
        <v>1048</v>
      </c>
      <c r="K310" s="62" t="s">
        <v>184</v>
      </c>
      <c r="L310" s="62" t="s">
        <v>1108</v>
      </c>
      <c r="M310" s="62" t="s">
        <v>1075</v>
      </c>
      <c r="N310" s="62" t="s">
        <v>1556</v>
      </c>
      <c r="O310" s="62" t="s">
        <v>2349</v>
      </c>
      <c r="P310" s="30" t="s">
        <v>825</v>
      </c>
      <c r="Q310" s="30" t="s">
        <v>2351</v>
      </c>
      <c r="R310" s="28"/>
      <c r="S310" s="69" t="s">
        <v>2352</v>
      </c>
      <c r="T310" s="69" t="s">
        <v>2352</v>
      </c>
      <c r="U310" s="28">
        <v>0.0</v>
      </c>
      <c r="V310" s="70">
        <v>0.0</v>
      </c>
      <c r="W310" s="30" t="s">
        <v>2353</v>
      </c>
    </row>
    <row r="311">
      <c r="A311" s="67">
        <f>ROW()-ROW(Table_Actions[N])</f>
        <v>154</v>
      </c>
      <c r="B311" s="57" t="s">
        <v>3310</v>
      </c>
      <c r="C311" s="66" t="b">
        <v>0</v>
      </c>
      <c r="D311" s="62" t="s">
        <v>2461</v>
      </c>
      <c r="E311" s="62" t="s">
        <v>668</v>
      </c>
      <c r="F311" s="62" t="s">
        <v>48</v>
      </c>
      <c r="G311" s="62" t="s">
        <v>185</v>
      </c>
      <c r="H311" s="62" t="s">
        <v>2346</v>
      </c>
      <c r="I311" s="68" t="s">
        <v>183</v>
      </c>
      <c r="J311" s="62" t="s">
        <v>1048</v>
      </c>
      <c r="K311" s="62" t="s">
        <v>184</v>
      </c>
      <c r="L311" s="62" t="s">
        <v>889</v>
      </c>
      <c r="M311" s="62" t="s">
        <v>1075</v>
      </c>
      <c r="N311" s="62" t="s">
        <v>1644</v>
      </c>
      <c r="O311" s="62" t="s">
        <v>2349</v>
      </c>
      <c r="P311" s="30" t="s">
        <v>825</v>
      </c>
      <c r="Q311" s="30" t="s">
        <v>2351</v>
      </c>
      <c r="R311" s="28"/>
      <c r="S311" s="69" t="s">
        <v>2352</v>
      </c>
      <c r="T311" s="69" t="s">
        <v>2352</v>
      </c>
      <c r="U311" s="28">
        <v>0.0</v>
      </c>
      <c r="V311" s="70">
        <v>0.0</v>
      </c>
      <c r="W311" s="30" t="s">
        <v>2353</v>
      </c>
    </row>
    <row r="312">
      <c r="A312" s="67">
        <f>ROW()-ROW(Table_Actions[N])</f>
        <v>155</v>
      </c>
      <c r="B312" s="57" t="s">
        <v>3311</v>
      </c>
      <c r="C312" s="66" t="b">
        <v>0</v>
      </c>
      <c r="D312" s="62" t="s">
        <v>2461</v>
      </c>
      <c r="E312" s="62" t="s">
        <v>668</v>
      </c>
      <c r="F312" s="62" t="s">
        <v>48</v>
      </c>
      <c r="G312" s="62" t="s">
        <v>185</v>
      </c>
      <c r="H312" s="62" t="s">
        <v>2346</v>
      </c>
      <c r="I312" s="68" t="s">
        <v>183</v>
      </c>
      <c r="J312" s="62" t="s">
        <v>1048</v>
      </c>
      <c r="K312" s="62" t="s">
        <v>184</v>
      </c>
      <c r="L312" s="62" t="s">
        <v>889</v>
      </c>
      <c r="M312" s="62" t="s">
        <v>1075</v>
      </c>
      <c r="N312" s="62" t="s">
        <v>2525</v>
      </c>
      <c r="O312" s="62" t="s">
        <v>2349</v>
      </c>
      <c r="P312" s="30" t="s">
        <v>825</v>
      </c>
      <c r="Q312" s="30" t="s">
        <v>2351</v>
      </c>
      <c r="R312" s="28"/>
      <c r="S312" s="69" t="s">
        <v>2352</v>
      </c>
      <c r="T312" s="69" t="s">
        <v>2352</v>
      </c>
      <c r="U312" s="28">
        <v>0.0</v>
      </c>
      <c r="V312" s="70">
        <v>0.0</v>
      </c>
      <c r="W312" s="30" t="s">
        <v>2353</v>
      </c>
    </row>
    <row r="313">
      <c r="A313" s="67">
        <f>ROW()-ROW(Table_Actions[N])</f>
        <v>156</v>
      </c>
      <c r="B313" s="57" t="s">
        <v>1937</v>
      </c>
      <c r="C313" s="66" t="b">
        <v>0</v>
      </c>
      <c r="D313" s="58" t="s">
        <v>2400</v>
      </c>
      <c r="E313" s="58" t="s">
        <v>42</v>
      </c>
      <c r="F313" s="58" t="s">
        <v>48</v>
      </c>
      <c r="G313" s="58" t="s">
        <v>185</v>
      </c>
      <c r="H313" s="58" t="s">
        <v>2346</v>
      </c>
      <c r="I313" s="68" t="s">
        <v>1901</v>
      </c>
      <c r="J313" s="58" t="s">
        <v>1048</v>
      </c>
      <c r="K313" s="58" t="s">
        <v>184</v>
      </c>
      <c r="L313" s="58" t="s">
        <v>889</v>
      </c>
      <c r="M313" s="58" t="s">
        <v>1075</v>
      </c>
      <c r="N313" s="62" t="s">
        <v>1556</v>
      </c>
      <c r="O313" s="58" t="s">
        <v>2349</v>
      </c>
      <c r="P313" s="30" t="s">
        <v>825</v>
      </c>
      <c r="Q313" s="30" t="s">
        <v>2351</v>
      </c>
      <c r="R313" s="28"/>
      <c r="S313" s="69" t="s">
        <v>2352</v>
      </c>
      <c r="T313" s="69" t="s">
        <v>2352</v>
      </c>
      <c r="U313" s="28">
        <v>0.0</v>
      </c>
      <c r="V313" s="70">
        <v>0.0</v>
      </c>
      <c r="W313" s="30" t="s">
        <v>2353</v>
      </c>
    </row>
    <row r="314">
      <c r="A314" s="67">
        <f>ROW()-ROW(Table_Actions[N])</f>
        <v>157</v>
      </c>
      <c r="B314" s="57" t="s">
        <v>3312</v>
      </c>
      <c r="C314" s="66" t="b">
        <v>0</v>
      </c>
      <c r="D314" s="62" t="s">
        <v>2466</v>
      </c>
      <c r="E314" s="62" t="s">
        <v>468</v>
      </c>
      <c r="F314" s="58" t="s">
        <v>48</v>
      </c>
      <c r="G314" s="62" t="s">
        <v>185</v>
      </c>
      <c r="H314" s="58" t="s">
        <v>2346</v>
      </c>
      <c r="I314" s="68" t="s">
        <v>183</v>
      </c>
      <c r="J314" s="58" t="s">
        <v>1048</v>
      </c>
      <c r="K314" s="58" t="s">
        <v>184</v>
      </c>
      <c r="L314" s="58" t="s">
        <v>889</v>
      </c>
      <c r="M314" s="58" t="s">
        <v>1075</v>
      </c>
      <c r="N314" s="62" t="s">
        <v>1556</v>
      </c>
      <c r="O314" s="58" t="s">
        <v>2349</v>
      </c>
      <c r="P314" s="30" t="s">
        <v>825</v>
      </c>
      <c r="Q314" s="30" t="s">
        <v>2351</v>
      </c>
      <c r="R314" s="28"/>
      <c r="S314" s="69" t="s">
        <v>2352</v>
      </c>
      <c r="T314" s="69" t="s">
        <v>2352</v>
      </c>
      <c r="U314" s="28">
        <v>0.0</v>
      </c>
      <c r="V314" s="70">
        <v>0.0</v>
      </c>
      <c r="W314" s="30" t="s">
        <v>2353</v>
      </c>
    </row>
    <row r="315">
      <c r="A315" s="67">
        <f>ROW()-ROW(Table_Actions[N])</f>
        <v>158</v>
      </c>
      <c r="B315" s="57" t="s">
        <v>3313</v>
      </c>
      <c r="C315" s="66" t="b">
        <v>0</v>
      </c>
      <c r="D315" s="62" t="s">
        <v>2464</v>
      </c>
      <c r="E315" s="62" t="s">
        <v>679</v>
      </c>
      <c r="F315" s="62" t="s">
        <v>48</v>
      </c>
      <c r="G315" s="62" t="s">
        <v>201</v>
      </c>
      <c r="H315" s="62" t="s">
        <v>2346</v>
      </c>
      <c r="I315" s="68" t="s">
        <v>183</v>
      </c>
      <c r="J315" s="62" t="s">
        <v>1048</v>
      </c>
      <c r="K315" s="62" t="s">
        <v>184</v>
      </c>
      <c r="L315" s="62" t="s">
        <v>889</v>
      </c>
      <c r="M315" s="62" t="s">
        <v>1075</v>
      </c>
      <c r="N315" s="62" t="s">
        <v>1556</v>
      </c>
      <c r="O315" s="62" t="s">
        <v>2349</v>
      </c>
      <c r="P315" s="30" t="s">
        <v>825</v>
      </c>
      <c r="Q315" s="30" t="s">
        <v>2351</v>
      </c>
      <c r="R315" s="28"/>
      <c r="S315" s="69" t="s">
        <v>2352</v>
      </c>
      <c r="T315" s="69" t="s">
        <v>2352</v>
      </c>
      <c r="U315" s="28">
        <v>0.0</v>
      </c>
      <c r="V315" s="70">
        <v>0.0</v>
      </c>
      <c r="W315" s="30" t="s">
        <v>2353</v>
      </c>
    </row>
    <row r="316">
      <c r="A316" s="67">
        <f>ROW()-ROW(Table_Actions[N])</f>
        <v>159</v>
      </c>
      <c r="B316" s="57" t="s">
        <v>3314</v>
      </c>
      <c r="C316" s="66" t="b">
        <v>0</v>
      </c>
      <c r="D316" s="62" t="s">
        <v>2400</v>
      </c>
      <c r="E316" s="58" t="s">
        <v>42</v>
      </c>
      <c r="F316" s="58" t="s">
        <v>48</v>
      </c>
      <c r="G316" s="58" t="s">
        <v>185</v>
      </c>
      <c r="H316" s="58" t="s">
        <v>2346</v>
      </c>
      <c r="I316" s="68" t="s">
        <v>2725</v>
      </c>
      <c r="J316" s="58" t="s">
        <v>1048</v>
      </c>
      <c r="K316" s="58" t="s">
        <v>184</v>
      </c>
      <c r="L316" s="58" t="s">
        <v>889</v>
      </c>
      <c r="M316" s="58" t="s">
        <v>1075</v>
      </c>
      <c r="N316" s="62" t="s">
        <v>1556</v>
      </c>
      <c r="O316" s="58" t="s">
        <v>2349</v>
      </c>
      <c r="P316" s="30" t="s">
        <v>825</v>
      </c>
      <c r="Q316" s="30" t="s">
        <v>2351</v>
      </c>
      <c r="R316" s="28"/>
      <c r="S316" s="69" t="s">
        <v>2352</v>
      </c>
      <c r="T316" s="69" t="s">
        <v>2352</v>
      </c>
      <c r="U316" s="28">
        <v>0.0</v>
      </c>
      <c r="V316" s="70">
        <v>0.0</v>
      </c>
      <c r="W316" s="30" t="s">
        <v>2353</v>
      </c>
    </row>
    <row r="317">
      <c r="A317" s="67">
        <f>ROW()-ROW(Table_Actions[N])</f>
        <v>160</v>
      </c>
      <c r="B317" s="57" t="s">
        <v>1040</v>
      </c>
      <c r="C317" s="66" t="b">
        <v>0</v>
      </c>
      <c r="D317" s="83" t="s">
        <v>2477</v>
      </c>
      <c r="E317" s="62" t="s">
        <v>42</v>
      </c>
      <c r="F317" s="62" t="s">
        <v>48</v>
      </c>
      <c r="G317" s="62" t="s">
        <v>185</v>
      </c>
      <c r="H317" s="62" t="s">
        <v>2346</v>
      </c>
      <c r="I317" s="68" t="s">
        <v>183</v>
      </c>
      <c r="J317" s="62" t="s">
        <v>1048</v>
      </c>
      <c r="K317" s="62" t="s">
        <v>184</v>
      </c>
      <c r="L317" s="62" t="s">
        <v>897</v>
      </c>
      <c r="M317" s="62" t="s">
        <v>2958</v>
      </c>
      <c r="N317" s="62" t="s">
        <v>1556</v>
      </c>
      <c r="O317" s="62" t="s">
        <v>2349</v>
      </c>
      <c r="P317" s="30" t="s">
        <v>825</v>
      </c>
      <c r="Q317" s="30" t="s">
        <v>2351</v>
      </c>
      <c r="R317" s="28"/>
      <c r="S317" s="69" t="s">
        <v>2352</v>
      </c>
      <c r="T317" s="69" t="s">
        <v>2352</v>
      </c>
      <c r="U317" s="28">
        <v>0.0</v>
      </c>
      <c r="V317" s="70">
        <v>0.0</v>
      </c>
      <c r="W317" s="30" t="s">
        <v>2353</v>
      </c>
    </row>
    <row r="318">
      <c r="A318" s="67">
        <f>ROW()-ROW(Table_Actions[N])</f>
        <v>161</v>
      </c>
      <c r="B318" s="57" t="s">
        <v>3315</v>
      </c>
      <c r="C318" s="66" t="b">
        <v>0</v>
      </c>
      <c r="D318" s="83" t="s">
        <v>2477</v>
      </c>
      <c r="E318" s="62" t="s">
        <v>42</v>
      </c>
      <c r="F318" s="62" t="s">
        <v>48</v>
      </c>
      <c r="G318" s="62" t="s">
        <v>185</v>
      </c>
      <c r="H318" s="62" t="s">
        <v>2346</v>
      </c>
      <c r="I318" s="68" t="s">
        <v>183</v>
      </c>
      <c r="J318" s="62" t="s">
        <v>1048</v>
      </c>
      <c r="K318" s="62" t="s">
        <v>184</v>
      </c>
      <c r="L318" s="62" t="s">
        <v>897</v>
      </c>
      <c r="M318" s="62" t="s">
        <v>2960</v>
      </c>
      <c r="N318" s="62" t="s">
        <v>1556</v>
      </c>
      <c r="O318" s="62" t="s">
        <v>2349</v>
      </c>
      <c r="P318" s="30" t="s">
        <v>825</v>
      </c>
      <c r="Q318" s="30" t="s">
        <v>2351</v>
      </c>
      <c r="R318" s="28"/>
      <c r="S318" s="69" t="s">
        <v>2352</v>
      </c>
      <c r="T318" s="69" t="s">
        <v>2352</v>
      </c>
      <c r="U318" s="28">
        <v>0.0</v>
      </c>
      <c r="V318" s="70">
        <v>0.0</v>
      </c>
      <c r="W318" s="30" t="s">
        <v>2353</v>
      </c>
    </row>
    <row r="319">
      <c r="A319" s="67">
        <f>ROW()-ROW(Table_Actions[N])</f>
        <v>162</v>
      </c>
      <c r="B319" s="57" t="s">
        <v>3316</v>
      </c>
      <c r="C319" s="85" t="b">
        <v>0</v>
      </c>
      <c r="D319" s="58" t="s">
        <v>2466</v>
      </c>
      <c r="E319" s="62" t="s">
        <v>679</v>
      </c>
      <c r="F319" s="58" t="s">
        <v>48</v>
      </c>
      <c r="G319" s="58" t="s">
        <v>185</v>
      </c>
      <c r="H319" s="58" t="s">
        <v>2346</v>
      </c>
      <c r="I319" s="80" t="s">
        <v>183</v>
      </c>
      <c r="J319" s="58" t="s">
        <v>1048</v>
      </c>
      <c r="K319" s="58" t="s">
        <v>184</v>
      </c>
      <c r="L319" s="58" t="s">
        <v>889</v>
      </c>
      <c r="M319" s="58" t="s">
        <v>1075</v>
      </c>
      <c r="N319" s="58" t="s">
        <v>1556</v>
      </c>
      <c r="O319" s="58" t="s">
        <v>2349</v>
      </c>
      <c r="P319" s="30" t="s">
        <v>825</v>
      </c>
      <c r="Q319" s="30" t="s">
        <v>2351</v>
      </c>
      <c r="R319" s="80"/>
      <c r="S319" s="69" t="s">
        <v>2352</v>
      </c>
      <c r="T319" s="69" t="s">
        <v>2352</v>
      </c>
      <c r="U319" s="28">
        <v>0.0</v>
      </c>
      <c r="V319" s="70">
        <v>0.0</v>
      </c>
      <c r="W319" s="58" t="s">
        <v>2353</v>
      </c>
    </row>
    <row r="320">
      <c r="A320" s="67">
        <f>ROW()-ROW(Table_Actions[N])</f>
        <v>163</v>
      </c>
      <c r="B320" s="57" t="s">
        <v>3317</v>
      </c>
      <c r="C320" s="66" t="b">
        <v>0</v>
      </c>
      <c r="D320" s="62" t="s">
        <v>2477</v>
      </c>
      <c r="E320" s="62" t="s">
        <v>42</v>
      </c>
      <c r="F320" s="62" t="s">
        <v>48</v>
      </c>
      <c r="G320" s="62" t="s">
        <v>185</v>
      </c>
      <c r="H320" s="62" t="s">
        <v>2346</v>
      </c>
      <c r="I320" s="68" t="s">
        <v>183</v>
      </c>
      <c r="J320" s="62" t="s">
        <v>1048</v>
      </c>
      <c r="K320" s="62" t="s">
        <v>184</v>
      </c>
      <c r="L320" s="62" t="s">
        <v>1047</v>
      </c>
      <c r="M320" s="62" t="s">
        <v>1075</v>
      </c>
      <c r="N320" s="62" t="s">
        <v>1556</v>
      </c>
      <c r="O320" s="62" t="s">
        <v>2349</v>
      </c>
      <c r="P320" s="30" t="s">
        <v>825</v>
      </c>
      <c r="Q320" s="30" t="s">
        <v>2351</v>
      </c>
      <c r="R320" s="57"/>
      <c r="S320" s="69" t="s">
        <v>2352</v>
      </c>
      <c r="T320" s="69" t="s">
        <v>2352</v>
      </c>
      <c r="U320" s="28">
        <v>0.0</v>
      </c>
      <c r="V320" s="70">
        <v>0.0</v>
      </c>
      <c r="W320" s="62" t="s">
        <v>2353</v>
      </c>
    </row>
    <row r="321">
      <c r="A321" s="67">
        <f>ROW()-ROW(Table_Actions[N])</f>
        <v>164</v>
      </c>
      <c r="B321" s="57" t="s">
        <v>1105</v>
      </c>
      <c r="C321" s="66" t="b">
        <v>0</v>
      </c>
      <c r="D321" s="62" t="s">
        <v>2477</v>
      </c>
      <c r="E321" s="62" t="s">
        <v>42</v>
      </c>
      <c r="F321" s="62" t="s">
        <v>48</v>
      </c>
      <c r="G321" s="62" t="s">
        <v>185</v>
      </c>
      <c r="H321" s="62" t="s">
        <v>2346</v>
      </c>
      <c r="I321" s="68" t="s">
        <v>183</v>
      </c>
      <c r="J321" s="62" t="s">
        <v>1048</v>
      </c>
      <c r="K321" s="62" t="s">
        <v>184</v>
      </c>
      <c r="L321" s="62" t="s">
        <v>1118</v>
      </c>
      <c r="M321" s="62" t="s">
        <v>1075</v>
      </c>
      <c r="N321" s="62" t="s">
        <v>1556</v>
      </c>
      <c r="O321" s="62" t="s">
        <v>2349</v>
      </c>
      <c r="P321" s="30" t="s">
        <v>825</v>
      </c>
      <c r="Q321" s="30" t="s">
        <v>2351</v>
      </c>
      <c r="R321" s="57"/>
      <c r="S321" s="69" t="s">
        <v>2352</v>
      </c>
      <c r="T321" s="69" t="s">
        <v>2352</v>
      </c>
      <c r="U321" s="28">
        <v>0.0</v>
      </c>
      <c r="V321" s="70">
        <v>0.0</v>
      </c>
      <c r="W321" s="62" t="s">
        <v>2353</v>
      </c>
    </row>
    <row r="322">
      <c r="A322" s="67">
        <f>ROW()-ROW(Table_Actions[N])</f>
        <v>165</v>
      </c>
      <c r="B322" s="57" t="s">
        <v>3318</v>
      </c>
      <c r="C322" s="66" t="b">
        <v>1</v>
      </c>
      <c r="D322" s="62" t="s">
        <v>2461</v>
      </c>
      <c r="E322" s="62" t="s">
        <v>613</v>
      </c>
      <c r="F322" s="62" t="s">
        <v>48</v>
      </c>
      <c r="G322" s="62" t="s">
        <v>185</v>
      </c>
      <c r="H322" s="62" t="s">
        <v>2346</v>
      </c>
      <c r="I322" s="68" t="s">
        <v>183</v>
      </c>
      <c r="J322" s="62" t="s">
        <v>1048</v>
      </c>
      <c r="K322" s="62" t="s">
        <v>184</v>
      </c>
      <c r="L322" s="62" t="s">
        <v>889</v>
      </c>
      <c r="M322" s="62" t="s">
        <v>1075</v>
      </c>
      <c r="N322" s="62" t="s">
        <v>2522</v>
      </c>
      <c r="O322" s="62" t="s">
        <v>2349</v>
      </c>
      <c r="P322" s="30" t="s">
        <v>825</v>
      </c>
      <c r="Q322" s="30" t="s">
        <v>2351</v>
      </c>
      <c r="R322" s="28"/>
      <c r="S322" s="69" t="s">
        <v>2352</v>
      </c>
      <c r="T322" s="69" t="s">
        <v>2352</v>
      </c>
      <c r="U322" s="28">
        <v>0.0</v>
      </c>
      <c r="V322" s="70">
        <v>0.0</v>
      </c>
      <c r="W322" s="30" t="s">
        <v>2353</v>
      </c>
    </row>
    <row r="323">
      <c r="A323" s="67">
        <f>ROW()-ROW(Table_Actions[N])</f>
        <v>166</v>
      </c>
      <c r="B323" s="57" t="s">
        <v>3319</v>
      </c>
      <c r="C323" s="66" t="b">
        <v>0</v>
      </c>
      <c r="D323" s="62" t="s">
        <v>2484</v>
      </c>
      <c r="E323" s="62" t="s">
        <v>42</v>
      </c>
      <c r="F323" s="62" t="s">
        <v>48</v>
      </c>
      <c r="G323" s="62" t="s">
        <v>185</v>
      </c>
      <c r="H323" s="62" t="s">
        <v>2346</v>
      </c>
      <c r="I323" s="68" t="s">
        <v>183</v>
      </c>
      <c r="J323" s="62" t="s">
        <v>1048</v>
      </c>
      <c r="K323" s="62" t="s">
        <v>184</v>
      </c>
      <c r="L323" s="62" t="s">
        <v>889</v>
      </c>
      <c r="M323" s="62" t="s">
        <v>1075</v>
      </c>
      <c r="N323" s="62" t="s">
        <v>1556</v>
      </c>
      <c r="O323" s="62" t="s">
        <v>2349</v>
      </c>
      <c r="P323" s="30" t="s">
        <v>1526</v>
      </c>
      <c r="Q323" s="30" t="s">
        <v>2351</v>
      </c>
      <c r="R323" s="28"/>
      <c r="S323" s="69" t="s">
        <v>2352</v>
      </c>
      <c r="T323" s="69" t="s">
        <v>2352</v>
      </c>
      <c r="U323" s="28">
        <v>0.0</v>
      </c>
      <c r="V323" s="70">
        <v>0.0</v>
      </c>
      <c r="W323" s="30" t="s">
        <v>2353</v>
      </c>
    </row>
    <row r="324">
      <c r="A324" s="67">
        <f>ROW()-ROW(Table_Actions[N])</f>
        <v>167</v>
      </c>
      <c r="B324" s="57" t="s">
        <v>3320</v>
      </c>
      <c r="C324" s="66" t="b">
        <v>0</v>
      </c>
      <c r="D324" s="62" t="s">
        <v>2400</v>
      </c>
      <c r="E324" s="58" t="s">
        <v>42</v>
      </c>
      <c r="F324" s="58" t="s">
        <v>48</v>
      </c>
      <c r="G324" s="58" t="s">
        <v>185</v>
      </c>
      <c r="H324" s="58" t="s">
        <v>2346</v>
      </c>
      <c r="I324" s="68" t="s">
        <v>2095</v>
      </c>
      <c r="J324" s="58" t="s">
        <v>1048</v>
      </c>
      <c r="K324" s="58" t="s">
        <v>184</v>
      </c>
      <c r="L324" s="58" t="s">
        <v>889</v>
      </c>
      <c r="M324" s="58" t="s">
        <v>1075</v>
      </c>
      <c r="N324" s="62" t="s">
        <v>1556</v>
      </c>
      <c r="O324" s="58" t="s">
        <v>2349</v>
      </c>
      <c r="P324" s="30" t="s">
        <v>825</v>
      </c>
      <c r="Q324" s="30" t="s">
        <v>2351</v>
      </c>
      <c r="R324" s="28"/>
      <c r="S324" s="69" t="s">
        <v>2352</v>
      </c>
      <c r="T324" s="69" t="s">
        <v>2352</v>
      </c>
      <c r="U324" s="28">
        <v>0.0</v>
      </c>
      <c r="V324" s="70">
        <v>0.0</v>
      </c>
      <c r="W324" s="30" t="s">
        <v>2353</v>
      </c>
    </row>
    <row r="325">
      <c r="A325" s="67">
        <f>ROW()-ROW(Table_Actions[N])</f>
        <v>168</v>
      </c>
      <c r="B325" s="57" t="s">
        <v>1117</v>
      </c>
      <c r="C325" s="66" t="b">
        <v>0</v>
      </c>
      <c r="D325" s="62" t="s">
        <v>2477</v>
      </c>
      <c r="E325" s="62" t="s">
        <v>42</v>
      </c>
      <c r="F325" s="62" t="s">
        <v>48</v>
      </c>
      <c r="G325" s="62" t="s">
        <v>185</v>
      </c>
      <c r="H325" s="62" t="s">
        <v>2346</v>
      </c>
      <c r="I325" s="68" t="s">
        <v>183</v>
      </c>
      <c r="J325" s="62" t="s">
        <v>1048</v>
      </c>
      <c r="K325" s="62" t="s">
        <v>184</v>
      </c>
      <c r="L325" s="62" t="s">
        <v>897</v>
      </c>
      <c r="M325" s="62" t="s">
        <v>2979</v>
      </c>
      <c r="N325" s="62" t="s">
        <v>1556</v>
      </c>
      <c r="O325" s="62" t="s">
        <v>2349</v>
      </c>
      <c r="P325" s="30" t="s">
        <v>825</v>
      </c>
      <c r="Q325" s="30" t="s">
        <v>2351</v>
      </c>
      <c r="R325" s="28"/>
      <c r="S325" s="69" t="s">
        <v>2352</v>
      </c>
      <c r="T325" s="69" t="s">
        <v>2352</v>
      </c>
      <c r="U325" s="28">
        <v>0.0</v>
      </c>
      <c r="V325" s="70">
        <v>0.0</v>
      </c>
      <c r="W325" s="30" t="s">
        <v>2353</v>
      </c>
    </row>
    <row r="326">
      <c r="A326" s="67">
        <f>ROW()-ROW(Table_Actions[N])</f>
        <v>169</v>
      </c>
      <c r="B326" s="57" t="s">
        <v>2096</v>
      </c>
      <c r="C326" s="66" t="b">
        <v>0</v>
      </c>
      <c r="D326" s="62" t="s">
        <v>2446</v>
      </c>
      <c r="E326" s="62" t="s">
        <v>703</v>
      </c>
      <c r="F326" s="62" t="s">
        <v>48</v>
      </c>
      <c r="G326" s="62" t="s">
        <v>185</v>
      </c>
      <c r="H326" s="62" t="s">
        <v>2346</v>
      </c>
      <c r="I326" s="68" t="s">
        <v>183</v>
      </c>
      <c r="J326" s="62" t="s">
        <v>1048</v>
      </c>
      <c r="K326" s="62" t="s">
        <v>184</v>
      </c>
      <c r="L326" s="62" t="s">
        <v>889</v>
      </c>
      <c r="M326" s="62" t="s">
        <v>1075</v>
      </c>
      <c r="N326" s="62" t="s">
        <v>1556</v>
      </c>
      <c r="O326" s="62" t="s">
        <v>2349</v>
      </c>
      <c r="P326" s="30" t="s">
        <v>825</v>
      </c>
      <c r="Q326" s="30" t="s">
        <v>2351</v>
      </c>
      <c r="R326" s="28"/>
      <c r="S326" s="69" t="s">
        <v>2352</v>
      </c>
      <c r="T326" s="69" t="s">
        <v>2352</v>
      </c>
      <c r="U326" s="28">
        <v>0.0</v>
      </c>
      <c r="V326" s="70">
        <v>0.0</v>
      </c>
      <c r="W326" s="30" t="s">
        <v>2353</v>
      </c>
    </row>
    <row r="327">
      <c r="A327" s="67">
        <f>ROW()-ROW(Table_Actions[N])</f>
        <v>170</v>
      </c>
      <c r="B327" s="57" t="s">
        <v>3321</v>
      </c>
      <c r="C327" s="66" t="b">
        <v>1</v>
      </c>
      <c r="D327" s="62" t="s">
        <v>2461</v>
      </c>
      <c r="E327" s="62" t="s">
        <v>73</v>
      </c>
      <c r="F327" s="62" t="s">
        <v>48</v>
      </c>
      <c r="G327" s="62" t="s">
        <v>185</v>
      </c>
      <c r="H327" s="62" t="s">
        <v>2346</v>
      </c>
      <c r="I327" s="68" t="s">
        <v>183</v>
      </c>
      <c r="J327" s="62" t="s">
        <v>1048</v>
      </c>
      <c r="K327" s="62" t="s">
        <v>184</v>
      </c>
      <c r="L327" s="62" t="s">
        <v>889</v>
      </c>
      <c r="M327" s="62" t="s">
        <v>1075</v>
      </c>
      <c r="N327" s="62" t="s">
        <v>2520</v>
      </c>
      <c r="O327" s="62" t="s">
        <v>2349</v>
      </c>
      <c r="P327" s="30" t="s">
        <v>825</v>
      </c>
      <c r="Q327" s="30" t="s">
        <v>2351</v>
      </c>
      <c r="R327" s="28"/>
      <c r="S327" s="69" t="s">
        <v>2352</v>
      </c>
      <c r="T327" s="69" t="s">
        <v>2352</v>
      </c>
      <c r="U327" s="28">
        <v>0.0</v>
      </c>
      <c r="V327" s="70">
        <v>0.0</v>
      </c>
      <c r="W327" s="30" t="s">
        <v>2353</v>
      </c>
    </row>
    <row r="328">
      <c r="A328" s="67">
        <f>ROW()-ROW(Table_Actions[N])</f>
        <v>171</v>
      </c>
      <c r="B328" s="57" t="s">
        <v>3322</v>
      </c>
      <c r="C328" s="66" t="b">
        <v>1</v>
      </c>
      <c r="D328" s="62" t="s">
        <v>2461</v>
      </c>
      <c r="E328" s="62" t="s">
        <v>73</v>
      </c>
      <c r="F328" s="62" t="s">
        <v>48</v>
      </c>
      <c r="G328" s="62" t="s">
        <v>185</v>
      </c>
      <c r="H328" s="62" t="s">
        <v>2346</v>
      </c>
      <c r="I328" s="68" t="s">
        <v>183</v>
      </c>
      <c r="J328" s="62" t="s">
        <v>1048</v>
      </c>
      <c r="K328" s="62" t="s">
        <v>184</v>
      </c>
      <c r="L328" s="62" t="s">
        <v>889</v>
      </c>
      <c r="M328" s="62" t="s">
        <v>1075</v>
      </c>
      <c r="N328" s="62" t="s">
        <v>2522</v>
      </c>
      <c r="O328" s="62" t="s">
        <v>2349</v>
      </c>
      <c r="P328" s="30" t="s">
        <v>825</v>
      </c>
      <c r="Q328" s="30" t="s">
        <v>2351</v>
      </c>
      <c r="R328" s="28"/>
      <c r="S328" s="69" t="s">
        <v>2352</v>
      </c>
      <c r="T328" s="69" t="s">
        <v>2352</v>
      </c>
      <c r="U328" s="28">
        <v>0.0</v>
      </c>
      <c r="V328" s="70">
        <v>0.0</v>
      </c>
      <c r="W328" s="30" t="s">
        <v>2353</v>
      </c>
    </row>
    <row r="329">
      <c r="A329" s="67">
        <f>ROW()-ROW(Table_Actions[N])</f>
        <v>172</v>
      </c>
      <c r="B329" s="57" t="s">
        <v>3323</v>
      </c>
      <c r="C329" s="85" t="b">
        <v>1</v>
      </c>
      <c r="D329" s="58" t="s">
        <v>2461</v>
      </c>
      <c r="E329" s="58" t="s">
        <v>613</v>
      </c>
      <c r="F329" s="58" t="s">
        <v>48</v>
      </c>
      <c r="G329" s="58" t="s">
        <v>185</v>
      </c>
      <c r="H329" s="58" t="s">
        <v>2346</v>
      </c>
      <c r="I329" s="80" t="s">
        <v>183</v>
      </c>
      <c r="J329" s="58" t="s">
        <v>1048</v>
      </c>
      <c r="K329" s="58" t="s">
        <v>184</v>
      </c>
      <c r="L329" s="58" t="s">
        <v>889</v>
      </c>
      <c r="M329" s="58" t="s">
        <v>1075</v>
      </c>
      <c r="N329" s="62" t="s">
        <v>2525</v>
      </c>
      <c r="O329" s="58" t="s">
        <v>2349</v>
      </c>
      <c r="P329" s="58" t="s">
        <v>825</v>
      </c>
      <c r="Q329" s="30" t="s">
        <v>2351</v>
      </c>
      <c r="R329" s="80"/>
      <c r="S329" s="69" t="s">
        <v>2352</v>
      </c>
      <c r="T329" s="69" t="s">
        <v>2352</v>
      </c>
      <c r="U329" s="28">
        <v>0.0</v>
      </c>
      <c r="V329" s="70">
        <v>0.0</v>
      </c>
      <c r="W329" s="58" t="s">
        <v>2353</v>
      </c>
    </row>
    <row r="330">
      <c r="A330" s="67">
        <f>ROW()-ROW(Table_Actions[N])</f>
        <v>173</v>
      </c>
      <c r="B330" s="57" t="s">
        <v>3324</v>
      </c>
      <c r="C330" s="85" t="b">
        <v>0</v>
      </c>
      <c r="D330" s="58" t="s">
        <v>2400</v>
      </c>
      <c r="E330" s="58" t="s">
        <v>42</v>
      </c>
      <c r="F330" s="58" t="s">
        <v>48</v>
      </c>
      <c r="G330" s="58" t="s">
        <v>185</v>
      </c>
      <c r="H330" s="58" t="s">
        <v>2346</v>
      </c>
      <c r="I330" s="68" t="s">
        <v>2109</v>
      </c>
      <c r="J330" s="58" t="s">
        <v>1048</v>
      </c>
      <c r="K330" s="58" t="s">
        <v>184</v>
      </c>
      <c r="L330" s="58" t="s">
        <v>889</v>
      </c>
      <c r="M330" s="58" t="s">
        <v>1075</v>
      </c>
      <c r="N330" s="58" t="s">
        <v>1556</v>
      </c>
      <c r="O330" s="58" t="s">
        <v>2349</v>
      </c>
      <c r="P330" s="58" t="s">
        <v>825</v>
      </c>
      <c r="Q330" s="30" t="s">
        <v>2351</v>
      </c>
      <c r="R330" s="80"/>
      <c r="S330" s="69" t="s">
        <v>2352</v>
      </c>
      <c r="T330" s="69" t="s">
        <v>2352</v>
      </c>
      <c r="U330" s="28">
        <v>0.0</v>
      </c>
      <c r="V330" s="70">
        <v>0.0</v>
      </c>
      <c r="W330" s="58" t="s">
        <v>2353</v>
      </c>
    </row>
    <row r="331">
      <c r="A331" s="67">
        <f>ROW()-ROW(Table_Actions[N])</f>
        <v>174</v>
      </c>
      <c r="B331" s="57" t="s">
        <v>3325</v>
      </c>
      <c r="C331" s="85" t="b">
        <v>0</v>
      </c>
      <c r="D331" s="58" t="s">
        <v>2400</v>
      </c>
      <c r="E331" s="58" t="s">
        <v>42</v>
      </c>
      <c r="F331" s="58" t="s">
        <v>48</v>
      </c>
      <c r="G331" s="58" t="s">
        <v>185</v>
      </c>
      <c r="H331" s="58" t="s">
        <v>2346</v>
      </c>
      <c r="I331" s="68" t="s">
        <v>3326</v>
      </c>
      <c r="J331" s="58" t="s">
        <v>1048</v>
      </c>
      <c r="K331" s="58" t="s">
        <v>184</v>
      </c>
      <c r="L331" s="58" t="s">
        <v>889</v>
      </c>
      <c r="M331" s="58" t="s">
        <v>1075</v>
      </c>
      <c r="N331" s="58" t="s">
        <v>1556</v>
      </c>
      <c r="O331" s="58" t="s">
        <v>2349</v>
      </c>
      <c r="P331" s="58" t="s">
        <v>825</v>
      </c>
      <c r="Q331" s="30" t="s">
        <v>2351</v>
      </c>
      <c r="R331" s="80"/>
      <c r="S331" s="69" t="s">
        <v>2352</v>
      </c>
      <c r="T331" s="69" t="s">
        <v>2352</v>
      </c>
      <c r="U331" s="28">
        <v>0.0</v>
      </c>
      <c r="V331" s="70">
        <v>0.0</v>
      </c>
      <c r="W331" s="58" t="s">
        <v>2353</v>
      </c>
    </row>
    <row r="332">
      <c r="A332" s="67">
        <f>ROW()-ROW(Table_Actions[N])</f>
        <v>175</v>
      </c>
      <c r="B332" s="57" t="s">
        <v>1169</v>
      </c>
      <c r="C332" s="66" t="b">
        <v>0</v>
      </c>
      <c r="D332" s="62" t="s">
        <v>2477</v>
      </c>
      <c r="E332" s="62" t="s">
        <v>42</v>
      </c>
      <c r="F332" s="62" t="s">
        <v>48</v>
      </c>
      <c r="G332" s="62" t="s">
        <v>185</v>
      </c>
      <c r="H332" s="62" t="s">
        <v>2346</v>
      </c>
      <c r="I332" s="68" t="s">
        <v>183</v>
      </c>
      <c r="J332" s="62" t="s">
        <v>1048</v>
      </c>
      <c r="K332" s="62" t="s">
        <v>184</v>
      </c>
      <c r="L332" s="62" t="s">
        <v>897</v>
      </c>
      <c r="M332" s="62" t="s">
        <v>2981</v>
      </c>
      <c r="N332" s="62" t="s">
        <v>1556</v>
      </c>
      <c r="O332" s="62" t="s">
        <v>2349</v>
      </c>
      <c r="P332" s="62" t="s">
        <v>825</v>
      </c>
      <c r="Q332" s="30" t="s">
        <v>2351</v>
      </c>
      <c r="R332" s="57"/>
      <c r="S332" s="69" t="s">
        <v>2352</v>
      </c>
      <c r="T332" s="69" t="s">
        <v>2352</v>
      </c>
      <c r="U332" s="28">
        <v>0.0</v>
      </c>
      <c r="V332" s="70">
        <v>0.0</v>
      </c>
      <c r="W332" s="62" t="s">
        <v>2353</v>
      </c>
    </row>
    <row r="333">
      <c r="A333" s="67">
        <f>ROW()-ROW(Table_Actions[N])</f>
        <v>176</v>
      </c>
      <c r="B333" s="57" t="s">
        <v>3327</v>
      </c>
      <c r="C333" s="66" t="b">
        <v>0</v>
      </c>
      <c r="D333" s="62" t="s">
        <v>2447</v>
      </c>
      <c r="E333" s="62" t="s">
        <v>717</v>
      </c>
      <c r="F333" s="62" t="s">
        <v>48</v>
      </c>
      <c r="G333" s="62" t="s">
        <v>185</v>
      </c>
      <c r="H333" s="62" t="s">
        <v>2346</v>
      </c>
      <c r="I333" s="68" t="s">
        <v>183</v>
      </c>
      <c r="J333" s="62" t="s">
        <v>1048</v>
      </c>
      <c r="K333" s="62" t="s">
        <v>184</v>
      </c>
      <c r="L333" s="62" t="s">
        <v>889</v>
      </c>
      <c r="M333" s="62" t="s">
        <v>1075</v>
      </c>
      <c r="N333" s="62" t="s">
        <v>1556</v>
      </c>
      <c r="O333" s="62" t="s">
        <v>2349</v>
      </c>
      <c r="P333" s="62" t="s">
        <v>825</v>
      </c>
      <c r="Q333" s="30" t="s">
        <v>2351</v>
      </c>
      <c r="R333" s="57"/>
      <c r="S333" s="69" t="s">
        <v>2352</v>
      </c>
      <c r="T333" s="69" t="s">
        <v>2352</v>
      </c>
      <c r="U333" s="28">
        <v>0.0</v>
      </c>
      <c r="V333" s="70">
        <v>0.0</v>
      </c>
      <c r="W333" s="62" t="s">
        <v>2353</v>
      </c>
    </row>
    <row r="334">
      <c r="A334" s="67">
        <f>ROW()-ROW(Table_Actions[N])</f>
        <v>177</v>
      </c>
      <c r="B334" s="57" t="s">
        <v>2112</v>
      </c>
      <c r="C334" s="66" t="b">
        <v>0</v>
      </c>
      <c r="D334" s="62" t="s">
        <v>2446</v>
      </c>
      <c r="E334" s="62" t="s">
        <v>717</v>
      </c>
      <c r="F334" s="62" t="s">
        <v>48</v>
      </c>
      <c r="G334" s="62" t="s">
        <v>185</v>
      </c>
      <c r="H334" s="62" t="s">
        <v>2346</v>
      </c>
      <c r="I334" s="68" t="s">
        <v>183</v>
      </c>
      <c r="J334" s="62" t="s">
        <v>1048</v>
      </c>
      <c r="K334" s="62" t="s">
        <v>184</v>
      </c>
      <c r="L334" s="62" t="s">
        <v>889</v>
      </c>
      <c r="M334" s="62" t="s">
        <v>1075</v>
      </c>
      <c r="N334" s="62" t="s">
        <v>1556</v>
      </c>
      <c r="O334" s="62" t="s">
        <v>2349</v>
      </c>
      <c r="P334" s="62" t="s">
        <v>825</v>
      </c>
      <c r="Q334" s="30" t="s">
        <v>2351</v>
      </c>
      <c r="R334" s="57"/>
      <c r="S334" s="69" t="s">
        <v>2352</v>
      </c>
      <c r="T334" s="69" t="s">
        <v>2352</v>
      </c>
      <c r="U334" s="28">
        <v>0.0</v>
      </c>
      <c r="V334" s="70">
        <v>0.0</v>
      </c>
      <c r="W334" s="62" t="s">
        <v>2353</v>
      </c>
    </row>
    <row r="335">
      <c r="A335" s="67">
        <f>ROW()-ROW(Table_Actions[N])</f>
        <v>178</v>
      </c>
      <c r="B335" s="57" t="s">
        <v>3328</v>
      </c>
      <c r="C335" s="66" t="b">
        <v>1</v>
      </c>
      <c r="D335" s="62" t="s">
        <v>2461</v>
      </c>
      <c r="E335" s="62" t="s">
        <v>73</v>
      </c>
      <c r="F335" s="62" t="s">
        <v>48</v>
      </c>
      <c r="G335" s="62" t="s">
        <v>185</v>
      </c>
      <c r="H335" s="62" t="s">
        <v>2346</v>
      </c>
      <c r="I335" s="68" t="s">
        <v>183</v>
      </c>
      <c r="J335" s="62" t="s">
        <v>1048</v>
      </c>
      <c r="K335" s="62" t="s">
        <v>184</v>
      </c>
      <c r="L335" s="62" t="s">
        <v>889</v>
      </c>
      <c r="M335" s="62" t="s">
        <v>1075</v>
      </c>
      <c r="N335" s="62" t="s">
        <v>2525</v>
      </c>
      <c r="O335" s="62" t="s">
        <v>2349</v>
      </c>
      <c r="P335" s="30" t="s">
        <v>825</v>
      </c>
      <c r="Q335" s="30" t="s">
        <v>2351</v>
      </c>
      <c r="R335" s="28"/>
      <c r="S335" s="69" t="s">
        <v>2352</v>
      </c>
      <c r="T335" s="69" t="s">
        <v>2352</v>
      </c>
      <c r="U335" s="28">
        <v>0.0</v>
      </c>
      <c r="V335" s="70">
        <v>0.0</v>
      </c>
      <c r="W335" s="30" t="s">
        <v>2353</v>
      </c>
    </row>
    <row r="336">
      <c r="A336" s="67">
        <f>ROW()-ROW(Table_Actions[N])</f>
        <v>179</v>
      </c>
      <c r="B336" s="57" t="s">
        <v>3329</v>
      </c>
      <c r="C336" s="85" t="b">
        <v>0</v>
      </c>
      <c r="D336" s="58" t="s">
        <v>2400</v>
      </c>
      <c r="E336" s="58" t="s">
        <v>42</v>
      </c>
      <c r="F336" s="58" t="s">
        <v>48</v>
      </c>
      <c r="G336" s="58" t="s">
        <v>185</v>
      </c>
      <c r="H336" s="58" t="s">
        <v>2346</v>
      </c>
      <c r="I336" s="68" t="s">
        <v>2734</v>
      </c>
      <c r="J336" s="58" t="s">
        <v>1048</v>
      </c>
      <c r="K336" s="58" t="s">
        <v>184</v>
      </c>
      <c r="L336" s="58" t="s">
        <v>889</v>
      </c>
      <c r="M336" s="58" t="s">
        <v>1075</v>
      </c>
      <c r="N336" s="58" t="s">
        <v>1556</v>
      </c>
      <c r="O336" s="58" t="s">
        <v>2349</v>
      </c>
      <c r="P336" s="58" t="s">
        <v>825</v>
      </c>
      <c r="Q336" s="30" t="s">
        <v>2351</v>
      </c>
      <c r="R336" s="80"/>
      <c r="S336" s="69" t="s">
        <v>2352</v>
      </c>
      <c r="T336" s="69" t="s">
        <v>2352</v>
      </c>
      <c r="U336" s="28">
        <v>0.0</v>
      </c>
      <c r="V336" s="70">
        <v>0.0</v>
      </c>
      <c r="W336" s="58" t="s">
        <v>2353</v>
      </c>
    </row>
    <row r="337">
      <c r="A337" s="67">
        <f>ROW()-ROW(Table_Actions[N])</f>
        <v>180</v>
      </c>
      <c r="B337" s="57" t="s">
        <v>3330</v>
      </c>
      <c r="C337" s="85" t="b">
        <v>0</v>
      </c>
      <c r="D337" s="58" t="s">
        <v>2400</v>
      </c>
      <c r="E337" s="58" t="s">
        <v>42</v>
      </c>
      <c r="F337" s="58" t="s">
        <v>48</v>
      </c>
      <c r="G337" s="58" t="s">
        <v>185</v>
      </c>
      <c r="H337" s="58" t="s">
        <v>2346</v>
      </c>
      <c r="I337" s="68" t="s">
        <v>2730</v>
      </c>
      <c r="J337" s="58" t="s">
        <v>1048</v>
      </c>
      <c r="K337" s="58" t="s">
        <v>184</v>
      </c>
      <c r="L337" s="58" t="s">
        <v>889</v>
      </c>
      <c r="M337" s="58" t="s">
        <v>1075</v>
      </c>
      <c r="N337" s="58" t="s">
        <v>1556</v>
      </c>
      <c r="O337" s="58" t="s">
        <v>2349</v>
      </c>
      <c r="P337" s="86" t="s">
        <v>825</v>
      </c>
      <c r="Q337" s="30" t="s">
        <v>2351</v>
      </c>
      <c r="R337" s="87"/>
      <c r="S337" s="69" t="s">
        <v>2352</v>
      </c>
      <c r="T337" s="69" t="s">
        <v>2352</v>
      </c>
      <c r="U337" s="28">
        <v>0.0</v>
      </c>
      <c r="V337" s="70">
        <v>0.0</v>
      </c>
      <c r="W337" s="86" t="s">
        <v>2353</v>
      </c>
    </row>
    <row r="338">
      <c r="A338" s="67">
        <f>ROW()-ROW(Table_Actions[N])</f>
        <v>181</v>
      </c>
      <c r="B338" s="57" t="s">
        <v>3331</v>
      </c>
      <c r="C338" s="85" t="b">
        <v>0</v>
      </c>
      <c r="D338" s="58" t="s">
        <v>2400</v>
      </c>
      <c r="E338" s="58" t="s">
        <v>42</v>
      </c>
      <c r="F338" s="58" t="s">
        <v>48</v>
      </c>
      <c r="G338" s="58" t="s">
        <v>185</v>
      </c>
      <c r="H338" s="58" t="s">
        <v>2346</v>
      </c>
      <c r="I338" s="68" t="s">
        <v>2731</v>
      </c>
      <c r="J338" s="58" t="s">
        <v>1048</v>
      </c>
      <c r="K338" s="58" t="s">
        <v>184</v>
      </c>
      <c r="L338" s="58" t="s">
        <v>889</v>
      </c>
      <c r="M338" s="58" t="s">
        <v>1075</v>
      </c>
      <c r="N338" s="58" t="s">
        <v>1556</v>
      </c>
      <c r="O338" s="58" t="s">
        <v>2349</v>
      </c>
      <c r="P338" s="86" t="s">
        <v>825</v>
      </c>
      <c r="Q338" s="30" t="s">
        <v>2351</v>
      </c>
      <c r="R338" s="87"/>
      <c r="S338" s="69" t="s">
        <v>2352</v>
      </c>
      <c r="T338" s="69" t="s">
        <v>2352</v>
      </c>
      <c r="U338" s="28">
        <v>0.0</v>
      </c>
      <c r="V338" s="70">
        <v>0.0</v>
      </c>
      <c r="W338" s="86" t="s">
        <v>2353</v>
      </c>
    </row>
    <row r="339">
      <c r="A339" s="67">
        <f>ROW()-ROW(Table_Actions[N])</f>
        <v>182</v>
      </c>
      <c r="B339" s="57" t="s">
        <v>3332</v>
      </c>
      <c r="C339" s="66" t="b">
        <v>1</v>
      </c>
      <c r="D339" s="62" t="s">
        <v>2477</v>
      </c>
      <c r="E339" s="62" t="s">
        <v>42</v>
      </c>
      <c r="F339" s="62" t="s">
        <v>48</v>
      </c>
      <c r="G339" s="62" t="s">
        <v>185</v>
      </c>
      <c r="H339" s="62" t="s">
        <v>2346</v>
      </c>
      <c r="I339" s="68" t="s">
        <v>183</v>
      </c>
      <c r="J339" s="62" t="s">
        <v>1048</v>
      </c>
      <c r="K339" s="62" t="s">
        <v>184</v>
      </c>
      <c r="L339" s="62" t="s">
        <v>897</v>
      </c>
      <c r="M339" s="62" t="s">
        <v>2983</v>
      </c>
      <c r="N339" s="62" t="s">
        <v>1556</v>
      </c>
      <c r="O339" s="62" t="s">
        <v>2349</v>
      </c>
      <c r="P339" s="30" t="s">
        <v>825</v>
      </c>
      <c r="Q339" s="30" t="s">
        <v>2351</v>
      </c>
      <c r="R339" s="28"/>
      <c r="S339" s="69" t="s">
        <v>2352</v>
      </c>
      <c r="T339" s="69" t="s">
        <v>2352</v>
      </c>
      <c r="U339" s="28">
        <v>0.0</v>
      </c>
      <c r="V339" s="70">
        <v>0.0</v>
      </c>
      <c r="W339" s="30" t="s">
        <v>2353</v>
      </c>
    </row>
    <row r="340">
      <c r="A340" s="67">
        <f>ROW()-ROW(Table_Actions[N])</f>
        <v>183</v>
      </c>
      <c r="B340" s="57" t="s">
        <v>3333</v>
      </c>
      <c r="C340" s="66" t="b">
        <v>1</v>
      </c>
      <c r="D340" s="58" t="s">
        <v>2400</v>
      </c>
      <c r="E340" s="58" t="s">
        <v>42</v>
      </c>
      <c r="F340" s="58" t="s">
        <v>48</v>
      </c>
      <c r="G340" s="58" t="s">
        <v>185</v>
      </c>
      <c r="H340" s="58" t="s">
        <v>2346</v>
      </c>
      <c r="I340" s="68" t="s">
        <v>2732</v>
      </c>
      <c r="J340" s="58" t="s">
        <v>1048</v>
      </c>
      <c r="K340" s="58" t="s">
        <v>184</v>
      </c>
      <c r="L340" s="58" t="s">
        <v>889</v>
      </c>
      <c r="M340" s="58" t="s">
        <v>1075</v>
      </c>
      <c r="N340" s="58" t="s">
        <v>1556</v>
      </c>
      <c r="O340" s="58" t="s">
        <v>2349</v>
      </c>
      <c r="P340" s="86" t="s">
        <v>825</v>
      </c>
      <c r="Q340" s="30" t="s">
        <v>2351</v>
      </c>
      <c r="R340" s="87"/>
      <c r="S340" s="69" t="s">
        <v>2352</v>
      </c>
      <c r="T340" s="69" t="s">
        <v>2352</v>
      </c>
      <c r="U340" s="28">
        <v>0.0</v>
      </c>
      <c r="V340" s="70">
        <v>0.0</v>
      </c>
      <c r="W340" s="86" t="s">
        <v>2353</v>
      </c>
    </row>
    <row r="341">
      <c r="A341" s="67">
        <f>ROW()-ROW(Table_Actions[N])</f>
        <v>184</v>
      </c>
      <c r="B341" s="57" t="s">
        <v>3334</v>
      </c>
      <c r="C341" s="66" t="b">
        <v>1</v>
      </c>
      <c r="D341" s="62" t="s">
        <v>2477</v>
      </c>
      <c r="E341" s="62" t="s">
        <v>42</v>
      </c>
      <c r="F341" s="62" t="s">
        <v>48</v>
      </c>
      <c r="G341" s="62" t="s">
        <v>185</v>
      </c>
      <c r="H341" s="62" t="s">
        <v>2346</v>
      </c>
      <c r="I341" s="68" t="s">
        <v>183</v>
      </c>
      <c r="J341" s="62" t="s">
        <v>1048</v>
      </c>
      <c r="K341" s="62" t="s">
        <v>184</v>
      </c>
      <c r="L341" s="62" t="s">
        <v>897</v>
      </c>
      <c r="M341" s="62" t="s">
        <v>2985</v>
      </c>
      <c r="N341" s="62" t="s">
        <v>1556</v>
      </c>
      <c r="O341" s="62" t="s">
        <v>2349</v>
      </c>
      <c r="P341" s="30" t="s">
        <v>825</v>
      </c>
      <c r="Q341" s="30" t="s">
        <v>2351</v>
      </c>
      <c r="R341" s="28"/>
      <c r="S341" s="69" t="s">
        <v>2352</v>
      </c>
      <c r="T341" s="69" t="s">
        <v>2352</v>
      </c>
      <c r="U341" s="28">
        <v>0.0</v>
      </c>
      <c r="V341" s="70">
        <v>0.0</v>
      </c>
      <c r="W341" s="30" t="s">
        <v>2353</v>
      </c>
    </row>
    <row r="342">
      <c r="A342" s="67">
        <f>ROW()-ROW(Table_Actions[N])</f>
        <v>185</v>
      </c>
      <c r="B342" s="57" t="s">
        <v>1254</v>
      </c>
      <c r="C342" s="66" t="b">
        <v>0</v>
      </c>
      <c r="D342" s="62" t="s">
        <v>2477</v>
      </c>
      <c r="E342" s="62" t="s">
        <v>42</v>
      </c>
      <c r="F342" s="62" t="s">
        <v>48</v>
      </c>
      <c r="G342" s="62" t="s">
        <v>185</v>
      </c>
      <c r="H342" s="62" t="s">
        <v>2346</v>
      </c>
      <c r="I342" s="68" t="s">
        <v>183</v>
      </c>
      <c r="J342" s="62" t="s">
        <v>1048</v>
      </c>
      <c r="K342" s="62" t="s">
        <v>184</v>
      </c>
      <c r="L342" s="62" t="s">
        <v>1123</v>
      </c>
      <c r="M342" s="62" t="s">
        <v>1075</v>
      </c>
      <c r="N342" s="62" t="s">
        <v>1556</v>
      </c>
      <c r="O342" s="62" t="s">
        <v>2349</v>
      </c>
      <c r="P342" s="30" t="s">
        <v>825</v>
      </c>
      <c r="Q342" s="30" t="s">
        <v>2351</v>
      </c>
      <c r="R342" s="28"/>
      <c r="S342" s="69" t="s">
        <v>2352</v>
      </c>
      <c r="T342" s="69" t="s">
        <v>2352</v>
      </c>
      <c r="U342" s="28">
        <v>0.0</v>
      </c>
      <c r="V342" s="70">
        <v>0.0</v>
      </c>
      <c r="W342" s="30" t="s">
        <v>2353</v>
      </c>
    </row>
    <row r="343">
      <c r="A343" s="67">
        <f>ROW()-ROW(Table_Actions[N])</f>
        <v>186</v>
      </c>
      <c r="B343" s="57" t="s">
        <v>1271</v>
      </c>
      <c r="C343" s="66" t="b">
        <v>0</v>
      </c>
      <c r="D343" s="62" t="s">
        <v>2477</v>
      </c>
      <c r="E343" s="62" t="s">
        <v>42</v>
      </c>
      <c r="F343" s="62" t="s">
        <v>48</v>
      </c>
      <c r="G343" s="62" t="s">
        <v>185</v>
      </c>
      <c r="H343" s="62" t="s">
        <v>2346</v>
      </c>
      <c r="I343" s="68" t="s">
        <v>183</v>
      </c>
      <c r="J343" s="62" t="s">
        <v>1048</v>
      </c>
      <c r="K343" s="62" t="s">
        <v>184</v>
      </c>
      <c r="L343" s="62" t="s">
        <v>1129</v>
      </c>
      <c r="M343" s="62" t="s">
        <v>1075</v>
      </c>
      <c r="N343" s="62" t="s">
        <v>1556</v>
      </c>
      <c r="O343" s="62" t="s">
        <v>2349</v>
      </c>
      <c r="P343" s="30" t="s">
        <v>825</v>
      </c>
      <c r="Q343" s="30" t="s">
        <v>2351</v>
      </c>
      <c r="R343" s="28"/>
      <c r="S343" s="69" t="s">
        <v>2352</v>
      </c>
      <c r="T343" s="69" t="s">
        <v>2352</v>
      </c>
      <c r="U343" s="28">
        <v>0.0</v>
      </c>
      <c r="V343" s="70">
        <v>0.0</v>
      </c>
      <c r="W343" s="30" t="s">
        <v>2353</v>
      </c>
    </row>
    <row r="344">
      <c r="A344" s="67">
        <f>ROW()-ROW(Table_Actions[N])</f>
        <v>187</v>
      </c>
      <c r="B344" s="57" t="s">
        <v>2033</v>
      </c>
      <c r="C344" s="66" t="b">
        <v>0</v>
      </c>
      <c r="D344" s="62" t="s">
        <v>2492</v>
      </c>
      <c r="E344" s="62" t="s">
        <v>42</v>
      </c>
      <c r="F344" s="62" t="s">
        <v>48</v>
      </c>
      <c r="G344" s="62" t="s">
        <v>185</v>
      </c>
      <c r="H344" s="62" t="s">
        <v>2346</v>
      </c>
      <c r="I344" s="68" t="s">
        <v>183</v>
      </c>
      <c r="J344" s="62" t="s">
        <v>1048</v>
      </c>
      <c r="K344" s="62" t="s">
        <v>184</v>
      </c>
      <c r="L344" s="62" t="s">
        <v>889</v>
      </c>
      <c r="M344" s="62" t="s">
        <v>1075</v>
      </c>
      <c r="N344" s="62" t="s">
        <v>1556</v>
      </c>
      <c r="O344" s="62" t="s">
        <v>2349</v>
      </c>
      <c r="P344" s="30" t="s">
        <v>825</v>
      </c>
      <c r="Q344" s="30" t="s">
        <v>2351</v>
      </c>
      <c r="R344" s="28"/>
      <c r="S344" s="69" t="s">
        <v>2352</v>
      </c>
      <c r="T344" s="69" t="s">
        <v>2352</v>
      </c>
      <c r="U344" s="28">
        <v>0.0</v>
      </c>
      <c r="V344" s="70">
        <v>0.0</v>
      </c>
      <c r="W344" s="30" t="s">
        <v>2751</v>
      </c>
    </row>
    <row r="345">
      <c r="A345" s="67">
        <f>ROW()-ROW(Table_Actions[N])</f>
        <v>188</v>
      </c>
      <c r="B345" s="57" t="s">
        <v>1293</v>
      </c>
      <c r="C345" s="66" t="b">
        <v>0</v>
      </c>
      <c r="D345" s="62" t="s">
        <v>2477</v>
      </c>
      <c r="E345" s="62" t="s">
        <v>42</v>
      </c>
      <c r="F345" s="62" t="s">
        <v>48</v>
      </c>
      <c r="G345" s="62" t="s">
        <v>185</v>
      </c>
      <c r="H345" s="62" t="s">
        <v>2346</v>
      </c>
      <c r="I345" s="68" t="s">
        <v>183</v>
      </c>
      <c r="J345" s="62" t="s">
        <v>1048</v>
      </c>
      <c r="K345" s="62" t="s">
        <v>184</v>
      </c>
      <c r="L345" s="62" t="s">
        <v>897</v>
      </c>
      <c r="M345" s="62" t="s">
        <v>3008</v>
      </c>
      <c r="N345" s="62" t="s">
        <v>1556</v>
      </c>
      <c r="O345" s="62" t="s">
        <v>2349</v>
      </c>
      <c r="P345" s="30" t="s">
        <v>825</v>
      </c>
      <c r="Q345" s="30" t="s">
        <v>2351</v>
      </c>
      <c r="R345" s="28"/>
      <c r="S345" s="69" t="s">
        <v>2352</v>
      </c>
      <c r="T345" s="69" t="s">
        <v>2352</v>
      </c>
      <c r="U345" s="28">
        <v>0.0</v>
      </c>
      <c r="V345" s="70">
        <v>0.0</v>
      </c>
      <c r="W345" s="30" t="s">
        <v>2353</v>
      </c>
    </row>
    <row r="346">
      <c r="A346" s="67">
        <f>ROW()-ROW(Table_Actions[N])</f>
        <v>189</v>
      </c>
      <c r="B346" s="57" t="s">
        <v>3335</v>
      </c>
      <c r="C346" s="66" t="b">
        <v>0</v>
      </c>
      <c r="D346" s="62" t="s">
        <v>2464</v>
      </c>
      <c r="E346" s="62" t="s">
        <v>727</v>
      </c>
      <c r="F346" s="62" t="s">
        <v>48</v>
      </c>
      <c r="G346" s="62" t="s">
        <v>201</v>
      </c>
      <c r="H346" s="62" t="s">
        <v>2346</v>
      </c>
      <c r="I346" s="68" t="s">
        <v>183</v>
      </c>
      <c r="J346" s="62" t="s">
        <v>1048</v>
      </c>
      <c r="K346" s="62" t="s">
        <v>184</v>
      </c>
      <c r="L346" s="62" t="s">
        <v>889</v>
      </c>
      <c r="M346" s="62" t="s">
        <v>1075</v>
      </c>
      <c r="N346" s="62" t="s">
        <v>1556</v>
      </c>
      <c r="O346" s="62" t="s">
        <v>2349</v>
      </c>
      <c r="P346" s="30" t="s">
        <v>825</v>
      </c>
      <c r="Q346" s="30" t="s">
        <v>2351</v>
      </c>
      <c r="R346" s="28"/>
      <c r="S346" s="69" t="s">
        <v>2352</v>
      </c>
      <c r="T346" s="69" t="s">
        <v>2352</v>
      </c>
      <c r="U346" s="28">
        <v>0.0</v>
      </c>
      <c r="V346" s="70">
        <v>0.0</v>
      </c>
      <c r="W346" s="30" t="s">
        <v>2353</v>
      </c>
    </row>
    <row r="347">
      <c r="A347" s="67">
        <f>ROW()-ROW(Table_Actions[N])</f>
        <v>190</v>
      </c>
      <c r="B347" s="57" t="s">
        <v>3336</v>
      </c>
      <c r="C347" s="66" t="b">
        <v>0</v>
      </c>
      <c r="D347" s="58" t="s">
        <v>2400</v>
      </c>
      <c r="E347" s="58" t="s">
        <v>42</v>
      </c>
      <c r="F347" s="58" t="s">
        <v>48</v>
      </c>
      <c r="G347" s="58" t="s">
        <v>185</v>
      </c>
      <c r="H347" s="58" t="s">
        <v>2346</v>
      </c>
      <c r="I347" s="68" t="s">
        <v>2728</v>
      </c>
      <c r="J347" s="58" t="s">
        <v>1048</v>
      </c>
      <c r="K347" s="58" t="s">
        <v>184</v>
      </c>
      <c r="L347" s="58" t="s">
        <v>889</v>
      </c>
      <c r="M347" s="58" t="s">
        <v>1075</v>
      </c>
      <c r="N347" s="58" t="s">
        <v>1556</v>
      </c>
      <c r="O347" s="58" t="s">
        <v>2349</v>
      </c>
      <c r="P347" s="86" t="s">
        <v>825</v>
      </c>
      <c r="Q347" s="30" t="s">
        <v>2351</v>
      </c>
      <c r="R347" s="87"/>
      <c r="S347" s="69" t="s">
        <v>2352</v>
      </c>
      <c r="T347" s="69" t="s">
        <v>2352</v>
      </c>
      <c r="U347" s="28">
        <v>0.0</v>
      </c>
      <c r="V347" s="70">
        <v>0.0</v>
      </c>
      <c r="W347" s="86" t="s">
        <v>2353</v>
      </c>
    </row>
    <row r="348">
      <c r="A348" s="67">
        <f>ROW()-ROW(Table_Actions[N])</f>
        <v>191</v>
      </c>
      <c r="B348" s="57" t="s">
        <v>1148</v>
      </c>
      <c r="C348" s="66" t="b">
        <v>0</v>
      </c>
      <c r="D348" s="62" t="s">
        <v>2477</v>
      </c>
      <c r="E348" s="62" t="s">
        <v>42</v>
      </c>
      <c r="F348" s="62" t="s">
        <v>48</v>
      </c>
      <c r="G348" s="62" t="s">
        <v>185</v>
      </c>
      <c r="H348" s="62" t="s">
        <v>2346</v>
      </c>
      <c r="I348" s="68" t="s">
        <v>183</v>
      </c>
      <c r="J348" s="62" t="s">
        <v>1048</v>
      </c>
      <c r="K348" s="62" t="s">
        <v>184</v>
      </c>
      <c r="L348" s="62" t="s">
        <v>897</v>
      </c>
      <c r="M348" s="62" t="s">
        <v>3010</v>
      </c>
      <c r="N348" s="62" t="s">
        <v>1556</v>
      </c>
      <c r="O348" s="62" t="s">
        <v>2349</v>
      </c>
      <c r="P348" s="30" t="s">
        <v>825</v>
      </c>
      <c r="Q348" s="30" t="s">
        <v>2351</v>
      </c>
      <c r="R348" s="28"/>
      <c r="S348" s="69" t="s">
        <v>2352</v>
      </c>
      <c r="T348" s="69" t="s">
        <v>2352</v>
      </c>
      <c r="U348" s="28">
        <v>0.0</v>
      </c>
      <c r="V348" s="70">
        <v>0.0</v>
      </c>
      <c r="W348" s="30" t="s">
        <v>2353</v>
      </c>
    </row>
    <row r="349">
      <c r="A349" s="67">
        <f>ROW()-ROW(Table_Actions[N])</f>
        <v>192</v>
      </c>
      <c r="B349" s="57" t="s">
        <v>3337</v>
      </c>
      <c r="C349" s="66" t="b">
        <v>0</v>
      </c>
      <c r="D349" s="62" t="s">
        <v>2477</v>
      </c>
      <c r="E349" s="62" t="s">
        <v>42</v>
      </c>
      <c r="F349" s="62" t="s">
        <v>48</v>
      </c>
      <c r="G349" s="62" t="s">
        <v>185</v>
      </c>
      <c r="H349" s="62" t="s">
        <v>2346</v>
      </c>
      <c r="I349" s="68" t="s">
        <v>183</v>
      </c>
      <c r="J349" s="62" t="s">
        <v>1048</v>
      </c>
      <c r="K349" s="62" t="s">
        <v>184</v>
      </c>
      <c r="L349" s="62" t="s">
        <v>1142</v>
      </c>
      <c r="M349" s="62" t="s">
        <v>1075</v>
      </c>
      <c r="N349" s="62" t="s">
        <v>1556</v>
      </c>
      <c r="O349" s="62" t="s">
        <v>2349</v>
      </c>
      <c r="P349" s="30" t="s">
        <v>825</v>
      </c>
      <c r="Q349" s="30" t="s">
        <v>2351</v>
      </c>
      <c r="R349" s="28"/>
      <c r="S349" s="69" t="s">
        <v>2352</v>
      </c>
      <c r="T349" s="69" t="s">
        <v>2352</v>
      </c>
      <c r="U349" s="28">
        <v>0.0</v>
      </c>
      <c r="V349" s="70">
        <v>0.0</v>
      </c>
      <c r="W349" s="30" t="s">
        <v>2353</v>
      </c>
    </row>
    <row r="350">
      <c r="A350" s="67">
        <f>ROW()-ROW(Table_Actions[N])</f>
        <v>193</v>
      </c>
      <c r="B350" s="57" t="s">
        <v>3338</v>
      </c>
      <c r="C350" s="66" t="b">
        <v>0</v>
      </c>
      <c r="D350" s="62" t="s">
        <v>2477</v>
      </c>
      <c r="E350" s="62" t="s">
        <v>42</v>
      </c>
      <c r="F350" s="62" t="s">
        <v>48</v>
      </c>
      <c r="G350" s="62" t="s">
        <v>185</v>
      </c>
      <c r="H350" s="62" t="s">
        <v>2346</v>
      </c>
      <c r="I350" s="68" t="s">
        <v>183</v>
      </c>
      <c r="J350" s="62" t="s">
        <v>1048</v>
      </c>
      <c r="K350" s="62" t="s">
        <v>184</v>
      </c>
      <c r="L350" s="62" t="s">
        <v>1151</v>
      </c>
      <c r="M350" s="62" t="s">
        <v>1075</v>
      </c>
      <c r="N350" s="62" t="s">
        <v>1556</v>
      </c>
      <c r="O350" s="62" t="s">
        <v>2349</v>
      </c>
      <c r="P350" s="30" t="s">
        <v>825</v>
      </c>
      <c r="Q350" s="30" t="s">
        <v>2351</v>
      </c>
      <c r="R350" s="28"/>
      <c r="S350" s="69" t="s">
        <v>2352</v>
      </c>
      <c r="T350" s="69" t="s">
        <v>2352</v>
      </c>
      <c r="U350" s="28">
        <v>0.0</v>
      </c>
      <c r="V350" s="70">
        <v>0.0</v>
      </c>
      <c r="W350" s="30" t="s">
        <v>2353</v>
      </c>
    </row>
    <row r="351">
      <c r="A351" s="67">
        <f>ROW()-ROW(Table_Actions[N])</f>
        <v>194</v>
      </c>
      <c r="B351" s="57" t="s">
        <v>3339</v>
      </c>
      <c r="C351" s="66" t="b">
        <v>0</v>
      </c>
      <c r="D351" s="62" t="s">
        <v>2400</v>
      </c>
      <c r="E351" s="62" t="s">
        <v>42</v>
      </c>
      <c r="F351" s="62" t="s">
        <v>48</v>
      </c>
      <c r="G351" s="62" t="s">
        <v>185</v>
      </c>
      <c r="H351" s="62" t="s">
        <v>2346</v>
      </c>
      <c r="I351" s="68" t="s">
        <v>2081</v>
      </c>
      <c r="J351" s="62" t="s">
        <v>1048</v>
      </c>
      <c r="K351" s="62" t="s">
        <v>184</v>
      </c>
      <c r="L351" s="62" t="s">
        <v>889</v>
      </c>
      <c r="M351" s="62" t="s">
        <v>1075</v>
      </c>
      <c r="N351" s="62" t="s">
        <v>1556</v>
      </c>
      <c r="O351" s="62" t="s">
        <v>2349</v>
      </c>
      <c r="P351" s="30" t="s">
        <v>825</v>
      </c>
      <c r="Q351" s="30" t="s">
        <v>2351</v>
      </c>
      <c r="R351" s="28"/>
      <c r="S351" s="69" t="s">
        <v>2352</v>
      </c>
      <c r="T351" s="69" t="s">
        <v>2352</v>
      </c>
      <c r="U351" s="28">
        <v>0.0</v>
      </c>
      <c r="V351" s="70">
        <v>0.0</v>
      </c>
      <c r="W351" s="30" t="s">
        <v>2353</v>
      </c>
    </row>
    <row r="352">
      <c r="A352" s="67">
        <f>ROW()-ROW(Table_Actions[N])</f>
        <v>195</v>
      </c>
      <c r="B352" s="57" t="s">
        <v>3340</v>
      </c>
      <c r="C352" s="66" t="b">
        <v>0</v>
      </c>
      <c r="D352" s="62" t="s">
        <v>2493</v>
      </c>
      <c r="E352" s="62" t="s">
        <v>42</v>
      </c>
      <c r="F352" s="62" t="s">
        <v>48</v>
      </c>
      <c r="G352" s="62" t="s">
        <v>185</v>
      </c>
      <c r="H352" s="62" t="s">
        <v>2346</v>
      </c>
      <c r="I352" s="68" t="s">
        <v>183</v>
      </c>
      <c r="J352" s="62" t="s">
        <v>1048</v>
      </c>
      <c r="K352" s="62" t="s">
        <v>184</v>
      </c>
      <c r="L352" s="62" t="s">
        <v>889</v>
      </c>
      <c r="M352" s="62" t="s">
        <v>1075</v>
      </c>
      <c r="N352" s="62" t="s">
        <v>1556</v>
      </c>
      <c r="O352" s="62" t="s">
        <v>2349</v>
      </c>
      <c r="P352" s="30" t="s">
        <v>825</v>
      </c>
      <c r="Q352" s="30" t="s">
        <v>2537</v>
      </c>
      <c r="R352" s="28" t="s">
        <v>3341</v>
      </c>
      <c r="S352" s="69" t="s">
        <v>2352</v>
      </c>
      <c r="T352" s="69" t="s">
        <v>2352</v>
      </c>
      <c r="U352" s="28">
        <v>0.0</v>
      </c>
      <c r="V352" s="70">
        <v>0.0</v>
      </c>
      <c r="W352" s="30" t="s">
        <v>2353</v>
      </c>
    </row>
    <row r="353">
      <c r="A353" s="67">
        <f>ROW()-ROW(Table_Actions[N])</f>
        <v>196</v>
      </c>
      <c r="B353" s="57" t="s">
        <v>3342</v>
      </c>
      <c r="C353" s="66" t="b">
        <v>0</v>
      </c>
      <c r="D353" s="62" t="s">
        <v>2400</v>
      </c>
      <c r="E353" s="62" t="s">
        <v>42</v>
      </c>
      <c r="F353" s="62" t="s">
        <v>48</v>
      </c>
      <c r="G353" s="62" t="s">
        <v>185</v>
      </c>
      <c r="H353" s="62" t="s">
        <v>2346</v>
      </c>
      <c r="I353" s="68" t="s">
        <v>3343</v>
      </c>
      <c r="J353" s="62" t="s">
        <v>1048</v>
      </c>
      <c r="K353" s="62" t="s">
        <v>184</v>
      </c>
      <c r="L353" s="62" t="s">
        <v>889</v>
      </c>
      <c r="M353" s="62" t="s">
        <v>1075</v>
      </c>
      <c r="N353" s="62" t="s">
        <v>1556</v>
      </c>
      <c r="O353" s="62" t="s">
        <v>2349</v>
      </c>
      <c r="P353" s="30" t="s">
        <v>825</v>
      </c>
      <c r="Q353" s="30" t="s">
        <v>2351</v>
      </c>
      <c r="R353" s="28"/>
      <c r="S353" s="69" t="s">
        <v>2352</v>
      </c>
      <c r="T353" s="69" t="s">
        <v>2352</v>
      </c>
      <c r="U353" s="28">
        <v>0.0</v>
      </c>
      <c r="V353" s="70">
        <v>0.0</v>
      </c>
      <c r="W353" s="30" t="s">
        <v>2353</v>
      </c>
    </row>
    <row r="354">
      <c r="A354" s="67">
        <f>ROW()-ROW(Table_Actions[N])</f>
        <v>197</v>
      </c>
      <c r="B354" s="57" t="s">
        <v>3344</v>
      </c>
      <c r="C354" s="66" t="b">
        <v>1</v>
      </c>
      <c r="D354" s="62" t="s">
        <v>2495</v>
      </c>
      <c r="E354" s="62" t="s">
        <v>613</v>
      </c>
      <c r="F354" s="62" t="s">
        <v>48</v>
      </c>
      <c r="G354" s="62" t="s">
        <v>185</v>
      </c>
      <c r="H354" s="62" t="s">
        <v>2346</v>
      </c>
      <c r="I354" s="68" t="s">
        <v>183</v>
      </c>
      <c r="J354" s="62" t="s">
        <v>1048</v>
      </c>
      <c r="K354" s="62" t="s">
        <v>184</v>
      </c>
      <c r="L354" s="62" t="s">
        <v>889</v>
      </c>
      <c r="M354" s="62" t="s">
        <v>1075</v>
      </c>
      <c r="N354" s="62" t="s">
        <v>1556</v>
      </c>
      <c r="O354" s="62" t="s">
        <v>2349</v>
      </c>
      <c r="P354" s="30" t="s">
        <v>825</v>
      </c>
      <c r="Q354" s="30" t="s">
        <v>2351</v>
      </c>
      <c r="R354" s="28" t="s">
        <v>3345</v>
      </c>
      <c r="S354" s="69" t="s">
        <v>2352</v>
      </c>
      <c r="T354" s="69" t="s">
        <v>2352</v>
      </c>
      <c r="U354" s="28">
        <v>0.0</v>
      </c>
      <c r="V354" s="70">
        <v>0.0</v>
      </c>
      <c r="W354" s="30" t="s">
        <v>2353</v>
      </c>
    </row>
    <row r="355">
      <c r="A355" s="67">
        <f>ROW()-ROW(Table_Actions[N])</f>
        <v>198</v>
      </c>
      <c r="B355" s="57" t="s">
        <v>3346</v>
      </c>
      <c r="C355" s="66" t="b">
        <v>0</v>
      </c>
      <c r="D355" s="62" t="s">
        <v>2477</v>
      </c>
      <c r="E355" s="62" t="s">
        <v>42</v>
      </c>
      <c r="F355" s="62" t="s">
        <v>48</v>
      </c>
      <c r="G355" s="62" t="s">
        <v>185</v>
      </c>
      <c r="H355" s="62" t="s">
        <v>2346</v>
      </c>
      <c r="I355" s="68" t="s">
        <v>183</v>
      </c>
      <c r="J355" s="62" t="s">
        <v>1048</v>
      </c>
      <c r="K355" s="62" t="s">
        <v>184</v>
      </c>
      <c r="L355" s="62" t="s">
        <v>897</v>
      </c>
      <c r="M355" s="62" t="s">
        <v>3040</v>
      </c>
      <c r="N355" s="62" t="s">
        <v>1556</v>
      </c>
      <c r="O355" s="62" t="s">
        <v>2349</v>
      </c>
      <c r="P355" s="30" t="s">
        <v>825</v>
      </c>
      <c r="Q355" s="30" t="s">
        <v>2351</v>
      </c>
      <c r="R355" s="28"/>
      <c r="S355" s="69" t="s">
        <v>2352</v>
      </c>
      <c r="T355" s="69" t="s">
        <v>2352</v>
      </c>
      <c r="U355" s="28">
        <v>0.0</v>
      </c>
      <c r="V355" s="70">
        <v>0.0</v>
      </c>
      <c r="W355" s="30" t="s">
        <v>2353</v>
      </c>
    </row>
    <row r="356">
      <c r="A356" s="67">
        <f>ROW()-ROW(Table_Actions[N])</f>
        <v>199</v>
      </c>
      <c r="B356" s="57" t="s">
        <v>3347</v>
      </c>
      <c r="C356" s="66" t="b">
        <v>0</v>
      </c>
      <c r="D356" s="62" t="s">
        <v>2400</v>
      </c>
      <c r="E356" s="62" t="s">
        <v>42</v>
      </c>
      <c r="F356" s="62" t="s">
        <v>48</v>
      </c>
      <c r="G356" s="62" t="s">
        <v>185</v>
      </c>
      <c r="H356" s="62" t="s">
        <v>2346</v>
      </c>
      <c r="I356" s="68" t="s">
        <v>2124</v>
      </c>
      <c r="J356" s="62" t="s">
        <v>1048</v>
      </c>
      <c r="K356" s="62" t="s">
        <v>184</v>
      </c>
      <c r="L356" s="62" t="s">
        <v>889</v>
      </c>
      <c r="M356" s="62" t="s">
        <v>1075</v>
      </c>
      <c r="N356" s="62" t="s">
        <v>1556</v>
      </c>
      <c r="O356" s="62" t="s">
        <v>2349</v>
      </c>
      <c r="P356" s="30" t="s">
        <v>825</v>
      </c>
      <c r="Q356" s="30" t="s">
        <v>2351</v>
      </c>
      <c r="S356" s="69" t="s">
        <v>2352</v>
      </c>
      <c r="T356" s="69" t="s">
        <v>2352</v>
      </c>
      <c r="U356" s="28">
        <v>0.0</v>
      </c>
      <c r="V356" s="70">
        <v>0.0</v>
      </c>
      <c r="W356" s="30" t="s">
        <v>2353</v>
      </c>
    </row>
    <row r="357">
      <c r="A357" s="67">
        <f>ROW()-ROW(Table_Actions[N])</f>
        <v>200</v>
      </c>
      <c r="B357" s="57" t="s">
        <v>1341</v>
      </c>
      <c r="C357" s="66" t="b">
        <v>0</v>
      </c>
      <c r="D357" s="62" t="s">
        <v>2477</v>
      </c>
      <c r="E357" s="62" t="s">
        <v>42</v>
      </c>
      <c r="F357" s="62" t="s">
        <v>48</v>
      </c>
      <c r="G357" s="62" t="s">
        <v>185</v>
      </c>
      <c r="H357" s="62" t="s">
        <v>2346</v>
      </c>
      <c r="I357" s="68" t="s">
        <v>183</v>
      </c>
      <c r="J357" s="62" t="s">
        <v>1048</v>
      </c>
      <c r="K357" s="62" t="s">
        <v>184</v>
      </c>
      <c r="L357" s="62" t="s">
        <v>897</v>
      </c>
      <c r="M357" s="62" t="s">
        <v>3042</v>
      </c>
      <c r="N357" s="62" t="s">
        <v>1556</v>
      </c>
      <c r="O357" s="62" t="s">
        <v>2349</v>
      </c>
      <c r="P357" s="30" t="s">
        <v>825</v>
      </c>
      <c r="Q357" s="30" t="s">
        <v>2351</v>
      </c>
      <c r="S357" s="69" t="s">
        <v>2352</v>
      </c>
      <c r="T357" s="69" t="s">
        <v>2352</v>
      </c>
      <c r="U357" s="28">
        <v>0.0</v>
      </c>
      <c r="V357" s="70">
        <v>0.0</v>
      </c>
      <c r="W357" s="30" t="s">
        <v>2353</v>
      </c>
    </row>
    <row r="358">
      <c r="A358" s="67">
        <f>ROW()-ROW(Table_Actions[N])</f>
        <v>201</v>
      </c>
      <c r="B358" s="57" t="s">
        <v>1359</v>
      </c>
      <c r="C358" s="66" t="b">
        <v>0</v>
      </c>
      <c r="D358" s="62" t="s">
        <v>2477</v>
      </c>
      <c r="E358" s="62" t="s">
        <v>42</v>
      </c>
      <c r="F358" s="62" t="s">
        <v>48</v>
      </c>
      <c r="G358" s="62" t="s">
        <v>185</v>
      </c>
      <c r="H358" s="62" t="s">
        <v>2346</v>
      </c>
      <c r="I358" s="68" t="s">
        <v>183</v>
      </c>
      <c r="J358" s="62" t="s">
        <v>1048</v>
      </c>
      <c r="K358" s="62" t="s">
        <v>184</v>
      </c>
      <c r="L358" s="62" t="s">
        <v>897</v>
      </c>
      <c r="M358" s="62" t="s">
        <v>3044</v>
      </c>
      <c r="N358" s="62" t="s">
        <v>1556</v>
      </c>
      <c r="O358" s="62" t="s">
        <v>2349</v>
      </c>
      <c r="P358" s="30" t="s">
        <v>825</v>
      </c>
      <c r="Q358" s="30" t="s">
        <v>2351</v>
      </c>
      <c r="S358" s="69" t="s">
        <v>2352</v>
      </c>
      <c r="T358" s="69" t="s">
        <v>2352</v>
      </c>
      <c r="U358" s="28">
        <v>0.0</v>
      </c>
      <c r="V358" s="70">
        <v>0.0</v>
      </c>
      <c r="W358" s="30" t="s">
        <v>2353</v>
      </c>
    </row>
    <row r="359">
      <c r="A359" s="67">
        <f>ROW()-ROW(Table_Actions[N])</f>
        <v>202</v>
      </c>
      <c r="B359" s="57" t="s">
        <v>3348</v>
      </c>
      <c r="C359" s="66" t="b">
        <v>0</v>
      </c>
      <c r="D359" s="62" t="s">
        <v>2464</v>
      </c>
      <c r="E359" s="62" t="s">
        <v>751</v>
      </c>
      <c r="F359" s="62" t="s">
        <v>48</v>
      </c>
      <c r="G359" s="62" t="s">
        <v>201</v>
      </c>
      <c r="H359" s="62" t="s">
        <v>2346</v>
      </c>
      <c r="I359" s="68" t="s">
        <v>183</v>
      </c>
      <c r="J359" s="62" t="s">
        <v>1048</v>
      </c>
      <c r="K359" s="62" t="s">
        <v>184</v>
      </c>
      <c r="L359" s="62" t="s">
        <v>889</v>
      </c>
      <c r="M359" s="62" t="s">
        <v>1075</v>
      </c>
      <c r="N359" s="62" t="s">
        <v>1556</v>
      </c>
      <c r="O359" s="62" t="s">
        <v>2349</v>
      </c>
      <c r="P359" s="30" t="s">
        <v>825</v>
      </c>
      <c r="Q359" s="30" t="s">
        <v>2351</v>
      </c>
      <c r="S359" s="69" t="s">
        <v>2352</v>
      </c>
      <c r="T359" s="69" t="s">
        <v>2352</v>
      </c>
      <c r="U359" s="28">
        <v>0.0</v>
      </c>
      <c r="V359" s="70">
        <v>0.0</v>
      </c>
      <c r="W359" s="30" t="s">
        <v>2353</v>
      </c>
    </row>
    <row r="360">
      <c r="A360" s="67">
        <f>ROW()-ROW(Table_Actions[N])</f>
        <v>203</v>
      </c>
      <c r="B360" s="57" t="s">
        <v>3349</v>
      </c>
      <c r="C360" s="66" t="b">
        <v>0</v>
      </c>
      <c r="D360" s="62" t="s">
        <v>2477</v>
      </c>
      <c r="E360" s="62" t="s">
        <v>42</v>
      </c>
      <c r="F360" s="62" t="s">
        <v>48</v>
      </c>
      <c r="G360" s="62" t="s">
        <v>185</v>
      </c>
      <c r="H360" s="62" t="s">
        <v>2346</v>
      </c>
      <c r="I360" s="68" t="s">
        <v>183</v>
      </c>
      <c r="J360" s="62" t="s">
        <v>1048</v>
      </c>
      <c r="K360" s="62" t="s">
        <v>184</v>
      </c>
      <c r="L360" s="62" t="s">
        <v>1161</v>
      </c>
      <c r="M360" s="62" t="s">
        <v>1075</v>
      </c>
      <c r="N360" s="62" t="s">
        <v>1556</v>
      </c>
      <c r="O360" s="62" t="s">
        <v>2349</v>
      </c>
      <c r="P360" s="30" t="s">
        <v>825</v>
      </c>
      <c r="Q360" s="30" t="s">
        <v>2351</v>
      </c>
      <c r="S360" s="69" t="s">
        <v>2352</v>
      </c>
      <c r="T360" s="69" t="s">
        <v>2352</v>
      </c>
      <c r="U360" s="28">
        <v>0.0</v>
      </c>
      <c r="V360" s="70">
        <v>0.0</v>
      </c>
      <c r="W360" s="30" t="s">
        <v>2353</v>
      </c>
    </row>
    <row r="361">
      <c r="A361" s="67">
        <f>ROW()-ROW(Table_Actions[N])</f>
        <v>204</v>
      </c>
      <c r="B361" s="57" t="s">
        <v>2140</v>
      </c>
      <c r="C361" s="66" t="b">
        <v>0</v>
      </c>
      <c r="D361" s="62" t="s">
        <v>2446</v>
      </c>
      <c r="E361" s="62" t="s">
        <v>764</v>
      </c>
      <c r="F361" s="62" t="s">
        <v>48</v>
      </c>
      <c r="G361" s="62" t="s">
        <v>185</v>
      </c>
      <c r="H361" s="62" t="s">
        <v>2346</v>
      </c>
      <c r="I361" s="68" t="s">
        <v>183</v>
      </c>
      <c r="J361" s="62" t="s">
        <v>1048</v>
      </c>
      <c r="K361" s="62" t="s">
        <v>184</v>
      </c>
      <c r="L361" s="62" t="s">
        <v>889</v>
      </c>
      <c r="M361" s="62" t="s">
        <v>1075</v>
      </c>
      <c r="N361" s="62" t="s">
        <v>1556</v>
      </c>
      <c r="O361" s="62" t="s">
        <v>2349</v>
      </c>
      <c r="P361" s="30" t="s">
        <v>825</v>
      </c>
      <c r="Q361" s="30" t="s">
        <v>2351</v>
      </c>
      <c r="R361" s="28"/>
      <c r="S361" s="69" t="s">
        <v>2352</v>
      </c>
      <c r="T361" s="69" t="s">
        <v>2352</v>
      </c>
      <c r="U361" s="28">
        <v>0.0</v>
      </c>
      <c r="V361" s="70">
        <v>0.0</v>
      </c>
      <c r="W361" s="30" t="s">
        <v>2353</v>
      </c>
    </row>
    <row r="362">
      <c r="A362" s="67">
        <f>ROW()-ROW(Table_Actions[N])</f>
        <v>205</v>
      </c>
      <c r="B362" s="57" t="s">
        <v>3350</v>
      </c>
      <c r="C362" s="66" t="b">
        <v>0</v>
      </c>
      <c r="D362" s="62" t="s">
        <v>2400</v>
      </c>
      <c r="E362" s="62" t="s">
        <v>42</v>
      </c>
      <c r="F362" s="62" t="s">
        <v>48</v>
      </c>
      <c r="G362" s="62" t="s">
        <v>185</v>
      </c>
      <c r="H362" s="62" t="s">
        <v>2346</v>
      </c>
      <c r="I362" s="68" t="s">
        <v>2138</v>
      </c>
      <c r="J362" s="62" t="s">
        <v>1048</v>
      </c>
      <c r="K362" s="62" t="s">
        <v>184</v>
      </c>
      <c r="L362" s="62" t="s">
        <v>889</v>
      </c>
      <c r="M362" s="62" t="s">
        <v>1075</v>
      </c>
      <c r="N362" s="62" t="s">
        <v>1556</v>
      </c>
      <c r="O362" s="62" t="s">
        <v>2349</v>
      </c>
      <c r="P362" s="30" t="s">
        <v>825</v>
      </c>
      <c r="Q362" s="30" t="s">
        <v>2351</v>
      </c>
      <c r="R362" s="28"/>
      <c r="S362" s="69" t="s">
        <v>2352</v>
      </c>
      <c r="T362" s="69" t="s">
        <v>2352</v>
      </c>
      <c r="U362" s="28">
        <v>0.0</v>
      </c>
      <c r="V362" s="70">
        <v>0.0</v>
      </c>
      <c r="W362" s="30" t="s">
        <v>2353</v>
      </c>
    </row>
    <row r="363">
      <c r="A363" s="67">
        <f>ROW()-ROW(Table_Actions[N])</f>
        <v>206</v>
      </c>
      <c r="B363" s="57" t="s">
        <v>3351</v>
      </c>
      <c r="C363" s="66" t="b">
        <v>0</v>
      </c>
      <c r="D363" s="62" t="s">
        <v>2495</v>
      </c>
      <c r="E363" s="62" t="s">
        <v>73</v>
      </c>
      <c r="F363" s="62" t="s">
        <v>48</v>
      </c>
      <c r="G363" s="62" t="s">
        <v>185</v>
      </c>
      <c r="H363" s="62" t="s">
        <v>2346</v>
      </c>
      <c r="I363" s="68" t="s">
        <v>183</v>
      </c>
      <c r="J363" s="62" t="s">
        <v>1048</v>
      </c>
      <c r="K363" s="62" t="s">
        <v>184</v>
      </c>
      <c r="L363" s="62" t="s">
        <v>889</v>
      </c>
      <c r="M363" s="62" t="s">
        <v>1075</v>
      </c>
      <c r="N363" s="62" t="s">
        <v>1556</v>
      </c>
      <c r="O363" s="62" t="s">
        <v>2349</v>
      </c>
      <c r="P363" s="30" t="s">
        <v>825</v>
      </c>
      <c r="Q363" s="30" t="s">
        <v>2351</v>
      </c>
      <c r="R363" s="28" t="s">
        <v>3352</v>
      </c>
      <c r="S363" s="69" t="s">
        <v>2352</v>
      </c>
      <c r="T363" s="69" t="s">
        <v>2352</v>
      </c>
      <c r="U363" s="28">
        <v>0.0</v>
      </c>
      <c r="V363" s="70">
        <v>0.0</v>
      </c>
      <c r="W363" s="30" t="s">
        <v>2353</v>
      </c>
    </row>
    <row r="364">
      <c r="A364" s="67">
        <f>ROW()-ROW(Table_Actions[N])</f>
        <v>207</v>
      </c>
      <c r="B364" s="57" t="s">
        <v>3353</v>
      </c>
      <c r="C364" s="66" t="b">
        <v>1</v>
      </c>
      <c r="D364" s="62" t="s">
        <v>2461</v>
      </c>
      <c r="E364" s="62" t="s">
        <v>764</v>
      </c>
      <c r="F364" s="62" t="s">
        <v>48</v>
      </c>
      <c r="G364" s="62" t="s">
        <v>185</v>
      </c>
      <c r="H364" s="62" t="s">
        <v>2346</v>
      </c>
      <c r="I364" s="68" t="s">
        <v>183</v>
      </c>
      <c r="J364" s="62" t="s">
        <v>1048</v>
      </c>
      <c r="K364" s="62" t="s">
        <v>184</v>
      </c>
      <c r="L364" s="62" t="s">
        <v>889</v>
      </c>
      <c r="M364" s="62" t="s">
        <v>1075</v>
      </c>
      <c r="N364" s="62" t="s">
        <v>2520</v>
      </c>
      <c r="O364" s="62" t="s">
        <v>2349</v>
      </c>
      <c r="P364" s="30" t="s">
        <v>825</v>
      </c>
      <c r="Q364" s="30" t="s">
        <v>2351</v>
      </c>
      <c r="R364" s="28"/>
      <c r="S364" s="69" t="s">
        <v>2352</v>
      </c>
      <c r="T364" s="69" t="s">
        <v>2352</v>
      </c>
      <c r="U364" s="28">
        <v>0.0</v>
      </c>
      <c r="V364" s="70">
        <v>0.0</v>
      </c>
      <c r="W364" s="30" t="s">
        <v>2353</v>
      </c>
    </row>
    <row r="365">
      <c r="A365" s="67">
        <f>ROW()-ROW(Table_Actions[N])</f>
        <v>208</v>
      </c>
      <c r="B365" s="57" t="s">
        <v>3354</v>
      </c>
      <c r="C365" s="66" t="b">
        <v>1</v>
      </c>
      <c r="D365" s="62" t="s">
        <v>2477</v>
      </c>
      <c r="E365" s="62" t="s">
        <v>42</v>
      </c>
      <c r="F365" s="62" t="s">
        <v>48</v>
      </c>
      <c r="G365" s="62" t="s">
        <v>185</v>
      </c>
      <c r="H365" s="62" t="s">
        <v>2346</v>
      </c>
      <c r="I365" s="68" t="s">
        <v>183</v>
      </c>
      <c r="J365" s="62" t="s">
        <v>1048</v>
      </c>
      <c r="K365" s="62" t="s">
        <v>184</v>
      </c>
      <c r="L365" s="62" t="s">
        <v>1170</v>
      </c>
      <c r="M365" s="62" t="s">
        <v>1075</v>
      </c>
      <c r="N365" s="62" t="s">
        <v>1556</v>
      </c>
      <c r="O365" s="62" t="s">
        <v>2349</v>
      </c>
      <c r="P365" s="30" t="s">
        <v>825</v>
      </c>
      <c r="Q365" s="30" t="s">
        <v>2351</v>
      </c>
      <c r="R365" s="28"/>
      <c r="S365" s="69" t="s">
        <v>2352</v>
      </c>
      <c r="T365" s="69" t="s">
        <v>2352</v>
      </c>
      <c r="U365" s="28">
        <v>0.0</v>
      </c>
      <c r="V365" s="70">
        <v>0.0</v>
      </c>
      <c r="W365" s="30" t="s">
        <v>2353</v>
      </c>
    </row>
    <row r="366">
      <c r="A366" s="67">
        <f>ROW()-ROW(Table_Actions[N])</f>
        <v>209</v>
      </c>
      <c r="B366" s="57" t="s">
        <v>3355</v>
      </c>
      <c r="C366" s="66" t="b">
        <v>1</v>
      </c>
      <c r="D366" s="62" t="s">
        <v>2503</v>
      </c>
      <c r="E366" s="62" t="s">
        <v>42</v>
      </c>
      <c r="F366" s="62" t="s">
        <v>48</v>
      </c>
      <c r="G366" s="62" t="s">
        <v>185</v>
      </c>
      <c r="H366" s="62" t="s">
        <v>2346</v>
      </c>
      <c r="I366" s="68" t="s">
        <v>183</v>
      </c>
      <c r="J366" s="62" t="s">
        <v>1048</v>
      </c>
      <c r="K366" s="62" t="s">
        <v>184</v>
      </c>
      <c r="L366" s="62" t="s">
        <v>889</v>
      </c>
      <c r="M366" s="62" t="s">
        <v>1075</v>
      </c>
      <c r="N366" s="62" t="s">
        <v>1556</v>
      </c>
      <c r="O366" s="62" t="s">
        <v>2349</v>
      </c>
      <c r="P366" s="30" t="s">
        <v>825</v>
      </c>
      <c r="Q366" s="30" t="s">
        <v>2351</v>
      </c>
      <c r="R366" s="28" t="s">
        <v>3356</v>
      </c>
      <c r="S366" s="69" t="s">
        <v>2352</v>
      </c>
      <c r="T366" s="69" t="s">
        <v>2352</v>
      </c>
      <c r="U366" s="28">
        <v>0.0</v>
      </c>
      <c r="V366" s="70">
        <v>0.0</v>
      </c>
      <c r="W366" s="30" t="s">
        <v>2353</v>
      </c>
    </row>
    <row r="367">
      <c r="A367" s="67">
        <f>ROW()-ROW(Table_Actions[N])</f>
        <v>210</v>
      </c>
      <c r="B367" s="57" t="s">
        <v>3357</v>
      </c>
      <c r="C367" s="66" t="b">
        <v>1</v>
      </c>
      <c r="D367" s="62" t="s">
        <v>2503</v>
      </c>
      <c r="E367" s="62" t="s">
        <v>42</v>
      </c>
      <c r="F367" s="62" t="s">
        <v>48</v>
      </c>
      <c r="G367" s="62" t="s">
        <v>185</v>
      </c>
      <c r="H367" s="62" t="s">
        <v>2346</v>
      </c>
      <c r="I367" s="68" t="s">
        <v>183</v>
      </c>
      <c r="J367" s="62" t="s">
        <v>1048</v>
      </c>
      <c r="K367" s="62" t="s">
        <v>184</v>
      </c>
      <c r="L367" s="62" t="s">
        <v>889</v>
      </c>
      <c r="M367" s="62" t="s">
        <v>1075</v>
      </c>
      <c r="N367" s="62" t="s">
        <v>1556</v>
      </c>
      <c r="O367" s="62" t="s">
        <v>2349</v>
      </c>
      <c r="P367" s="30" t="s">
        <v>825</v>
      </c>
      <c r="Q367" s="30" t="s">
        <v>2351</v>
      </c>
      <c r="R367" s="28" t="s">
        <v>3358</v>
      </c>
      <c r="S367" s="69" t="s">
        <v>2352</v>
      </c>
      <c r="T367" s="69" t="s">
        <v>2352</v>
      </c>
      <c r="U367" s="28">
        <v>0.0</v>
      </c>
      <c r="V367" s="70">
        <v>0.0</v>
      </c>
      <c r="W367" s="30" t="s">
        <v>2353</v>
      </c>
    </row>
    <row r="368">
      <c r="A368" s="67">
        <f>ROW()-ROW(Table_Actions[N])</f>
        <v>211</v>
      </c>
      <c r="B368" s="57" t="s">
        <v>3359</v>
      </c>
      <c r="C368" s="85" t="b">
        <v>0</v>
      </c>
      <c r="D368" s="62" t="s">
        <v>2466</v>
      </c>
      <c r="E368" s="58" t="s">
        <v>751</v>
      </c>
      <c r="F368" s="58" t="s">
        <v>48</v>
      </c>
      <c r="G368" s="58" t="s">
        <v>201</v>
      </c>
      <c r="H368" s="58" t="s">
        <v>2346</v>
      </c>
      <c r="I368" s="80" t="s">
        <v>183</v>
      </c>
      <c r="J368" s="58" t="s">
        <v>1048</v>
      </c>
      <c r="K368" s="58" t="s">
        <v>184</v>
      </c>
      <c r="L368" s="58" t="s">
        <v>889</v>
      </c>
      <c r="M368" s="58" t="s">
        <v>1075</v>
      </c>
      <c r="N368" s="58" t="s">
        <v>1556</v>
      </c>
      <c r="O368" s="58" t="s">
        <v>2349</v>
      </c>
      <c r="P368" s="58" t="s">
        <v>825</v>
      </c>
      <c r="Q368" s="58" t="s">
        <v>2351</v>
      </c>
      <c r="R368" s="64"/>
      <c r="S368" s="69" t="s">
        <v>2352</v>
      </c>
      <c r="T368" s="69" t="s">
        <v>2352</v>
      </c>
      <c r="U368" s="28">
        <v>0.0</v>
      </c>
      <c r="V368" s="70">
        <v>0.0</v>
      </c>
      <c r="W368" s="58" t="s">
        <v>2353</v>
      </c>
    </row>
    <row r="369">
      <c r="A369" s="67">
        <f>ROW()-ROW(Table_Actions[N])</f>
        <v>212</v>
      </c>
      <c r="B369" s="57" t="s">
        <v>3360</v>
      </c>
      <c r="C369" s="66" t="b">
        <v>1</v>
      </c>
      <c r="D369" s="62" t="s">
        <v>2503</v>
      </c>
      <c r="E369" s="62" t="s">
        <v>42</v>
      </c>
      <c r="F369" s="62" t="s">
        <v>48</v>
      </c>
      <c r="G369" s="62" t="s">
        <v>185</v>
      </c>
      <c r="H369" s="62" t="s">
        <v>2346</v>
      </c>
      <c r="I369" s="68" t="s">
        <v>183</v>
      </c>
      <c r="J369" s="62" t="s">
        <v>1048</v>
      </c>
      <c r="K369" s="62" t="s">
        <v>184</v>
      </c>
      <c r="L369" s="62" t="s">
        <v>889</v>
      </c>
      <c r="M369" s="62" t="s">
        <v>1075</v>
      </c>
      <c r="N369" s="62" t="s">
        <v>1556</v>
      </c>
      <c r="O369" s="62" t="s">
        <v>2349</v>
      </c>
      <c r="P369" s="30" t="s">
        <v>825</v>
      </c>
      <c r="Q369" s="30" t="s">
        <v>2351</v>
      </c>
      <c r="R369" s="28" t="s">
        <v>3361</v>
      </c>
      <c r="S369" s="69" t="s">
        <v>2352</v>
      </c>
      <c r="T369" s="69" t="s">
        <v>2352</v>
      </c>
      <c r="U369" s="28">
        <v>0.0</v>
      </c>
      <c r="V369" s="70">
        <v>0.0</v>
      </c>
      <c r="W369" s="30" t="s">
        <v>2353</v>
      </c>
    </row>
    <row r="370">
      <c r="A370" s="67">
        <f>ROW()-ROW(Table_Actions[N])</f>
        <v>213</v>
      </c>
      <c r="B370" s="57" t="s">
        <v>3362</v>
      </c>
      <c r="C370" s="66" t="b">
        <v>1</v>
      </c>
      <c r="D370" s="62" t="s">
        <v>2495</v>
      </c>
      <c r="E370" s="62" t="s">
        <v>764</v>
      </c>
      <c r="F370" s="62" t="s">
        <v>48</v>
      </c>
      <c r="G370" s="62" t="s">
        <v>185</v>
      </c>
      <c r="H370" s="62" t="s">
        <v>2346</v>
      </c>
      <c r="I370" s="68" t="s">
        <v>183</v>
      </c>
      <c r="J370" s="62" t="s">
        <v>1048</v>
      </c>
      <c r="K370" s="62" t="s">
        <v>184</v>
      </c>
      <c r="L370" s="62" t="s">
        <v>889</v>
      </c>
      <c r="M370" s="62" t="s">
        <v>1075</v>
      </c>
      <c r="N370" s="62" t="s">
        <v>1556</v>
      </c>
      <c r="O370" s="62" t="s">
        <v>2349</v>
      </c>
      <c r="P370" s="30" t="s">
        <v>825</v>
      </c>
      <c r="Q370" s="30" t="s">
        <v>2351</v>
      </c>
      <c r="R370" s="28" t="s">
        <v>3363</v>
      </c>
      <c r="S370" s="69" t="s">
        <v>2352</v>
      </c>
      <c r="T370" s="69" t="s">
        <v>2352</v>
      </c>
      <c r="U370" s="28">
        <v>0.0</v>
      </c>
      <c r="V370" s="70">
        <v>0.0</v>
      </c>
      <c r="W370" s="30" t="s">
        <v>2353</v>
      </c>
    </row>
    <row r="371">
      <c r="A371" s="67">
        <f>ROW()-ROW(Table_Actions[N])</f>
        <v>214</v>
      </c>
      <c r="B371" s="57" t="s">
        <v>3364</v>
      </c>
      <c r="C371" s="66" t="b">
        <v>1</v>
      </c>
      <c r="D371" s="62" t="s">
        <v>2477</v>
      </c>
      <c r="E371" s="62" t="s">
        <v>42</v>
      </c>
      <c r="F371" s="62" t="s">
        <v>48</v>
      </c>
      <c r="G371" s="62" t="s">
        <v>185</v>
      </c>
      <c r="H371" s="62" t="s">
        <v>2346</v>
      </c>
      <c r="I371" s="68" t="s">
        <v>183</v>
      </c>
      <c r="J371" s="62" t="s">
        <v>1048</v>
      </c>
      <c r="K371" s="62" t="s">
        <v>184</v>
      </c>
      <c r="L371" s="62" t="s">
        <v>1176</v>
      </c>
      <c r="M371" s="62" t="s">
        <v>1075</v>
      </c>
      <c r="N371" s="62" t="s">
        <v>1556</v>
      </c>
      <c r="O371" s="62" t="s">
        <v>2349</v>
      </c>
      <c r="P371" s="30" t="s">
        <v>825</v>
      </c>
      <c r="Q371" s="30" t="s">
        <v>2351</v>
      </c>
      <c r="R371" s="28"/>
      <c r="S371" s="69" t="s">
        <v>2352</v>
      </c>
      <c r="T371" s="69" t="s">
        <v>2352</v>
      </c>
      <c r="U371" s="28">
        <v>0.0</v>
      </c>
      <c r="V371" s="70">
        <v>0.0</v>
      </c>
      <c r="W371" s="30" t="s">
        <v>2353</v>
      </c>
    </row>
    <row r="372">
      <c r="A372" s="67">
        <f>ROW()-ROW(Table_Actions[N])</f>
        <v>215</v>
      </c>
      <c r="B372" s="57" t="s">
        <v>2117</v>
      </c>
      <c r="C372" s="66" t="b">
        <v>0</v>
      </c>
      <c r="D372" s="62" t="s">
        <v>2493</v>
      </c>
      <c r="E372" s="62" t="s">
        <v>42</v>
      </c>
      <c r="F372" s="62" t="s">
        <v>48</v>
      </c>
      <c r="G372" s="62" t="s">
        <v>185</v>
      </c>
      <c r="H372" s="62" t="s">
        <v>2346</v>
      </c>
      <c r="I372" s="68" t="s">
        <v>183</v>
      </c>
      <c r="J372" s="62" t="s">
        <v>1048</v>
      </c>
      <c r="K372" s="62" t="s">
        <v>184</v>
      </c>
      <c r="L372" s="62" t="s">
        <v>889</v>
      </c>
      <c r="M372" s="62" t="s">
        <v>1075</v>
      </c>
      <c r="N372" s="62" t="s">
        <v>1556</v>
      </c>
      <c r="O372" s="62" t="s">
        <v>2349</v>
      </c>
      <c r="P372" s="30" t="s">
        <v>825</v>
      </c>
      <c r="Q372" s="30" t="s">
        <v>2548</v>
      </c>
      <c r="R372" s="28" t="s">
        <v>3341</v>
      </c>
      <c r="S372" s="69" t="s">
        <v>2352</v>
      </c>
      <c r="T372" s="69" t="s">
        <v>2352</v>
      </c>
      <c r="U372" s="28">
        <v>0.0</v>
      </c>
      <c r="V372" s="70">
        <v>0.0</v>
      </c>
      <c r="W372" s="30" t="s">
        <v>2353</v>
      </c>
    </row>
    <row r="373">
      <c r="A373" s="67">
        <f>ROW()-ROW(Table_Actions[N])</f>
        <v>216</v>
      </c>
      <c r="B373" s="57" t="s">
        <v>1397</v>
      </c>
      <c r="C373" s="66" t="b">
        <v>0</v>
      </c>
      <c r="D373" s="62" t="s">
        <v>2477</v>
      </c>
      <c r="E373" s="62" t="s">
        <v>42</v>
      </c>
      <c r="F373" s="62" t="s">
        <v>48</v>
      </c>
      <c r="G373" s="62" t="s">
        <v>185</v>
      </c>
      <c r="H373" s="62" t="s">
        <v>2346</v>
      </c>
      <c r="I373" s="68" t="s">
        <v>183</v>
      </c>
      <c r="J373" s="62" t="s">
        <v>1048</v>
      </c>
      <c r="K373" s="62" t="s">
        <v>184</v>
      </c>
      <c r="L373" s="62" t="s">
        <v>1194</v>
      </c>
      <c r="M373" s="62" t="s">
        <v>1075</v>
      </c>
      <c r="N373" s="62" t="s">
        <v>1556</v>
      </c>
      <c r="O373" s="62" t="s">
        <v>2349</v>
      </c>
      <c r="P373" s="30" t="s">
        <v>825</v>
      </c>
      <c r="Q373" s="30" t="s">
        <v>2351</v>
      </c>
      <c r="R373" s="28"/>
      <c r="S373" s="69" t="s">
        <v>2352</v>
      </c>
      <c r="T373" s="69" t="s">
        <v>2352</v>
      </c>
      <c r="U373" s="28">
        <v>0.0</v>
      </c>
      <c r="V373" s="70">
        <v>0.0</v>
      </c>
      <c r="W373" s="30" t="s">
        <v>2353</v>
      </c>
    </row>
    <row r="374">
      <c r="A374" s="67">
        <f>ROW()-ROW(Table_Actions[N])</f>
        <v>217</v>
      </c>
      <c r="B374" s="57" t="s">
        <v>3365</v>
      </c>
      <c r="C374" s="66" t="b">
        <v>1</v>
      </c>
      <c r="D374" s="62" t="s">
        <v>2477</v>
      </c>
      <c r="E374" s="62" t="s">
        <v>42</v>
      </c>
      <c r="F374" s="62" t="s">
        <v>48</v>
      </c>
      <c r="G374" s="62" t="s">
        <v>185</v>
      </c>
      <c r="H374" s="62" t="s">
        <v>2346</v>
      </c>
      <c r="I374" s="68" t="s">
        <v>183</v>
      </c>
      <c r="J374" s="62" t="s">
        <v>1048</v>
      </c>
      <c r="K374" s="62" t="s">
        <v>184</v>
      </c>
      <c r="L374" s="62" t="s">
        <v>1208</v>
      </c>
      <c r="M374" s="62" t="s">
        <v>1075</v>
      </c>
      <c r="N374" s="62" t="s">
        <v>1556</v>
      </c>
      <c r="O374" s="62" t="s">
        <v>2349</v>
      </c>
      <c r="P374" s="30" t="s">
        <v>825</v>
      </c>
      <c r="Q374" s="30" t="s">
        <v>2351</v>
      </c>
      <c r="R374" s="28"/>
      <c r="S374" s="69" t="s">
        <v>2352</v>
      </c>
      <c r="T374" s="69" t="s">
        <v>2352</v>
      </c>
      <c r="U374" s="28">
        <v>0.0</v>
      </c>
      <c r="V374" s="70">
        <v>0.0</v>
      </c>
      <c r="W374" s="30" t="s">
        <v>2353</v>
      </c>
    </row>
    <row r="375">
      <c r="A375" s="67">
        <f>ROW()-ROW(Table_Actions[N])</f>
        <v>218</v>
      </c>
      <c r="B375" s="57" t="s">
        <v>3366</v>
      </c>
      <c r="C375" s="66" t="b">
        <v>1</v>
      </c>
      <c r="D375" s="62" t="s">
        <v>2495</v>
      </c>
      <c r="E375" s="62" t="s">
        <v>777</v>
      </c>
      <c r="F375" s="62" t="s">
        <v>48</v>
      </c>
      <c r="G375" s="62" t="s">
        <v>185</v>
      </c>
      <c r="H375" s="62" t="s">
        <v>2346</v>
      </c>
      <c r="I375" s="68" t="s">
        <v>183</v>
      </c>
      <c r="J375" s="62" t="s">
        <v>1048</v>
      </c>
      <c r="K375" s="62" t="s">
        <v>184</v>
      </c>
      <c r="L375" s="62" t="s">
        <v>889</v>
      </c>
      <c r="M375" s="62" t="s">
        <v>1075</v>
      </c>
      <c r="N375" s="62" t="s">
        <v>1556</v>
      </c>
      <c r="O375" s="62" t="s">
        <v>2349</v>
      </c>
      <c r="P375" s="30" t="s">
        <v>825</v>
      </c>
      <c r="Q375" s="30" t="s">
        <v>2351</v>
      </c>
      <c r="R375" s="28" t="s">
        <v>3367</v>
      </c>
      <c r="S375" s="69" t="s">
        <v>2352</v>
      </c>
      <c r="T375" s="69" t="s">
        <v>2352</v>
      </c>
      <c r="U375" s="28">
        <v>0.0</v>
      </c>
      <c r="V375" s="70">
        <v>0.0</v>
      </c>
      <c r="W375" s="30" t="s">
        <v>2353</v>
      </c>
    </row>
    <row r="376">
      <c r="A376" s="67">
        <f>ROW()-ROW(Table_Actions[N])</f>
        <v>219</v>
      </c>
      <c r="B376" s="57" t="s">
        <v>3368</v>
      </c>
      <c r="C376" s="66" t="b">
        <v>1</v>
      </c>
      <c r="D376" s="62" t="s">
        <v>2495</v>
      </c>
      <c r="E376" s="62" t="s">
        <v>777</v>
      </c>
      <c r="F376" s="62" t="s">
        <v>48</v>
      </c>
      <c r="G376" s="62" t="s">
        <v>185</v>
      </c>
      <c r="H376" s="62" t="s">
        <v>2346</v>
      </c>
      <c r="I376" s="68" t="s">
        <v>183</v>
      </c>
      <c r="J376" s="62" t="s">
        <v>1048</v>
      </c>
      <c r="K376" s="62" t="s">
        <v>184</v>
      </c>
      <c r="L376" s="62" t="s">
        <v>889</v>
      </c>
      <c r="M376" s="62" t="s">
        <v>1075</v>
      </c>
      <c r="N376" s="62" t="s">
        <v>1556</v>
      </c>
      <c r="O376" s="62" t="s">
        <v>2349</v>
      </c>
      <c r="P376" s="30" t="s">
        <v>825</v>
      </c>
      <c r="Q376" s="30" t="s">
        <v>2351</v>
      </c>
      <c r="R376" s="28" t="s">
        <v>3369</v>
      </c>
      <c r="S376" s="69" t="s">
        <v>2352</v>
      </c>
      <c r="T376" s="69" t="s">
        <v>2352</v>
      </c>
      <c r="U376" s="28">
        <v>0.0</v>
      </c>
      <c r="V376" s="70">
        <v>0.0</v>
      </c>
      <c r="W376" s="30" t="s">
        <v>2353</v>
      </c>
    </row>
    <row r="377">
      <c r="A377" s="67">
        <f>ROW()-ROW(Table_Actions[N])</f>
        <v>220</v>
      </c>
      <c r="B377" s="57" t="s">
        <v>3370</v>
      </c>
      <c r="C377" s="66" t="b">
        <v>1</v>
      </c>
      <c r="D377" s="62" t="s">
        <v>2461</v>
      </c>
      <c r="E377" s="62" t="s">
        <v>777</v>
      </c>
      <c r="F377" s="62" t="s">
        <v>48</v>
      </c>
      <c r="G377" s="62" t="s">
        <v>185</v>
      </c>
      <c r="H377" s="62" t="s">
        <v>2346</v>
      </c>
      <c r="I377" s="68" t="s">
        <v>183</v>
      </c>
      <c r="J377" s="62" t="s">
        <v>1048</v>
      </c>
      <c r="K377" s="62" t="s">
        <v>184</v>
      </c>
      <c r="L377" s="62" t="s">
        <v>889</v>
      </c>
      <c r="M377" s="62" t="s">
        <v>1075</v>
      </c>
      <c r="N377" s="62" t="s">
        <v>1644</v>
      </c>
      <c r="O377" s="62" t="s">
        <v>2349</v>
      </c>
      <c r="P377" s="30" t="s">
        <v>825</v>
      </c>
      <c r="Q377" s="30" t="s">
        <v>2351</v>
      </c>
      <c r="R377" s="28"/>
      <c r="S377" s="69" t="s">
        <v>2352</v>
      </c>
      <c r="T377" s="69" t="s">
        <v>2352</v>
      </c>
      <c r="U377" s="28">
        <v>0.0</v>
      </c>
      <c r="V377" s="70">
        <v>0.0</v>
      </c>
      <c r="W377" s="30" t="s">
        <v>2353</v>
      </c>
    </row>
    <row r="378">
      <c r="A378" s="67">
        <f>ROW()-ROW(Table_Actions[N])</f>
        <v>221</v>
      </c>
      <c r="B378" s="57" t="s">
        <v>3371</v>
      </c>
      <c r="C378" s="66" t="b">
        <v>1</v>
      </c>
      <c r="D378" s="62" t="s">
        <v>2495</v>
      </c>
      <c r="E378" s="62" t="s">
        <v>777</v>
      </c>
      <c r="F378" s="62" t="s">
        <v>48</v>
      </c>
      <c r="G378" s="62" t="s">
        <v>185</v>
      </c>
      <c r="H378" s="62" t="s">
        <v>2346</v>
      </c>
      <c r="I378" s="68" t="s">
        <v>183</v>
      </c>
      <c r="J378" s="62" t="s">
        <v>1048</v>
      </c>
      <c r="K378" s="62" t="s">
        <v>184</v>
      </c>
      <c r="L378" s="62" t="s">
        <v>889</v>
      </c>
      <c r="M378" s="62" t="s">
        <v>1075</v>
      </c>
      <c r="N378" s="62" t="s">
        <v>1556</v>
      </c>
      <c r="O378" s="62" t="s">
        <v>2349</v>
      </c>
      <c r="P378" s="30" t="s">
        <v>825</v>
      </c>
      <c r="Q378" s="30" t="s">
        <v>2351</v>
      </c>
      <c r="R378" s="28" t="s">
        <v>3372</v>
      </c>
      <c r="S378" s="69" t="s">
        <v>2352</v>
      </c>
      <c r="T378" s="69" t="s">
        <v>2352</v>
      </c>
      <c r="U378" s="28">
        <v>0.0</v>
      </c>
      <c r="V378" s="70">
        <v>0.0</v>
      </c>
      <c r="W378" s="30" t="s">
        <v>2353</v>
      </c>
    </row>
    <row r="379">
      <c r="A379" s="67">
        <f>ROW()-ROW(Table_Actions[N])</f>
        <v>222</v>
      </c>
      <c r="B379" s="57" t="s">
        <v>3373</v>
      </c>
      <c r="C379" s="66" t="b">
        <v>1</v>
      </c>
      <c r="D379" s="62" t="s">
        <v>2461</v>
      </c>
      <c r="E379" s="62" t="s">
        <v>777</v>
      </c>
      <c r="F379" s="62" t="s">
        <v>48</v>
      </c>
      <c r="G379" s="62" t="s">
        <v>185</v>
      </c>
      <c r="H379" s="62" t="s">
        <v>2346</v>
      </c>
      <c r="I379" s="68" t="s">
        <v>183</v>
      </c>
      <c r="J379" s="62" t="s">
        <v>1048</v>
      </c>
      <c r="K379" s="62" t="s">
        <v>184</v>
      </c>
      <c r="L379" s="62" t="s">
        <v>889</v>
      </c>
      <c r="M379" s="62" t="s">
        <v>1075</v>
      </c>
      <c r="N379" s="62" t="s">
        <v>2522</v>
      </c>
      <c r="O379" s="62" t="s">
        <v>2349</v>
      </c>
      <c r="P379" s="30" t="s">
        <v>825</v>
      </c>
      <c r="Q379" s="30" t="s">
        <v>2351</v>
      </c>
      <c r="R379" s="28"/>
      <c r="S379" s="69" t="s">
        <v>2352</v>
      </c>
      <c r="T379" s="69" t="s">
        <v>2352</v>
      </c>
      <c r="U379" s="28">
        <v>0.0</v>
      </c>
      <c r="V379" s="70">
        <v>0.0</v>
      </c>
      <c r="W379" s="30" t="s">
        <v>2353</v>
      </c>
    </row>
    <row r="380">
      <c r="A380" s="67">
        <f>ROW()-ROW(Table_Actions[N])</f>
        <v>223</v>
      </c>
      <c r="B380" s="57" t="s">
        <v>3374</v>
      </c>
      <c r="C380" s="66" t="b">
        <v>0</v>
      </c>
      <c r="D380" s="62" t="s">
        <v>2461</v>
      </c>
      <c r="E380" s="62" t="s">
        <v>777</v>
      </c>
      <c r="F380" s="62" t="s">
        <v>48</v>
      </c>
      <c r="G380" s="62" t="s">
        <v>185</v>
      </c>
      <c r="H380" s="62" t="s">
        <v>2346</v>
      </c>
      <c r="I380" s="68" t="s">
        <v>183</v>
      </c>
      <c r="J380" s="62" t="s">
        <v>1048</v>
      </c>
      <c r="K380" s="62" t="s">
        <v>184</v>
      </c>
      <c r="L380" s="62" t="s">
        <v>889</v>
      </c>
      <c r="M380" s="62" t="s">
        <v>1075</v>
      </c>
      <c r="N380" s="62" t="s">
        <v>2599</v>
      </c>
      <c r="O380" s="62" t="s">
        <v>2349</v>
      </c>
      <c r="P380" s="30" t="s">
        <v>825</v>
      </c>
      <c r="Q380" s="30" t="s">
        <v>2351</v>
      </c>
      <c r="R380" s="28" t="s">
        <v>3375</v>
      </c>
      <c r="S380" s="69" t="s">
        <v>2352</v>
      </c>
      <c r="T380" s="69" t="s">
        <v>2352</v>
      </c>
      <c r="U380" s="28">
        <v>0.0</v>
      </c>
      <c r="V380" s="70">
        <v>0.0</v>
      </c>
      <c r="W380" s="30" t="s">
        <v>2353</v>
      </c>
    </row>
    <row r="381">
      <c r="A381" s="67">
        <f>ROW()-ROW(Table_Actions[N])</f>
        <v>224</v>
      </c>
      <c r="B381" s="57" t="s">
        <v>3376</v>
      </c>
      <c r="C381" s="66" t="b">
        <v>1</v>
      </c>
      <c r="D381" s="62" t="s">
        <v>2461</v>
      </c>
      <c r="E381" s="62" t="s">
        <v>777</v>
      </c>
      <c r="F381" s="62" t="s">
        <v>48</v>
      </c>
      <c r="G381" s="62" t="s">
        <v>185</v>
      </c>
      <c r="H381" s="62" t="s">
        <v>2346</v>
      </c>
      <c r="I381" s="68" t="s">
        <v>183</v>
      </c>
      <c r="J381" s="62" t="s">
        <v>1048</v>
      </c>
      <c r="K381" s="62" t="s">
        <v>184</v>
      </c>
      <c r="L381" s="62" t="s">
        <v>889</v>
      </c>
      <c r="M381" s="62" t="s">
        <v>1075</v>
      </c>
      <c r="N381" s="62" t="s">
        <v>2520</v>
      </c>
      <c r="O381" s="62" t="s">
        <v>2349</v>
      </c>
      <c r="P381" s="30" t="s">
        <v>825</v>
      </c>
      <c r="Q381" s="30" t="s">
        <v>2351</v>
      </c>
      <c r="R381" s="28"/>
      <c r="S381" s="69" t="s">
        <v>2352</v>
      </c>
      <c r="T381" s="69" t="s">
        <v>2352</v>
      </c>
      <c r="U381" s="28">
        <v>0.0</v>
      </c>
      <c r="V381" s="70">
        <v>0.0</v>
      </c>
      <c r="W381" s="30" t="s">
        <v>2353</v>
      </c>
    </row>
    <row r="382">
      <c r="A382" s="67">
        <f>ROW()-ROW(Table_Actions[N])</f>
        <v>225</v>
      </c>
      <c r="B382" s="57" t="s">
        <v>3377</v>
      </c>
      <c r="C382" s="66" t="b">
        <v>0</v>
      </c>
      <c r="D382" s="62" t="s">
        <v>2484</v>
      </c>
      <c r="E382" s="62" t="s">
        <v>42</v>
      </c>
      <c r="F382" s="62" t="s">
        <v>48</v>
      </c>
      <c r="G382" s="62" t="s">
        <v>185</v>
      </c>
      <c r="H382" s="62" t="s">
        <v>2346</v>
      </c>
      <c r="I382" s="68" t="s">
        <v>183</v>
      </c>
      <c r="J382" s="62" t="s">
        <v>1048</v>
      </c>
      <c r="K382" s="62" t="s">
        <v>184</v>
      </c>
      <c r="L382" s="62" t="s">
        <v>889</v>
      </c>
      <c r="M382" s="62" t="s">
        <v>1075</v>
      </c>
      <c r="N382" s="62" t="s">
        <v>1556</v>
      </c>
      <c r="O382" s="62" t="s">
        <v>2349</v>
      </c>
      <c r="P382" s="30" t="s">
        <v>2050</v>
      </c>
      <c r="Q382" s="30" t="s">
        <v>2351</v>
      </c>
      <c r="R382" s="28"/>
      <c r="S382" s="69" t="s">
        <v>2352</v>
      </c>
      <c r="T382" s="69" t="s">
        <v>2352</v>
      </c>
      <c r="U382" s="28">
        <v>0.0</v>
      </c>
      <c r="V382" s="70">
        <v>0.0</v>
      </c>
      <c r="W382" s="30" t="s">
        <v>2353</v>
      </c>
    </row>
    <row r="383">
      <c r="A383" s="67">
        <f>ROW()-ROW(Table_Actions[N])</f>
        <v>226</v>
      </c>
      <c r="B383" s="57" t="s">
        <v>3378</v>
      </c>
      <c r="C383" s="66" t="b">
        <v>1</v>
      </c>
      <c r="D383" s="62" t="s">
        <v>2503</v>
      </c>
      <c r="E383" s="62" t="s">
        <v>42</v>
      </c>
      <c r="F383" s="62" t="s">
        <v>48</v>
      </c>
      <c r="G383" s="62" t="s">
        <v>185</v>
      </c>
      <c r="H383" s="62" t="s">
        <v>2346</v>
      </c>
      <c r="I383" s="68" t="s">
        <v>183</v>
      </c>
      <c r="J383" s="62" t="s">
        <v>1048</v>
      </c>
      <c r="K383" s="62" t="s">
        <v>184</v>
      </c>
      <c r="L383" s="62" t="s">
        <v>889</v>
      </c>
      <c r="M383" s="62" t="s">
        <v>1075</v>
      </c>
      <c r="N383" s="62" t="s">
        <v>1556</v>
      </c>
      <c r="O383" s="62" t="s">
        <v>2349</v>
      </c>
      <c r="P383" s="30" t="s">
        <v>825</v>
      </c>
      <c r="Q383" s="30" t="s">
        <v>2351</v>
      </c>
      <c r="R383" s="28" t="s">
        <v>3379</v>
      </c>
      <c r="S383" s="69" t="s">
        <v>2352</v>
      </c>
      <c r="T383" s="69" t="s">
        <v>2352</v>
      </c>
      <c r="U383" s="28">
        <v>0.0</v>
      </c>
      <c r="V383" s="70">
        <v>0.0</v>
      </c>
      <c r="W383" s="30" t="s">
        <v>2353</v>
      </c>
    </row>
    <row r="384">
      <c r="A384" s="67">
        <f>ROW()-ROW(Table_Actions[N])</f>
        <v>227</v>
      </c>
      <c r="B384" s="57" t="s">
        <v>3380</v>
      </c>
      <c r="C384" s="66" t="b">
        <v>1</v>
      </c>
      <c r="D384" s="62" t="s">
        <v>2506</v>
      </c>
      <c r="E384" s="62" t="s">
        <v>42</v>
      </c>
      <c r="F384" s="62" t="s">
        <v>48</v>
      </c>
      <c r="G384" s="62" t="s">
        <v>185</v>
      </c>
      <c r="H384" s="62" t="s">
        <v>2346</v>
      </c>
      <c r="I384" s="68" t="s">
        <v>183</v>
      </c>
      <c r="J384" s="62" t="s">
        <v>1048</v>
      </c>
      <c r="K384" s="62" t="s">
        <v>184</v>
      </c>
      <c r="L384" s="62" t="s">
        <v>889</v>
      </c>
      <c r="M384" s="62" t="s">
        <v>1075</v>
      </c>
      <c r="N384" s="62" t="s">
        <v>1556</v>
      </c>
      <c r="O384" s="62" t="s">
        <v>2349</v>
      </c>
      <c r="P384" s="30" t="s">
        <v>825</v>
      </c>
      <c r="Q384" s="30" t="s">
        <v>2351</v>
      </c>
      <c r="R384" s="28"/>
      <c r="S384" s="69" t="s">
        <v>2352</v>
      </c>
      <c r="T384" s="69" t="s">
        <v>2352</v>
      </c>
      <c r="U384" s="28">
        <v>0.0</v>
      </c>
      <c r="V384" s="70">
        <v>0.0</v>
      </c>
      <c r="W384" s="30" t="s">
        <v>2353</v>
      </c>
    </row>
    <row r="385">
      <c r="A385" s="67">
        <f>ROW()-ROW(Table_Actions[N])</f>
        <v>228</v>
      </c>
      <c r="B385" s="57" t="s">
        <v>3381</v>
      </c>
      <c r="C385" s="66" t="b">
        <v>1</v>
      </c>
      <c r="D385" s="62" t="s">
        <v>2508</v>
      </c>
      <c r="E385" s="62" t="s">
        <v>42</v>
      </c>
      <c r="F385" s="62" t="s">
        <v>48</v>
      </c>
      <c r="G385" s="62" t="s">
        <v>185</v>
      </c>
      <c r="H385" s="62" t="s">
        <v>2346</v>
      </c>
      <c r="I385" s="68" t="s">
        <v>183</v>
      </c>
      <c r="J385" s="62" t="s">
        <v>1048</v>
      </c>
      <c r="K385" s="62" t="s">
        <v>184</v>
      </c>
      <c r="L385" s="62" t="s">
        <v>889</v>
      </c>
      <c r="M385" s="62" t="s">
        <v>1075</v>
      </c>
      <c r="N385" s="62" t="s">
        <v>1556</v>
      </c>
      <c r="O385" s="62" t="s">
        <v>2349</v>
      </c>
      <c r="P385" s="30" t="s">
        <v>825</v>
      </c>
      <c r="Q385" s="30" t="s">
        <v>2351</v>
      </c>
      <c r="R385" s="28"/>
      <c r="S385" s="69" t="s">
        <v>2352</v>
      </c>
      <c r="T385" s="69" t="s">
        <v>2352</v>
      </c>
      <c r="U385" s="28">
        <v>0.0</v>
      </c>
      <c r="V385" s="70">
        <v>0.0</v>
      </c>
      <c r="W385" s="30" t="s">
        <v>2353</v>
      </c>
    </row>
    <row r="386">
      <c r="A386" s="67">
        <f>ROW()-ROW(Table_Actions[N])</f>
        <v>229</v>
      </c>
      <c r="B386" s="57" t="s">
        <v>3382</v>
      </c>
      <c r="C386" s="66" t="b">
        <v>0</v>
      </c>
      <c r="D386" s="62" t="s">
        <v>2495</v>
      </c>
      <c r="E386" s="62" t="s">
        <v>784</v>
      </c>
      <c r="F386" s="62" t="s">
        <v>48</v>
      </c>
      <c r="G386" s="62" t="s">
        <v>185</v>
      </c>
      <c r="H386" s="62" t="s">
        <v>2346</v>
      </c>
      <c r="I386" s="68" t="s">
        <v>183</v>
      </c>
      <c r="J386" s="62" t="s">
        <v>1048</v>
      </c>
      <c r="K386" s="62" t="s">
        <v>184</v>
      </c>
      <c r="L386" s="62" t="s">
        <v>889</v>
      </c>
      <c r="M386" s="62" t="s">
        <v>1075</v>
      </c>
      <c r="N386" s="62" t="s">
        <v>1556</v>
      </c>
      <c r="O386" s="62" t="s">
        <v>2349</v>
      </c>
      <c r="P386" s="30" t="s">
        <v>825</v>
      </c>
      <c r="Q386" s="30" t="s">
        <v>2351</v>
      </c>
      <c r="R386" s="28" t="s">
        <v>3367</v>
      </c>
      <c r="S386" s="69" t="s">
        <v>2352</v>
      </c>
      <c r="T386" s="69" t="s">
        <v>2352</v>
      </c>
      <c r="U386" s="28">
        <v>0.0</v>
      </c>
      <c r="V386" s="70">
        <v>0.0</v>
      </c>
      <c r="W386" s="30" t="s">
        <v>2353</v>
      </c>
    </row>
    <row r="387">
      <c r="A387" s="67">
        <f>ROW()-ROW(Table_Actions[N])</f>
        <v>230</v>
      </c>
      <c r="B387" s="57" t="s">
        <v>3383</v>
      </c>
      <c r="C387" s="66" t="b">
        <v>1</v>
      </c>
      <c r="D387" s="62" t="s">
        <v>2503</v>
      </c>
      <c r="E387" s="62" t="s">
        <v>42</v>
      </c>
      <c r="F387" s="62" t="s">
        <v>48</v>
      </c>
      <c r="G387" s="62" t="s">
        <v>185</v>
      </c>
      <c r="H387" s="62" t="s">
        <v>2346</v>
      </c>
      <c r="I387" s="68" t="s">
        <v>183</v>
      </c>
      <c r="J387" s="62" t="s">
        <v>1048</v>
      </c>
      <c r="K387" s="62" t="s">
        <v>184</v>
      </c>
      <c r="L387" s="62" t="s">
        <v>889</v>
      </c>
      <c r="M387" s="62" t="s">
        <v>1075</v>
      </c>
      <c r="N387" s="62" t="s">
        <v>1556</v>
      </c>
      <c r="O387" s="62" t="s">
        <v>2349</v>
      </c>
      <c r="P387" s="30" t="s">
        <v>825</v>
      </c>
      <c r="Q387" s="30" t="s">
        <v>2351</v>
      </c>
      <c r="R387" s="28" t="s">
        <v>3384</v>
      </c>
      <c r="S387" s="69" t="s">
        <v>2352</v>
      </c>
      <c r="T387" s="69" t="s">
        <v>2352</v>
      </c>
      <c r="U387" s="28">
        <v>0.0</v>
      </c>
      <c r="V387" s="70">
        <v>0.0</v>
      </c>
      <c r="W387" s="30" t="s">
        <v>2353</v>
      </c>
    </row>
    <row r="388">
      <c r="A388" s="67">
        <f>ROW()-ROW(Table_Actions[N])</f>
        <v>231</v>
      </c>
      <c r="B388" s="57" t="s">
        <v>3385</v>
      </c>
      <c r="C388" s="66" t="b">
        <v>0</v>
      </c>
      <c r="D388" s="62" t="s">
        <v>2477</v>
      </c>
      <c r="E388" s="62" t="s">
        <v>42</v>
      </c>
      <c r="F388" s="62" t="s">
        <v>48</v>
      </c>
      <c r="G388" s="62" t="s">
        <v>185</v>
      </c>
      <c r="H388" s="62" t="s">
        <v>2346</v>
      </c>
      <c r="I388" s="68" t="s">
        <v>183</v>
      </c>
      <c r="J388" s="62" t="s">
        <v>1048</v>
      </c>
      <c r="K388" s="62" t="s">
        <v>184</v>
      </c>
      <c r="L388" s="62" t="s">
        <v>1219</v>
      </c>
      <c r="M388" s="62" t="s">
        <v>1075</v>
      </c>
      <c r="N388" s="62" t="s">
        <v>1556</v>
      </c>
      <c r="O388" s="62" t="s">
        <v>2349</v>
      </c>
      <c r="P388" s="30" t="s">
        <v>825</v>
      </c>
      <c r="Q388" s="30" t="s">
        <v>2351</v>
      </c>
      <c r="R388" s="28"/>
      <c r="S388" s="69" t="s">
        <v>2352</v>
      </c>
      <c r="T388" s="69" t="s">
        <v>2352</v>
      </c>
      <c r="U388" s="28">
        <v>0.0</v>
      </c>
      <c r="V388" s="70">
        <v>0.0</v>
      </c>
      <c r="W388" s="30" t="s">
        <v>2353</v>
      </c>
    </row>
    <row r="389">
      <c r="A389" s="67">
        <f>ROW()-ROW(Table_Actions[N])</f>
        <v>232</v>
      </c>
      <c r="B389" s="57" t="s">
        <v>2214</v>
      </c>
      <c r="C389" s="66" t="b">
        <v>0</v>
      </c>
      <c r="D389" s="62" t="s">
        <v>2477</v>
      </c>
      <c r="E389" s="62" t="s">
        <v>42</v>
      </c>
      <c r="F389" s="62" t="s">
        <v>48</v>
      </c>
      <c r="G389" s="62" t="s">
        <v>185</v>
      </c>
      <c r="H389" s="62" t="s">
        <v>2346</v>
      </c>
      <c r="I389" s="68" t="s">
        <v>183</v>
      </c>
      <c r="J389" s="62" t="s">
        <v>1048</v>
      </c>
      <c r="K389" s="62" t="s">
        <v>184</v>
      </c>
      <c r="L389" s="62" t="s">
        <v>1228</v>
      </c>
      <c r="M389" s="62" t="s">
        <v>1075</v>
      </c>
      <c r="N389" s="62" t="s">
        <v>1556</v>
      </c>
      <c r="O389" s="62" t="s">
        <v>2349</v>
      </c>
      <c r="P389" s="30" t="s">
        <v>825</v>
      </c>
      <c r="Q389" s="30" t="s">
        <v>2351</v>
      </c>
      <c r="R389" s="28"/>
      <c r="S389" s="69" t="s">
        <v>2352</v>
      </c>
      <c r="T389" s="69" t="s">
        <v>2352</v>
      </c>
      <c r="U389" s="28">
        <v>0.0</v>
      </c>
      <c r="V389" s="70">
        <v>0.0</v>
      </c>
      <c r="W389" s="30" t="s">
        <v>2353</v>
      </c>
    </row>
    <row r="390">
      <c r="A390" s="67">
        <f>ROW()-ROW(Table_Actions[N])</f>
        <v>233</v>
      </c>
      <c r="B390" s="57" t="s">
        <v>2225</v>
      </c>
      <c r="C390" s="66" t="b">
        <v>0</v>
      </c>
      <c r="D390" s="62" t="s">
        <v>2477</v>
      </c>
      <c r="E390" s="62" t="s">
        <v>42</v>
      </c>
      <c r="F390" s="62" t="s">
        <v>48</v>
      </c>
      <c r="G390" s="62" t="s">
        <v>185</v>
      </c>
      <c r="H390" s="62" t="s">
        <v>2346</v>
      </c>
      <c r="I390" s="68" t="s">
        <v>183</v>
      </c>
      <c r="J390" s="62" t="s">
        <v>1048</v>
      </c>
      <c r="K390" s="62" t="s">
        <v>184</v>
      </c>
      <c r="L390" s="62" t="s">
        <v>1237</v>
      </c>
      <c r="M390" s="62" t="s">
        <v>1075</v>
      </c>
      <c r="N390" s="62" t="s">
        <v>1556</v>
      </c>
      <c r="O390" s="62" t="s">
        <v>2349</v>
      </c>
      <c r="P390" s="30" t="s">
        <v>825</v>
      </c>
      <c r="Q390" s="30" t="s">
        <v>2351</v>
      </c>
      <c r="R390" s="28"/>
      <c r="S390" s="69" t="s">
        <v>2352</v>
      </c>
      <c r="T390" s="69" t="s">
        <v>2352</v>
      </c>
      <c r="U390" s="28">
        <v>0.0</v>
      </c>
      <c r="V390" s="70">
        <v>0.0</v>
      </c>
      <c r="W390" s="30" t="s">
        <v>2353</v>
      </c>
    </row>
    <row r="391">
      <c r="A391" s="67">
        <f>ROW()-ROW(Table_Actions[N])</f>
        <v>234</v>
      </c>
      <c r="B391" s="57" t="s">
        <v>3386</v>
      </c>
      <c r="C391" s="66" t="b">
        <v>1</v>
      </c>
      <c r="D391" s="62" t="s">
        <v>2503</v>
      </c>
      <c r="E391" s="62" t="s">
        <v>42</v>
      </c>
      <c r="F391" s="62" t="s">
        <v>48</v>
      </c>
      <c r="G391" s="62" t="s">
        <v>185</v>
      </c>
      <c r="H391" s="62" t="s">
        <v>2346</v>
      </c>
      <c r="I391" s="68" t="s">
        <v>183</v>
      </c>
      <c r="J391" s="62" t="s">
        <v>1048</v>
      </c>
      <c r="K391" s="62" t="s">
        <v>184</v>
      </c>
      <c r="L391" s="62" t="s">
        <v>889</v>
      </c>
      <c r="M391" s="62" t="s">
        <v>1075</v>
      </c>
      <c r="N391" s="62" t="s">
        <v>1556</v>
      </c>
      <c r="O391" s="62" t="s">
        <v>2349</v>
      </c>
      <c r="P391" s="30" t="s">
        <v>825</v>
      </c>
      <c r="Q391" s="30" t="s">
        <v>2351</v>
      </c>
      <c r="R391" s="28" t="s">
        <v>3361</v>
      </c>
      <c r="S391" s="69" t="s">
        <v>2352</v>
      </c>
      <c r="T391" s="69" t="s">
        <v>2352</v>
      </c>
      <c r="U391" s="28">
        <v>0.0</v>
      </c>
      <c r="V391" s="70">
        <v>0.0</v>
      </c>
      <c r="W391" s="30" t="s">
        <v>2353</v>
      </c>
    </row>
    <row r="392">
      <c r="A392" s="67">
        <f>ROW()-ROW(Table_Actions[N])</f>
        <v>235</v>
      </c>
      <c r="B392" s="57" t="s">
        <v>3387</v>
      </c>
      <c r="C392" s="66" t="b">
        <v>0</v>
      </c>
      <c r="D392" s="62" t="s">
        <v>2493</v>
      </c>
      <c r="E392" s="62" t="s">
        <v>42</v>
      </c>
      <c r="F392" s="62" t="s">
        <v>48</v>
      </c>
      <c r="G392" s="62" t="s">
        <v>185</v>
      </c>
      <c r="H392" s="62" t="s">
        <v>2346</v>
      </c>
      <c r="I392" s="68" t="s">
        <v>183</v>
      </c>
      <c r="J392" s="62" t="s">
        <v>1048</v>
      </c>
      <c r="K392" s="62" t="s">
        <v>184</v>
      </c>
      <c r="L392" s="62" t="s">
        <v>889</v>
      </c>
      <c r="M392" s="62" t="s">
        <v>1075</v>
      </c>
      <c r="N392" s="62" t="s">
        <v>1556</v>
      </c>
      <c r="O392" s="62" t="s">
        <v>2349</v>
      </c>
      <c r="P392" s="30" t="s">
        <v>825</v>
      </c>
      <c r="Q392" s="30" t="s">
        <v>2380</v>
      </c>
      <c r="R392" s="28" t="s">
        <v>3388</v>
      </c>
      <c r="S392" s="69" t="s">
        <v>2352</v>
      </c>
      <c r="T392" s="69" t="s">
        <v>2352</v>
      </c>
      <c r="U392" s="28">
        <v>0.0</v>
      </c>
      <c r="V392" s="70">
        <v>0.0</v>
      </c>
      <c r="W392" s="30" t="s">
        <v>2353</v>
      </c>
    </row>
    <row r="393">
      <c r="A393" s="67">
        <f>ROW()-ROW(Table_Actions[N])</f>
        <v>236</v>
      </c>
      <c r="B393" s="57" t="s">
        <v>3389</v>
      </c>
      <c r="C393" s="66" t="b">
        <v>1</v>
      </c>
      <c r="D393" s="62" t="s">
        <v>2400</v>
      </c>
      <c r="E393" s="62" t="s">
        <v>42</v>
      </c>
      <c r="F393" s="62" t="s">
        <v>48</v>
      </c>
      <c r="G393" s="62" t="s">
        <v>185</v>
      </c>
      <c r="H393" s="62" t="s">
        <v>2346</v>
      </c>
      <c r="I393" s="68" t="s">
        <v>2166</v>
      </c>
      <c r="J393" s="62" t="s">
        <v>1048</v>
      </c>
      <c r="K393" s="62" t="s">
        <v>184</v>
      </c>
      <c r="L393" s="62" t="s">
        <v>889</v>
      </c>
      <c r="M393" s="62" t="s">
        <v>1075</v>
      </c>
      <c r="N393" s="62" t="s">
        <v>1556</v>
      </c>
      <c r="O393" s="62" t="s">
        <v>2349</v>
      </c>
      <c r="P393" s="30" t="s">
        <v>825</v>
      </c>
      <c r="Q393" s="30" t="s">
        <v>2351</v>
      </c>
      <c r="R393" s="28"/>
      <c r="S393" s="69" t="s">
        <v>2352</v>
      </c>
      <c r="T393" s="69" t="s">
        <v>2352</v>
      </c>
      <c r="U393" s="28">
        <v>0.0</v>
      </c>
      <c r="V393" s="70">
        <v>0.0</v>
      </c>
      <c r="W393" s="30" t="s">
        <v>2353</v>
      </c>
    </row>
    <row r="394">
      <c r="A394" s="67">
        <f>ROW()-ROW(Table_Actions[N])</f>
        <v>237</v>
      </c>
      <c r="B394" s="57" t="s">
        <v>3390</v>
      </c>
      <c r="C394" s="66" t="b">
        <v>1</v>
      </c>
      <c r="D394" s="62" t="s">
        <v>2477</v>
      </c>
      <c r="E394" s="62" t="s">
        <v>42</v>
      </c>
      <c r="F394" s="62" t="s">
        <v>48</v>
      </c>
      <c r="G394" s="62" t="s">
        <v>185</v>
      </c>
      <c r="H394" s="62" t="s">
        <v>2346</v>
      </c>
      <c r="I394" s="68" t="s">
        <v>183</v>
      </c>
      <c r="J394" s="62" t="s">
        <v>1048</v>
      </c>
      <c r="K394" s="62" t="s">
        <v>184</v>
      </c>
      <c r="L394" s="62" t="s">
        <v>1242</v>
      </c>
      <c r="M394" s="62" t="s">
        <v>1075</v>
      </c>
      <c r="N394" s="62" t="s">
        <v>1556</v>
      </c>
      <c r="O394" s="62" t="s">
        <v>2349</v>
      </c>
      <c r="P394" s="30" t="s">
        <v>825</v>
      </c>
      <c r="Q394" s="30" t="s">
        <v>2351</v>
      </c>
      <c r="R394" s="28"/>
      <c r="S394" s="69" t="s">
        <v>2352</v>
      </c>
      <c r="T394" s="69" t="s">
        <v>2352</v>
      </c>
      <c r="U394" s="28">
        <v>0.0</v>
      </c>
      <c r="V394" s="70">
        <v>0.0</v>
      </c>
      <c r="W394" s="30" t="s">
        <v>2353</v>
      </c>
    </row>
    <row r="395">
      <c r="A395" s="67">
        <f>ROW()-ROW(Table_Actions[N])</f>
        <v>238</v>
      </c>
      <c r="B395" s="57" t="s">
        <v>3391</v>
      </c>
      <c r="C395" s="66" t="b">
        <v>1</v>
      </c>
      <c r="D395" s="62" t="s">
        <v>2400</v>
      </c>
      <c r="E395" s="62" t="s">
        <v>42</v>
      </c>
      <c r="F395" s="62" t="s">
        <v>48</v>
      </c>
      <c r="G395" s="62" t="s">
        <v>185</v>
      </c>
      <c r="H395" s="62" t="s">
        <v>2346</v>
      </c>
      <c r="I395" s="68" t="s">
        <v>2164</v>
      </c>
      <c r="J395" s="62" t="s">
        <v>1048</v>
      </c>
      <c r="K395" s="62" t="s">
        <v>184</v>
      </c>
      <c r="L395" s="62" t="s">
        <v>889</v>
      </c>
      <c r="M395" s="62" t="s">
        <v>1075</v>
      </c>
      <c r="N395" s="62" t="s">
        <v>1556</v>
      </c>
      <c r="O395" s="62" t="s">
        <v>2349</v>
      </c>
      <c r="P395" s="30" t="s">
        <v>825</v>
      </c>
      <c r="Q395" s="30" t="s">
        <v>2351</v>
      </c>
      <c r="R395" s="28"/>
      <c r="S395" s="69" t="s">
        <v>2352</v>
      </c>
      <c r="T395" s="69" t="s">
        <v>2352</v>
      </c>
      <c r="U395" s="28">
        <v>0.0</v>
      </c>
      <c r="V395" s="70">
        <v>0.0</v>
      </c>
      <c r="W395" s="30" t="s">
        <v>2353</v>
      </c>
    </row>
    <row r="396">
      <c r="A396" s="67">
        <f>ROW()-ROW(Table_Actions[N])</f>
        <v>239</v>
      </c>
      <c r="B396" s="57" t="s">
        <v>3392</v>
      </c>
      <c r="C396" s="66" t="b">
        <v>1</v>
      </c>
      <c r="D396" s="62" t="s">
        <v>2400</v>
      </c>
      <c r="E396" s="62" t="s">
        <v>42</v>
      </c>
      <c r="F396" s="62" t="s">
        <v>48</v>
      </c>
      <c r="G396" s="62" t="s">
        <v>185</v>
      </c>
      <c r="H396" s="62" t="s">
        <v>2346</v>
      </c>
      <c r="I396" s="68" t="s">
        <v>1411</v>
      </c>
      <c r="J396" s="62" t="s">
        <v>1048</v>
      </c>
      <c r="K396" s="62" t="s">
        <v>184</v>
      </c>
      <c r="L396" s="62" t="s">
        <v>889</v>
      </c>
      <c r="M396" s="62" t="s">
        <v>1075</v>
      </c>
      <c r="N396" s="62" t="s">
        <v>1556</v>
      </c>
      <c r="O396" s="62" t="s">
        <v>2349</v>
      </c>
      <c r="P396" s="30" t="s">
        <v>825</v>
      </c>
      <c r="Q396" s="30" t="s">
        <v>2351</v>
      </c>
      <c r="R396" s="28"/>
      <c r="S396" s="69" t="s">
        <v>2352</v>
      </c>
      <c r="T396" s="69" t="s">
        <v>2352</v>
      </c>
      <c r="U396" s="28">
        <v>0.0</v>
      </c>
      <c r="V396" s="70">
        <v>0.0</v>
      </c>
      <c r="W396" s="30" t="s">
        <v>2353</v>
      </c>
    </row>
    <row r="397">
      <c r="A397" s="67">
        <f>ROW()-ROW(Table_Actions[N])</f>
        <v>240</v>
      </c>
      <c r="B397" s="57" t="s">
        <v>3393</v>
      </c>
      <c r="C397" s="66" t="b">
        <v>1</v>
      </c>
      <c r="D397" s="62" t="s">
        <v>2461</v>
      </c>
      <c r="E397" s="62" t="s">
        <v>73</v>
      </c>
      <c r="F397" s="62" t="s">
        <v>48</v>
      </c>
      <c r="G397" s="62" t="s">
        <v>185</v>
      </c>
      <c r="H397" s="62" t="s">
        <v>2346</v>
      </c>
      <c r="I397" s="68" t="s">
        <v>183</v>
      </c>
      <c r="J397" s="62" t="s">
        <v>1048</v>
      </c>
      <c r="K397" s="62" t="s">
        <v>184</v>
      </c>
      <c r="L397" s="62" t="s">
        <v>889</v>
      </c>
      <c r="M397" s="62" t="s">
        <v>1075</v>
      </c>
      <c r="N397" s="62" t="s">
        <v>2571</v>
      </c>
      <c r="O397" s="62" t="s">
        <v>2349</v>
      </c>
      <c r="P397" s="30" t="s">
        <v>825</v>
      </c>
      <c r="Q397" s="30" t="s">
        <v>2351</v>
      </c>
      <c r="R397" s="28"/>
      <c r="S397" s="69" t="s">
        <v>2352</v>
      </c>
      <c r="T397" s="69" t="s">
        <v>2352</v>
      </c>
      <c r="U397" s="28">
        <v>0.0</v>
      </c>
      <c r="V397" s="70">
        <v>0.0</v>
      </c>
      <c r="W397" s="30" t="s">
        <v>2353</v>
      </c>
    </row>
    <row r="398">
      <c r="A398" s="67">
        <f>ROW()-ROW(Table_Actions[N])</f>
        <v>241</v>
      </c>
      <c r="B398" s="57" t="s">
        <v>3394</v>
      </c>
      <c r="C398" s="66" t="b">
        <v>1</v>
      </c>
      <c r="D398" s="62" t="s">
        <v>2503</v>
      </c>
      <c r="E398" s="62" t="s">
        <v>42</v>
      </c>
      <c r="F398" s="62" t="s">
        <v>48</v>
      </c>
      <c r="G398" s="62" t="s">
        <v>185</v>
      </c>
      <c r="H398" s="62" t="s">
        <v>2346</v>
      </c>
      <c r="I398" s="68" t="s">
        <v>183</v>
      </c>
      <c r="J398" s="62" t="s">
        <v>1048</v>
      </c>
      <c r="K398" s="62" t="s">
        <v>184</v>
      </c>
      <c r="L398" s="62" t="s">
        <v>889</v>
      </c>
      <c r="M398" s="62" t="s">
        <v>1075</v>
      </c>
      <c r="N398" s="62" t="s">
        <v>1556</v>
      </c>
      <c r="O398" s="62" t="s">
        <v>2349</v>
      </c>
      <c r="P398" s="30" t="s">
        <v>825</v>
      </c>
      <c r="Q398" s="30" t="s">
        <v>2351</v>
      </c>
      <c r="R398" s="28" t="s">
        <v>3395</v>
      </c>
      <c r="S398" s="69" t="s">
        <v>2352</v>
      </c>
      <c r="T398" s="69" t="s">
        <v>2352</v>
      </c>
      <c r="U398" s="28">
        <v>0.0</v>
      </c>
      <c r="V398" s="70">
        <v>0.0</v>
      </c>
      <c r="W398" s="30" t="s">
        <v>2353</v>
      </c>
    </row>
    <row r="399">
      <c r="A399" s="67">
        <f>ROW()-ROW(Table_Actions[N])</f>
        <v>242</v>
      </c>
      <c r="B399" s="57" t="s">
        <v>3396</v>
      </c>
      <c r="C399" s="66" t="b">
        <v>0</v>
      </c>
      <c r="D399" s="62" t="s">
        <v>2493</v>
      </c>
      <c r="E399" s="62" t="s">
        <v>42</v>
      </c>
      <c r="F399" s="62" t="s">
        <v>48</v>
      </c>
      <c r="G399" s="62" t="s">
        <v>185</v>
      </c>
      <c r="H399" s="62" t="s">
        <v>2346</v>
      </c>
      <c r="I399" s="68" t="s">
        <v>183</v>
      </c>
      <c r="J399" s="62" t="s">
        <v>1048</v>
      </c>
      <c r="K399" s="62" t="s">
        <v>461</v>
      </c>
      <c r="L399" s="62" t="s">
        <v>889</v>
      </c>
      <c r="M399" s="62" t="s">
        <v>1075</v>
      </c>
      <c r="N399" s="62" t="s">
        <v>1556</v>
      </c>
      <c r="O399" s="62" t="s">
        <v>2349</v>
      </c>
      <c r="P399" s="30" t="s">
        <v>825</v>
      </c>
      <c r="Q399" s="30" t="s">
        <v>2559</v>
      </c>
      <c r="R399" s="28" t="s">
        <v>3341</v>
      </c>
      <c r="S399" s="69" t="s">
        <v>2352</v>
      </c>
      <c r="T399" s="69" t="s">
        <v>2352</v>
      </c>
      <c r="U399" s="28">
        <v>0.0</v>
      </c>
      <c r="V399" s="70">
        <v>0.0</v>
      </c>
      <c r="W399" s="30" t="s">
        <v>2353</v>
      </c>
    </row>
    <row r="400">
      <c r="A400" s="67">
        <f>ROW()-ROW(Table_Actions[N])</f>
        <v>243</v>
      </c>
      <c r="B400" s="57" t="s">
        <v>1428</v>
      </c>
      <c r="C400" s="66" t="b">
        <v>0</v>
      </c>
      <c r="D400" s="62" t="s">
        <v>2477</v>
      </c>
      <c r="E400" s="62" t="s">
        <v>42</v>
      </c>
      <c r="F400" s="62" t="s">
        <v>48</v>
      </c>
      <c r="G400" s="62" t="s">
        <v>185</v>
      </c>
      <c r="H400" s="62" t="s">
        <v>2346</v>
      </c>
      <c r="I400" s="68" t="s">
        <v>183</v>
      </c>
      <c r="J400" s="62" t="s">
        <v>1048</v>
      </c>
      <c r="K400" s="62" t="s">
        <v>184</v>
      </c>
      <c r="L400" s="62" t="s">
        <v>897</v>
      </c>
      <c r="M400" s="62" t="s">
        <v>3187</v>
      </c>
      <c r="N400" s="62" t="s">
        <v>1556</v>
      </c>
      <c r="O400" s="62" t="s">
        <v>2349</v>
      </c>
      <c r="P400" s="30" t="s">
        <v>825</v>
      </c>
      <c r="Q400" s="30" t="s">
        <v>2351</v>
      </c>
      <c r="R400" s="28"/>
      <c r="S400" s="69" t="s">
        <v>2352</v>
      </c>
      <c r="T400" s="69" t="s">
        <v>2352</v>
      </c>
      <c r="U400" s="28">
        <v>0.0</v>
      </c>
      <c r="V400" s="70">
        <v>0.0</v>
      </c>
      <c r="W400" s="30" t="s">
        <v>2353</v>
      </c>
    </row>
    <row r="401">
      <c r="A401" s="67">
        <f>ROW()-ROW(Table_Actions[N])</f>
        <v>244</v>
      </c>
      <c r="B401" s="57" t="s">
        <v>3397</v>
      </c>
      <c r="C401" s="66" t="b">
        <v>1</v>
      </c>
      <c r="D401" s="62" t="s">
        <v>2477</v>
      </c>
      <c r="E401" s="62" t="s">
        <v>42</v>
      </c>
      <c r="F401" s="62" t="s">
        <v>48</v>
      </c>
      <c r="G401" s="62" t="s">
        <v>185</v>
      </c>
      <c r="H401" s="62" t="s">
        <v>2346</v>
      </c>
      <c r="I401" s="68" t="s">
        <v>183</v>
      </c>
      <c r="J401" s="62" t="s">
        <v>1048</v>
      </c>
      <c r="K401" s="62" t="s">
        <v>184</v>
      </c>
      <c r="L401" s="62" t="s">
        <v>897</v>
      </c>
      <c r="M401" s="62" t="s">
        <v>3190</v>
      </c>
      <c r="N401" s="62" t="s">
        <v>1556</v>
      </c>
      <c r="O401" s="62" t="s">
        <v>2349</v>
      </c>
      <c r="P401" s="30" t="s">
        <v>825</v>
      </c>
      <c r="Q401" s="30" t="s">
        <v>2351</v>
      </c>
      <c r="R401" s="28"/>
      <c r="S401" s="69" t="s">
        <v>2352</v>
      </c>
      <c r="T401" s="69" t="s">
        <v>2352</v>
      </c>
      <c r="U401" s="28">
        <v>0.0</v>
      </c>
      <c r="V401" s="70">
        <v>0.0</v>
      </c>
      <c r="W401" s="30" t="s">
        <v>2353</v>
      </c>
    </row>
    <row r="402">
      <c r="A402" s="67">
        <f>ROW()-ROW(Table_Actions[N])</f>
        <v>245</v>
      </c>
      <c r="B402" s="57" t="s">
        <v>3398</v>
      </c>
      <c r="C402" s="66" t="b">
        <v>1</v>
      </c>
      <c r="D402" s="62" t="s">
        <v>2400</v>
      </c>
      <c r="E402" s="62" t="s">
        <v>42</v>
      </c>
      <c r="F402" s="62" t="s">
        <v>48</v>
      </c>
      <c r="G402" s="62" t="s">
        <v>185</v>
      </c>
      <c r="H402" s="62" t="s">
        <v>2346</v>
      </c>
      <c r="I402" s="68" t="s">
        <v>3399</v>
      </c>
      <c r="J402" s="62" t="s">
        <v>1048</v>
      </c>
      <c r="K402" s="62" t="s">
        <v>184</v>
      </c>
      <c r="L402" s="62" t="s">
        <v>889</v>
      </c>
      <c r="M402" s="62" t="s">
        <v>1075</v>
      </c>
      <c r="N402" s="62" t="s">
        <v>1556</v>
      </c>
      <c r="O402" s="62" t="s">
        <v>2349</v>
      </c>
      <c r="P402" s="30" t="s">
        <v>825</v>
      </c>
      <c r="Q402" s="30" t="s">
        <v>2351</v>
      </c>
      <c r="R402" s="28"/>
      <c r="S402" s="69" t="s">
        <v>2352</v>
      </c>
      <c r="T402" s="69" t="s">
        <v>2352</v>
      </c>
      <c r="U402" s="28">
        <v>0.0</v>
      </c>
      <c r="V402" s="70">
        <v>0.0</v>
      </c>
      <c r="W402" s="30" t="s">
        <v>2353</v>
      </c>
    </row>
    <row r="403">
      <c r="A403" s="67">
        <f>ROW()-ROW(Table_Actions[N])</f>
        <v>246</v>
      </c>
      <c r="B403" s="57" t="s">
        <v>3400</v>
      </c>
      <c r="C403" s="66" t="b">
        <v>0</v>
      </c>
      <c r="D403" s="62" t="s">
        <v>2484</v>
      </c>
      <c r="E403" s="62" t="s">
        <v>42</v>
      </c>
      <c r="F403" s="62" t="s">
        <v>48</v>
      </c>
      <c r="G403" s="62" t="s">
        <v>185</v>
      </c>
      <c r="H403" s="62" t="s">
        <v>2346</v>
      </c>
      <c r="I403" s="68" t="s">
        <v>183</v>
      </c>
      <c r="J403" s="62" t="s">
        <v>1048</v>
      </c>
      <c r="K403" s="62" t="s">
        <v>184</v>
      </c>
      <c r="L403" s="62" t="s">
        <v>889</v>
      </c>
      <c r="M403" s="62" t="s">
        <v>1075</v>
      </c>
      <c r="N403" s="62" t="s">
        <v>1556</v>
      </c>
      <c r="O403" s="62" t="s">
        <v>2349</v>
      </c>
      <c r="P403" s="30" t="s">
        <v>2089</v>
      </c>
      <c r="Q403" s="30" t="s">
        <v>2351</v>
      </c>
      <c r="R403" s="28"/>
      <c r="S403" s="69" t="s">
        <v>2352</v>
      </c>
      <c r="T403" s="69" t="s">
        <v>2352</v>
      </c>
      <c r="U403" s="28">
        <v>0.0</v>
      </c>
      <c r="V403" s="70">
        <v>0.0</v>
      </c>
      <c r="W403" s="30" t="s">
        <v>2353</v>
      </c>
    </row>
    <row r="404">
      <c r="A404" s="67">
        <f>ROW()-ROW(Table_Actions[N])</f>
        <v>247</v>
      </c>
      <c r="B404" s="57" t="s">
        <v>3401</v>
      </c>
      <c r="C404" s="66" t="b">
        <v>0</v>
      </c>
      <c r="D404" s="62" t="s">
        <v>2488</v>
      </c>
      <c r="E404" s="62" t="s">
        <v>42</v>
      </c>
      <c r="F404" s="62" t="s">
        <v>48</v>
      </c>
      <c r="G404" s="62" t="s">
        <v>185</v>
      </c>
      <c r="H404" s="62" t="s">
        <v>2346</v>
      </c>
      <c r="I404" s="68" t="s">
        <v>183</v>
      </c>
      <c r="J404" s="62" t="s">
        <v>1048</v>
      </c>
      <c r="K404" s="62" t="s">
        <v>184</v>
      </c>
      <c r="L404" s="62" t="s">
        <v>889</v>
      </c>
      <c r="M404" s="62" t="s">
        <v>1075</v>
      </c>
      <c r="N404" s="62" t="s">
        <v>1556</v>
      </c>
      <c r="O404" s="62" t="s">
        <v>2349</v>
      </c>
      <c r="P404" s="30" t="s">
        <v>2089</v>
      </c>
      <c r="Q404" s="30" t="s">
        <v>2351</v>
      </c>
      <c r="R404" s="28"/>
      <c r="S404" s="69" t="s">
        <v>2352</v>
      </c>
      <c r="T404" s="69" t="s">
        <v>2352</v>
      </c>
      <c r="U404" s="28">
        <v>0.0</v>
      </c>
      <c r="V404" s="70">
        <v>0.0</v>
      </c>
      <c r="W404" s="30" t="s">
        <v>2353</v>
      </c>
    </row>
    <row r="405">
      <c r="A405" s="67">
        <f>ROW()-ROW(Table_Actions[N])</f>
        <v>248</v>
      </c>
      <c r="B405" s="57" t="s">
        <v>3402</v>
      </c>
      <c r="C405" s="66" t="b">
        <v>1</v>
      </c>
      <c r="D405" s="62" t="s">
        <v>2400</v>
      </c>
      <c r="E405" s="62" t="s">
        <v>42</v>
      </c>
      <c r="F405" s="62" t="s">
        <v>48</v>
      </c>
      <c r="G405" s="62" t="s">
        <v>185</v>
      </c>
      <c r="H405" s="62" t="s">
        <v>2346</v>
      </c>
      <c r="I405" s="68" t="s">
        <v>1461</v>
      </c>
      <c r="J405" s="62" t="s">
        <v>1048</v>
      </c>
      <c r="K405" s="62" t="s">
        <v>184</v>
      </c>
      <c r="L405" s="62" t="s">
        <v>889</v>
      </c>
      <c r="M405" s="62" t="s">
        <v>1075</v>
      </c>
      <c r="N405" s="62" t="s">
        <v>1556</v>
      </c>
      <c r="O405" s="62" t="s">
        <v>2349</v>
      </c>
      <c r="P405" s="30" t="s">
        <v>825</v>
      </c>
      <c r="Q405" s="30" t="s">
        <v>2351</v>
      </c>
      <c r="R405" s="28"/>
      <c r="S405" s="69" t="s">
        <v>2352</v>
      </c>
      <c r="T405" s="69" t="s">
        <v>2352</v>
      </c>
      <c r="U405" s="28">
        <v>0.0</v>
      </c>
      <c r="V405" s="70">
        <v>0.0</v>
      </c>
      <c r="W405" s="30" t="s">
        <v>2353</v>
      </c>
    </row>
    <row r="406">
      <c r="A406" s="67">
        <f>ROW()-ROW(Table_Actions[N])</f>
        <v>249</v>
      </c>
      <c r="B406" s="57" t="s">
        <v>2209</v>
      </c>
      <c r="C406" s="66" t="b">
        <v>1</v>
      </c>
      <c r="D406" s="62" t="s">
        <v>2400</v>
      </c>
      <c r="E406" s="62" t="s">
        <v>42</v>
      </c>
      <c r="F406" s="62" t="s">
        <v>48</v>
      </c>
      <c r="G406" s="62" t="s">
        <v>185</v>
      </c>
      <c r="H406" s="62" t="s">
        <v>2346</v>
      </c>
      <c r="I406" s="68" t="s">
        <v>1443</v>
      </c>
      <c r="J406" s="62" t="s">
        <v>1048</v>
      </c>
      <c r="K406" s="62" t="s">
        <v>184</v>
      </c>
      <c r="L406" s="62" t="s">
        <v>889</v>
      </c>
      <c r="M406" s="62" t="s">
        <v>1075</v>
      </c>
      <c r="N406" s="62" t="s">
        <v>1556</v>
      </c>
      <c r="O406" s="62" t="s">
        <v>2349</v>
      </c>
      <c r="P406" s="30" t="s">
        <v>825</v>
      </c>
      <c r="Q406" s="30" t="s">
        <v>2351</v>
      </c>
      <c r="R406" s="28"/>
      <c r="S406" s="69" t="s">
        <v>2352</v>
      </c>
      <c r="T406" s="69" t="s">
        <v>2352</v>
      </c>
      <c r="U406" s="28">
        <v>0.0</v>
      </c>
      <c r="V406" s="70">
        <v>0.0</v>
      </c>
      <c r="W406" s="30" t="s">
        <v>2353</v>
      </c>
    </row>
    <row r="407">
      <c r="A407" s="67">
        <f>ROW()-ROW(Table_Actions[N])</f>
        <v>250</v>
      </c>
      <c r="B407" s="57" t="s">
        <v>2195</v>
      </c>
      <c r="C407" s="66" t="b">
        <v>0</v>
      </c>
      <c r="D407" s="62" t="s">
        <v>2484</v>
      </c>
      <c r="E407" s="62" t="s">
        <v>42</v>
      </c>
      <c r="F407" s="62" t="s">
        <v>48</v>
      </c>
      <c r="G407" s="62" t="s">
        <v>185</v>
      </c>
      <c r="H407" s="62" t="s">
        <v>2346</v>
      </c>
      <c r="I407" s="68" t="s">
        <v>183</v>
      </c>
      <c r="J407" s="62" t="s">
        <v>1048</v>
      </c>
      <c r="K407" s="62" t="s">
        <v>184</v>
      </c>
      <c r="L407" s="62" t="s">
        <v>889</v>
      </c>
      <c r="M407" s="62" t="s">
        <v>1075</v>
      </c>
      <c r="N407" s="62" t="s">
        <v>1556</v>
      </c>
      <c r="O407" s="62" t="s">
        <v>2349</v>
      </c>
      <c r="P407" s="30" t="s">
        <v>2092</v>
      </c>
      <c r="Q407" s="30" t="s">
        <v>2351</v>
      </c>
      <c r="R407" s="28"/>
      <c r="S407" s="69" t="s">
        <v>2352</v>
      </c>
      <c r="T407" s="69" t="s">
        <v>2352</v>
      </c>
      <c r="U407" s="28">
        <v>0.0</v>
      </c>
      <c r="V407" s="70">
        <v>0.0</v>
      </c>
      <c r="W407" s="30" t="s">
        <v>2353</v>
      </c>
    </row>
    <row r="408">
      <c r="A408" s="67">
        <f>ROW()-ROW(Table_Actions[N])</f>
        <v>251</v>
      </c>
      <c r="B408" s="57" t="s">
        <v>1483</v>
      </c>
      <c r="C408" s="66" t="b">
        <v>0</v>
      </c>
      <c r="D408" s="62" t="s">
        <v>2477</v>
      </c>
      <c r="E408" s="62" t="s">
        <v>42</v>
      </c>
      <c r="F408" s="62" t="s">
        <v>48</v>
      </c>
      <c r="G408" s="62" t="s">
        <v>185</v>
      </c>
      <c r="H408" s="62" t="s">
        <v>2346</v>
      </c>
      <c r="I408" s="68" t="s">
        <v>183</v>
      </c>
      <c r="J408" s="62" t="s">
        <v>1048</v>
      </c>
      <c r="K408" s="62" t="s">
        <v>184</v>
      </c>
      <c r="L408" s="62" t="s">
        <v>897</v>
      </c>
      <c r="M408" s="62" t="s">
        <v>3192</v>
      </c>
      <c r="N408" s="62" t="s">
        <v>1556</v>
      </c>
      <c r="O408" s="62" t="s">
        <v>2349</v>
      </c>
      <c r="P408" s="30" t="s">
        <v>825</v>
      </c>
      <c r="Q408" s="30" t="s">
        <v>2351</v>
      </c>
      <c r="R408" s="28"/>
      <c r="S408" s="69" t="s">
        <v>2352</v>
      </c>
      <c r="T408" s="69" t="s">
        <v>2352</v>
      </c>
      <c r="U408" s="28">
        <v>0.0</v>
      </c>
      <c r="V408" s="70">
        <v>0.0</v>
      </c>
      <c r="W408" s="30" t="s">
        <v>2353</v>
      </c>
    </row>
    <row r="409">
      <c r="A409" s="67">
        <f>ROW()-ROW(Table_Actions[N])</f>
        <v>252</v>
      </c>
      <c r="B409" s="57" t="s">
        <v>1496</v>
      </c>
      <c r="C409" s="66" t="b">
        <v>0</v>
      </c>
      <c r="D409" s="62" t="s">
        <v>2477</v>
      </c>
      <c r="E409" s="62" t="s">
        <v>42</v>
      </c>
      <c r="F409" s="62" t="s">
        <v>48</v>
      </c>
      <c r="G409" s="62" t="s">
        <v>185</v>
      </c>
      <c r="H409" s="62" t="s">
        <v>2346</v>
      </c>
      <c r="I409" s="68" t="s">
        <v>183</v>
      </c>
      <c r="J409" s="62" t="s">
        <v>1048</v>
      </c>
      <c r="K409" s="62" t="s">
        <v>184</v>
      </c>
      <c r="L409" s="62" t="s">
        <v>897</v>
      </c>
      <c r="M409" s="62" t="s">
        <v>3194</v>
      </c>
      <c r="N409" s="62" t="s">
        <v>1556</v>
      </c>
      <c r="O409" s="62" t="s">
        <v>2349</v>
      </c>
      <c r="P409" s="30" t="s">
        <v>825</v>
      </c>
      <c r="Q409" s="30" t="s">
        <v>2351</v>
      </c>
      <c r="R409" s="28"/>
      <c r="S409" s="69" t="s">
        <v>2352</v>
      </c>
      <c r="T409" s="69" t="s">
        <v>2352</v>
      </c>
      <c r="U409" s="28">
        <v>0.0</v>
      </c>
      <c r="V409" s="70">
        <v>0.0</v>
      </c>
      <c r="W409" s="30" t="s">
        <v>2353</v>
      </c>
    </row>
    <row r="410">
      <c r="A410" s="67">
        <f>ROW()-ROW(Table_Actions[N])</f>
        <v>253</v>
      </c>
      <c r="B410" s="57" t="s">
        <v>3403</v>
      </c>
      <c r="C410" s="66" t="b">
        <v>0</v>
      </c>
      <c r="D410" s="62" t="s">
        <v>2400</v>
      </c>
      <c r="E410" s="62" t="s">
        <v>42</v>
      </c>
      <c r="F410" s="62" t="s">
        <v>48</v>
      </c>
      <c r="G410" s="62" t="s">
        <v>185</v>
      </c>
      <c r="H410" s="62" t="s">
        <v>2346</v>
      </c>
      <c r="I410" s="68" t="s">
        <v>2218</v>
      </c>
      <c r="J410" s="62" t="s">
        <v>1048</v>
      </c>
      <c r="K410" s="62" t="s">
        <v>184</v>
      </c>
      <c r="L410" s="62" t="s">
        <v>889</v>
      </c>
      <c r="M410" s="62" t="s">
        <v>1075</v>
      </c>
      <c r="N410" s="62" t="s">
        <v>1556</v>
      </c>
      <c r="O410" s="62" t="s">
        <v>2349</v>
      </c>
      <c r="P410" s="30" t="s">
        <v>825</v>
      </c>
      <c r="Q410" s="30" t="s">
        <v>2351</v>
      </c>
      <c r="R410" s="28"/>
      <c r="S410" s="69" t="s">
        <v>2352</v>
      </c>
      <c r="T410" s="69" t="s">
        <v>2352</v>
      </c>
      <c r="U410" s="28">
        <v>0.0</v>
      </c>
      <c r="V410" s="70">
        <v>0.0</v>
      </c>
      <c r="W410" s="30" t="s">
        <v>2353</v>
      </c>
    </row>
    <row r="411">
      <c r="A411" s="67">
        <f>ROW()-ROW(Table_Actions[N])</f>
        <v>254</v>
      </c>
      <c r="B411" s="57" t="s">
        <v>3404</v>
      </c>
      <c r="C411" s="66" t="b">
        <v>0</v>
      </c>
      <c r="D411" s="62" t="s">
        <v>2400</v>
      </c>
      <c r="E411" s="62" t="s">
        <v>42</v>
      </c>
      <c r="F411" s="62" t="s">
        <v>48</v>
      </c>
      <c r="G411" s="62" t="s">
        <v>185</v>
      </c>
      <c r="H411" s="62" t="s">
        <v>2346</v>
      </c>
      <c r="I411" s="68" t="s">
        <v>3405</v>
      </c>
      <c r="J411" s="62" t="s">
        <v>1048</v>
      </c>
      <c r="K411" s="62" t="s">
        <v>184</v>
      </c>
      <c r="L411" s="62" t="s">
        <v>889</v>
      </c>
      <c r="M411" s="62" t="s">
        <v>1075</v>
      </c>
      <c r="N411" s="62" t="s">
        <v>1556</v>
      </c>
      <c r="O411" s="62" t="s">
        <v>2349</v>
      </c>
      <c r="P411" s="30" t="s">
        <v>825</v>
      </c>
      <c r="Q411" s="30" t="s">
        <v>2351</v>
      </c>
      <c r="R411" s="28"/>
      <c r="S411" s="69" t="s">
        <v>2352</v>
      </c>
      <c r="T411" s="69" t="s">
        <v>2352</v>
      </c>
      <c r="U411" s="28">
        <v>0.0</v>
      </c>
      <c r="V411" s="70">
        <v>0.0</v>
      </c>
      <c r="W411" s="30" t="s">
        <v>2353</v>
      </c>
    </row>
    <row r="412">
      <c r="A412" s="67">
        <f>ROW()-ROW(Table_Actions[N])</f>
        <v>255</v>
      </c>
      <c r="B412" s="88" t="s">
        <v>3406</v>
      </c>
      <c r="C412" s="89" t="b">
        <v>1</v>
      </c>
      <c r="D412" s="90" t="s">
        <v>2477</v>
      </c>
      <c r="E412" s="90" t="s">
        <v>42</v>
      </c>
      <c r="F412" s="90" t="s">
        <v>48</v>
      </c>
      <c r="G412" s="90" t="s">
        <v>185</v>
      </c>
      <c r="H412" s="90" t="s">
        <v>2346</v>
      </c>
      <c r="I412" s="91" t="s">
        <v>183</v>
      </c>
      <c r="J412" s="90" t="s">
        <v>1048</v>
      </c>
      <c r="K412" s="90" t="s">
        <v>184</v>
      </c>
      <c r="L412" s="90" t="s">
        <v>897</v>
      </c>
      <c r="M412" s="92" t="s">
        <v>3197</v>
      </c>
      <c r="N412" s="90" t="s">
        <v>1556</v>
      </c>
      <c r="O412" s="90" t="s">
        <v>2349</v>
      </c>
      <c r="P412" s="90" t="s">
        <v>825</v>
      </c>
      <c r="Q412" s="90" t="s">
        <v>2351</v>
      </c>
      <c r="R412" s="93"/>
      <c r="S412" s="69" t="s">
        <v>2352</v>
      </c>
      <c r="T412" s="69" t="s">
        <v>2352</v>
      </c>
      <c r="U412" s="28">
        <v>0.0</v>
      </c>
      <c r="V412" s="70">
        <v>0.0</v>
      </c>
      <c r="W412" s="94" t="s">
        <v>2353</v>
      </c>
    </row>
    <row r="413">
      <c r="A413" s="67">
        <f>ROW()-ROW(Table_Actions[N])</f>
        <v>256</v>
      </c>
      <c r="B413" s="88" t="s">
        <v>1511</v>
      </c>
      <c r="C413" s="95" t="b">
        <v>0</v>
      </c>
      <c r="D413" s="92" t="s">
        <v>2477</v>
      </c>
      <c r="E413" s="92" t="s">
        <v>42</v>
      </c>
      <c r="F413" s="92" t="s">
        <v>48</v>
      </c>
      <c r="G413" s="92" t="s">
        <v>185</v>
      </c>
      <c r="H413" s="92" t="s">
        <v>2346</v>
      </c>
      <c r="I413" s="96" t="s">
        <v>183</v>
      </c>
      <c r="J413" s="92" t="s">
        <v>1048</v>
      </c>
      <c r="K413" s="92" t="s">
        <v>184</v>
      </c>
      <c r="L413" s="92" t="s">
        <v>897</v>
      </c>
      <c r="M413" s="92" t="s">
        <v>3199</v>
      </c>
      <c r="N413" s="92" t="s">
        <v>1556</v>
      </c>
      <c r="O413" s="92" t="s">
        <v>2349</v>
      </c>
      <c r="P413" s="92" t="s">
        <v>825</v>
      </c>
      <c r="Q413" s="92" t="s">
        <v>2351</v>
      </c>
      <c r="R413" s="93"/>
      <c r="S413" s="69" t="s">
        <v>2352</v>
      </c>
      <c r="T413" s="69" t="s">
        <v>2352</v>
      </c>
      <c r="U413" s="28">
        <v>0.0</v>
      </c>
      <c r="V413" s="70">
        <v>0.0</v>
      </c>
      <c r="W413" s="97" t="s">
        <v>2353</v>
      </c>
    </row>
    <row r="414">
      <c r="A414" s="67">
        <f>ROW()-ROW(Table_Actions[N])</f>
        <v>257</v>
      </c>
      <c r="B414" s="88" t="s">
        <v>1519</v>
      </c>
      <c r="C414" s="95" t="b">
        <v>0</v>
      </c>
      <c r="D414" s="92" t="s">
        <v>2477</v>
      </c>
      <c r="E414" s="92" t="s">
        <v>42</v>
      </c>
      <c r="F414" s="92" t="s">
        <v>48</v>
      </c>
      <c r="G414" s="92" t="s">
        <v>185</v>
      </c>
      <c r="H414" s="92" t="s">
        <v>2346</v>
      </c>
      <c r="I414" s="96" t="s">
        <v>183</v>
      </c>
      <c r="J414" s="92" t="s">
        <v>1048</v>
      </c>
      <c r="K414" s="92" t="s">
        <v>184</v>
      </c>
      <c r="L414" s="92" t="s">
        <v>897</v>
      </c>
      <c r="M414" s="92" t="s">
        <v>3201</v>
      </c>
      <c r="N414" s="92" t="s">
        <v>1556</v>
      </c>
      <c r="O414" s="92" t="s">
        <v>2349</v>
      </c>
      <c r="P414" s="92" t="s">
        <v>825</v>
      </c>
      <c r="Q414" s="92" t="s">
        <v>2351</v>
      </c>
      <c r="R414" s="93"/>
      <c r="S414" s="69" t="s">
        <v>2352</v>
      </c>
      <c r="T414" s="69" t="s">
        <v>2352</v>
      </c>
      <c r="U414" s="28">
        <v>0.0</v>
      </c>
      <c r="V414" s="70">
        <v>0.0</v>
      </c>
      <c r="W414" s="97" t="s">
        <v>2353</v>
      </c>
    </row>
    <row r="415">
      <c r="A415" s="67">
        <f>ROW()-ROW(Table_Actions[N])</f>
        <v>258</v>
      </c>
      <c r="B415" s="88" t="s">
        <v>1530</v>
      </c>
      <c r="C415" s="95" t="b">
        <v>0</v>
      </c>
      <c r="D415" s="92" t="s">
        <v>2477</v>
      </c>
      <c r="E415" s="92" t="s">
        <v>42</v>
      </c>
      <c r="F415" s="92" t="s">
        <v>48</v>
      </c>
      <c r="G415" s="92" t="s">
        <v>185</v>
      </c>
      <c r="H415" s="92" t="s">
        <v>2346</v>
      </c>
      <c r="I415" s="96" t="s">
        <v>183</v>
      </c>
      <c r="J415" s="92" t="s">
        <v>1048</v>
      </c>
      <c r="K415" s="92" t="s">
        <v>184</v>
      </c>
      <c r="L415" s="92" t="s">
        <v>1250</v>
      </c>
      <c r="M415" s="92" t="s">
        <v>1075</v>
      </c>
      <c r="N415" s="92" t="s">
        <v>1556</v>
      </c>
      <c r="O415" s="92" t="s">
        <v>2349</v>
      </c>
      <c r="P415" s="92" t="s">
        <v>825</v>
      </c>
      <c r="Q415" s="92" t="s">
        <v>2351</v>
      </c>
      <c r="R415" s="93"/>
      <c r="S415" s="69" t="s">
        <v>2352</v>
      </c>
      <c r="T415" s="69" t="s">
        <v>2352</v>
      </c>
      <c r="U415" s="28">
        <v>0.0</v>
      </c>
      <c r="V415" s="70">
        <v>0.0</v>
      </c>
      <c r="W415" s="97" t="s">
        <v>2353</v>
      </c>
    </row>
    <row r="416">
      <c r="A416" s="67">
        <f>ROW()-ROW(Table_Actions[N])</f>
        <v>259</v>
      </c>
      <c r="B416" s="88" t="s">
        <v>1546</v>
      </c>
      <c r="C416" s="95" t="b">
        <v>0</v>
      </c>
      <c r="D416" s="92" t="s">
        <v>2477</v>
      </c>
      <c r="E416" s="92" t="s">
        <v>42</v>
      </c>
      <c r="F416" s="92" t="s">
        <v>48</v>
      </c>
      <c r="G416" s="92" t="s">
        <v>185</v>
      </c>
      <c r="H416" s="92" t="s">
        <v>2346</v>
      </c>
      <c r="I416" s="96" t="s">
        <v>183</v>
      </c>
      <c r="J416" s="92" t="s">
        <v>1048</v>
      </c>
      <c r="K416" s="92" t="s">
        <v>184</v>
      </c>
      <c r="L416" s="92" t="s">
        <v>1258</v>
      </c>
      <c r="M416" s="92" t="s">
        <v>1075</v>
      </c>
      <c r="N416" s="92" t="s">
        <v>1556</v>
      </c>
      <c r="O416" s="92" t="s">
        <v>2349</v>
      </c>
      <c r="P416" s="92" t="s">
        <v>825</v>
      </c>
      <c r="Q416" s="92" t="s">
        <v>2351</v>
      </c>
      <c r="R416" s="93"/>
      <c r="S416" s="69" t="s">
        <v>2352</v>
      </c>
      <c r="T416" s="69" t="s">
        <v>2352</v>
      </c>
      <c r="U416" s="28">
        <v>0.0</v>
      </c>
      <c r="V416" s="70">
        <v>0.0</v>
      </c>
      <c r="W416" s="97" t="s">
        <v>2353</v>
      </c>
    </row>
    <row r="417">
      <c r="A417" s="67">
        <f>ROW()-ROW(Table_Actions[N])</f>
        <v>260</v>
      </c>
      <c r="B417" s="57" t="s">
        <v>3407</v>
      </c>
      <c r="C417" s="66" t="b">
        <v>0</v>
      </c>
      <c r="D417" s="62" t="s">
        <v>2454</v>
      </c>
      <c r="E417" s="62" t="s">
        <v>795</v>
      </c>
      <c r="F417" s="62" t="s">
        <v>48</v>
      </c>
      <c r="G417" s="62" t="s">
        <v>185</v>
      </c>
      <c r="H417" s="62" t="s">
        <v>2346</v>
      </c>
      <c r="I417" s="68" t="s">
        <v>183</v>
      </c>
      <c r="J417" s="62" t="s">
        <v>1048</v>
      </c>
      <c r="K417" s="62" t="s">
        <v>184</v>
      </c>
      <c r="L417" s="62" t="s">
        <v>889</v>
      </c>
      <c r="M417" s="62" t="s">
        <v>1075</v>
      </c>
      <c r="N417" s="62" t="s">
        <v>1556</v>
      </c>
      <c r="O417" s="62" t="s">
        <v>2349</v>
      </c>
      <c r="P417" s="30" t="s">
        <v>825</v>
      </c>
      <c r="Q417" s="30" t="s">
        <v>2351</v>
      </c>
      <c r="R417" s="28"/>
      <c r="S417" s="69" t="s">
        <v>2352</v>
      </c>
      <c r="T417" s="69" t="s">
        <v>2352</v>
      </c>
      <c r="U417" s="28">
        <v>0.0</v>
      </c>
      <c r="V417" s="70">
        <v>1.0</v>
      </c>
      <c r="W417" s="30" t="s">
        <v>2353</v>
      </c>
    </row>
    <row r="418">
      <c r="A418" s="67">
        <f>ROW()-ROW(Table_Actions[N])</f>
        <v>261</v>
      </c>
      <c r="B418" s="57" t="s">
        <v>3408</v>
      </c>
      <c r="C418" s="66" t="b">
        <v>0</v>
      </c>
      <c r="D418" s="62" t="s">
        <v>2456</v>
      </c>
      <c r="E418" s="62" t="s">
        <v>795</v>
      </c>
      <c r="F418" s="62" t="s">
        <v>48</v>
      </c>
      <c r="G418" s="62" t="s">
        <v>185</v>
      </c>
      <c r="H418" s="62" t="s">
        <v>2346</v>
      </c>
      <c r="I418" s="68" t="s">
        <v>183</v>
      </c>
      <c r="J418" s="62" t="s">
        <v>1048</v>
      </c>
      <c r="K418" s="62" t="s">
        <v>184</v>
      </c>
      <c r="L418" s="62" t="s">
        <v>889</v>
      </c>
      <c r="M418" s="62" t="s">
        <v>1075</v>
      </c>
      <c r="N418" s="62" t="s">
        <v>1556</v>
      </c>
      <c r="O418" s="62" t="s">
        <v>2349</v>
      </c>
      <c r="P418" s="30" t="s">
        <v>825</v>
      </c>
      <c r="Q418" s="30" t="s">
        <v>2351</v>
      </c>
      <c r="R418" s="28"/>
      <c r="S418" s="69" t="s">
        <v>2352</v>
      </c>
      <c r="T418" s="69" t="s">
        <v>2352</v>
      </c>
      <c r="U418" s="28">
        <v>0.0</v>
      </c>
      <c r="V418" s="70">
        <v>0.0</v>
      </c>
      <c r="W418" s="30" t="s">
        <v>2353</v>
      </c>
    </row>
    <row r="419">
      <c r="A419" s="67">
        <f>ROW()-ROW(Table_Actions[N])</f>
        <v>262</v>
      </c>
      <c r="B419" s="57" t="s">
        <v>3409</v>
      </c>
      <c r="C419" s="66" t="b">
        <v>1</v>
      </c>
      <c r="D419" s="62" t="s">
        <v>2461</v>
      </c>
      <c r="E419" s="62" t="s">
        <v>857</v>
      </c>
      <c r="F419" s="62" t="s">
        <v>48</v>
      </c>
      <c r="G419" s="62" t="s">
        <v>185</v>
      </c>
      <c r="H419" s="62" t="s">
        <v>2346</v>
      </c>
      <c r="I419" s="68" t="s">
        <v>183</v>
      </c>
      <c r="J419" s="62" t="s">
        <v>1048</v>
      </c>
      <c r="K419" s="62" t="s">
        <v>184</v>
      </c>
      <c r="L419" s="62" t="s">
        <v>889</v>
      </c>
      <c r="M419" s="62" t="s">
        <v>1075</v>
      </c>
      <c r="N419" s="62" t="s">
        <v>1644</v>
      </c>
      <c r="O419" s="62" t="s">
        <v>2349</v>
      </c>
      <c r="P419" s="30" t="s">
        <v>825</v>
      </c>
      <c r="Q419" s="30" t="s">
        <v>2351</v>
      </c>
      <c r="S419" s="69" t="s">
        <v>2352</v>
      </c>
      <c r="T419" s="69" t="s">
        <v>2352</v>
      </c>
      <c r="U419" s="28">
        <v>0.0</v>
      </c>
      <c r="V419" s="70">
        <v>0.0</v>
      </c>
      <c r="W419" s="30" t="s">
        <v>2353</v>
      </c>
    </row>
    <row r="420">
      <c r="A420" s="67">
        <f>ROW()-ROW(Table_Actions[N])</f>
        <v>263</v>
      </c>
      <c r="B420" s="57" t="s">
        <v>3410</v>
      </c>
      <c r="C420" s="66" t="b">
        <v>0</v>
      </c>
      <c r="D420" s="62" t="s">
        <v>2461</v>
      </c>
      <c r="E420" s="62" t="s">
        <v>857</v>
      </c>
      <c r="F420" s="62" t="s">
        <v>48</v>
      </c>
      <c r="G420" s="62" t="s">
        <v>185</v>
      </c>
      <c r="H420" s="62" t="s">
        <v>2346</v>
      </c>
      <c r="I420" s="68" t="s">
        <v>183</v>
      </c>
      <c r="J420" s="62" t="s">
        <v>1048</v>
      </c>
      <c r="K420" s="62" t="s">
        <v>184</v>
      </c>
      <c r="L420" s="62" t="s">
        <v>889</v>
      </c>
      <c r="M420" s="62" t="s">
        <v>1075</v>
      </c>
      <c r="N420" s="62" t="s">
        <v>2520</v>
      </c>
      <c r="O420" s="62" t="s">
        <v>2349</v>
      </c>
      <c r="P420" s="30" t="s">
        <v>825</v>
      </c>
      <c r="Q420" s="30" t="s">
        <v>2351</v>
      </c>
      <c r="S420" s="69" t="s">
        <v>2389</v>
      </c>
      <c r="T420" s="69" t="s">
        <v>2352</v>
      </c>
      <c r="U420" s="28">
        <v>0.0</v>
      </c>
      <c r="V420" s="70">
        <v>0.0</v>
      </c>
      <c r="W420" s="30" t="s">
        <v>2353</v>
      </c>
    </row>
    <row r="421">
      <c r="A421" s="67">
        <f>ROW()-ROW(Table_Actions[N])</f>
        <v>264</v>
      </c>
      <c r="B421" s="57" t="s">
        <v>3411</v>
      </c>
      <c r="C421" s="66" t="b">
        <v>0</v>
      </c>
      <c r="D421" s="62" t="s">
        <v>2493</v>
      </c>
      <c r="E421" s="62" t="s">
        <v>42</v>
      </c>
      <c r="F421" s="62" t="s">
        <v>48</v>
      </c>
      <c r="G421" s="62" t="s">
        <v>185</v>
      </c>
      <c r="H421" s="62" t="s">
        <v>2346</v>
      </c>
      <c r="I421" s="68" t="s">
        <v>183</v>
      </c>
      <c r="J421" s="62" t="s">
        <v>1048</v>
      </c>
      <c r="K421" s="62" t="s">
        <v>461</v>
      </c>
      <c r="L421" s="62" t="s">
        <v>889</v>
      </c>
      <c r="M421" s="62" t="s">
        <v>1075</v>
      </c>
      <c r="N421" s="62" t="s">
        <v>1556</v>
      </c>
      <c r="O421" s="62" t="s">
        <v>2349</v>
      </c>
      <c r="P421" s="30" t="s">
        <v>825</v>
      </c>
      <c r="Q421" s="30" t="s">
        <v>2608</v>
      </c>
      <c r="R421" s="28" t="s">
        <v>3341</v>
      </c>
      <c r="S421" s="69" t="s">
        <v>2352</v>
      </c>
      <c r="T421" s="69" t="s">
        <v>2352</v>
      </c>
      <c r="U421" s="28">
        <v>0.0</v>
      </c>
      <c r="V421" s="70">
        <v>540.0</v>
      </c>
      <c r="W421" s="30" t="s">
        <v>2353</v>
      </c>
    </row>
    <row r="422">
      <c r="A422" s="67">
        <f>ROW()-ROW(Table_Actions[N])</f>
        <v>265</v>
      </c>
      <c r="B422" s="57" t="s">
        <v>2234</v>
      </c>
      <c r="C422" s="66" t="b">
        <v>1</v>
      </c>
      <c r="D422" s="62" t="s">
        <v>2477</v>
      </c>
      <c r="E422" s="62" t="s">
        <v>42</v>
      </c>
      <c r="F422" s="62" t="s">
        <v>48</v>
      </c>
      <c r="G422" s="62" t="s">
        <v>185</v>
      </c>
      <c r="H422" s="62" t="s">
        <v>2346</v>
      </c>
      <c r="I422" s="68" t="s">
        <v>183</v>
      </c>
      <c r="J422" s="62" t="s">
        <v>1048</v>
      </c>
      <c r="K422" s="62" t="s">
        <v>184</v>
      </c>
      <c r="L422" s="62" t="s">
        <v>1268</v>
      </c>
      <c r="M422" s="62" t="s">
        <v>1075</v>
      </c>
      <c r="N422" s="62" t="s">
        <v>1556</v>
      </c>
      <c r="O422" s="62" t="s">
        <v>2349</v>
      </c>
      <c r="P422" s="30" t="s">
        <v>825</v>
      </c>
      <c r="Q422" s="30" t="s">
        <v>2351</v>
      </c>
      <c r="S422" s="69" t="s">
        <v>2352</v>
      </c>
      <c r="T422" s="69" t="s">
        <v>2352</v>
      </c>
      <c r="U422" s="28">
        <v>0.0</v>
      </c>
      <c r="V422" s="70">
        <v>0.0</v>
      </c>
      <c r="W422" s="30" t="s">
        <v>2353</v>
      </c>
    </row>
    <row r="423">
      <c r="A423" s="67">
        <f>ROW()-ROW(Table_Actions[N])</f>
        <v>266</v>
      </c>
      <c r="B423" s="57" t="s">
        <v>3412</v>
      </c>
      <c r="C423" s="66" t="b">
        <v>1</v>
      </c>
      <c r="D423" s="62" t="s">
        <v>2503</v>
      </c>
      <c r="E423" s="62" t="s">
        <v>42</v>
      </c>
      <c r="F423" s="62" t="s">
        <v>48</v>
      </c>
      <c r="G423" s="62" t="s">
        <v>185</v>
      </c>
      <c r="H423" s="62" t="s">
        <v>2346</v>
      </c>
      <c r="I423" s="68" t="s">
        <v>183</v>
      </c>
      <c r="J423" s="62" t="s">
        <v>1048</v>
      </c>
      <c r="K423" s="62" t="s">
        <v>184</v>
      </c>
      <c r="L423" s="62" t="s">
        <v>889</v>
      </c>
      <c r="M423" s="62" t="s">
        <v>1075</v>
      </c>
      <c r="N423" s="62" t="s">
        <v>1556</v>
      </c>
      <c r="O423" s="62" t="s">
        <v>2349</v>
      </c>
      <c r="P423" s="30" t="s">
        <v>825</v>
      </c>
      <c r="Q423" s="30" t="s">
        <v>2351</v>
      </c>
      <c r="R423" s="28" t="s">
        <v>3413</v>
      </c>
      <c r="S423" s="69" t="s">
        <v>2352</v>
      </c>
      <c r="T423" s="69" t="s">
        <v>2352</v>
      </c>
      <c r="U423" s="28">
        <v>0.0</v>
      </c>
      <c r="V423" s="70">
        <v>0.0</v>
      </c>
      <c r="W423" s="30" t="s">
        <v>2353</v>
      </c>
    </row>
    <row r="424">
      <c r="A424" s="67">
        <f>ROW()-ROW(Table_Actions[N])</f>
        <v>267</v>
      </c>
      <c r="B424" s="57" t="s">
        <v>3414</v>
      </c>
      <c r="C424" s="66" t="b">
        <v>0</v>
      </c>
      <c r="D424" s="62" t="s">
        <v>2493</v>
      </c>
      <c r="E424" s="62" t="s">
        <v>42</v>
      </c>
      <c r="F424" s="62" t="s">
        <v>48</v>
      </c>
      <c r="G424" s="62" t="s">
        <v>185</v>
      </c>
      <c r="H424" s="62" t="s">
        <v>2346</v>
      </c>
      <c r="I424" s="68" t="s">
        <v>183</v>
      </c>
      <c r="J424" s="62" t="s">
        <v>1048</v>
      </c>
      <c r="K424" s="62" t="s">
        <v>461</v>
      </c>
      <c r="L424" s="62" t="s">
        <v>889</v>
      </c>
      <c r="M424" s="62" t="s">
        <v>1075</v>
      </c>
      <c r="N424" s="62" t="s">
        <v>1556</v>
      </c>
      <c r="O424" s="62" t="s">
        <v>2349</v>
      </c>
      <c r="P424" s="30" t="s">
        <v>825</v>
      </c>
      <c r="Q424" s="30" t="s">
        <v>2622</v>
      </c>
      <c r="R424" s="28" t="s">
        <v>3341</v>
      </c>
      <c r="S424" s="69" t="s">
        <v>2352</v>
      </c>
      <c r="T424" s="69" t="s">
        <v>2352</v>
      </c>
      <c r="U424" s="28">
        <v>0.0</v>
      </c>
      <c r="V424" s="70">
        <v>540.0</v>
      </c>
      <c r="W424" s="30" t="s">
        <v>2353</v>
      </c>
    </row>
    <row r="425">
      <c r="A425" s="67">
        <f>ROW()-ROW(Table_Actions[N])</f>
        <v>268</v>
      </c>
      <c r="B425" s="57" t="s">
        <v>2248</v>
      </c>
      <c r="C425" s="66" t="b">
        <v>0</v>
      </c>
      <c r="D425" s="62" t="s">
        <v>2484</v>
      </c>
      <c r="E425" s="62" t="s">
        <v>42</v>
      </c>
      <c r="F425" s="62" t="s">
        <v>48</v>
      </c>
      <c r="G425" s="62" t="s">
        <v>185</v>
      </c>
      <c r="H425" s="62" t="s">
        <v>2346</v>
      </c>
      <c r="I425" s="68" t="s">
        <v>183</v>
      </c>
      <c r="J425" s="62" t="s">
        <v>1048</v>
      </c>
      <c r="K425" s="62" t="s">
        <v>184</v>
      </c>
      <c r="L425" s="62" t="s">
        <v>889</v>
      </c>
      <c r="M425" s="62" t="s">
        <v>1075</v>
      </c>
      <c r="N425" s="62" t="s">
        <v>1556</v>
      </c>
      <c r="O425" s="62" t="s">
        <v>2349</v>
      </c>
      <c r="P425" s="30" t="s">
        <v>2213</v>
      </c>
      <c r="Q425" s="30" t="s">
        <v>2351</v>
      </c>
      <c r="S425" s="30" t="s">
        <v>2352</v>
      </c>
      <c r="T425" s="30" t="s">
        <v>2352</v>
      </c>
      <c r="U425" s="28">
        <v>0.0</v>
      </c>
      <c r="V425" s="70">
        <v>0.0</v>
      </c>
      <c r="W425" s="30" t="s">
        <v>2353</v>
      </c>
    </row>
    <row r="426">
      <c r="A426" s="67">
        <f>ROW()-ROW(Table_Actions[N])</f>
        <v>269</v>
      </c>
      <c r="B426" s="57" t="s">
        <v>1559</v>
      </c>
      <c r="C426" s="66" t="b">
        <v>0</v>
      </c>
      <c r="D426" s="62" t="s">
        <v>2477</v>
      </c>
      <c r="E426" s="62" t="s">
        <v>42</v>
      </c>
      <c r="F426" s="62" t="s">
        <v>48</v>
      </c>
      <c r="G426" s="62" t="s">
        <v>185</v>
      </c>
      <c r="H426" s="62" t="s">
        <v>2346</v>
      </c>
      <c r="I426" s="68" t="s">
        <v>183</v>
      </c>
      <c r="J426" s="62" t="s">
        <v>1048</v>
      </c>
      <c r="K426" s="62" t="s">
        <v>184</v>
      </c>
      <c r="L426" s="62" t="s">
        <v>897</v>
      </c>
      <c r="M426" s="62" t="s">
        <v>3239</v>
      </c>
      <c r="N426" s="62" t="s">
        <v>1556</v>
      </c>
      <c r="O426" s="62" t="s">
        <v>2349</v>
      </c>
      <c r="P426" s="30" t="s">
        <v>825</v>
      </c>
      <c r="Q426" s="30" t="s">
        <v>2351</v>
      </c>
      <c r="R426" s="28"/>
      <c r="S426" s="69" t="s">
        <v>2352</v>
      </c>
      <c r="T426" s="69" t="s">
        <v>2352</v>
      </c>
      <c r="U426" s="28">
        <v>0.0</v>
      </c>
      <c r="V426" s="70">
        <v>0.0</v>
      </c>
      <c r="W426" s="30" t="s">
        <v>2353</v>
      </c>
    </row>
    <row r="427">
      <c r="A427" s="67">
        <f>ROW()-ROW(Table_Actions[N])</f>
        <v>270</v>
      </c>
      <c r="B427" s="57" t="s">
        <v>1576</v>
      </c>
      <c r="C427" s="66" t="b">
        <v>0</v>
      </c>
      <c r="D427" s="62" t="s">
        <v>2477</v>
      </c>
      <c r="E427" s="62" t="s">
        <v>42</v>
      </c>
      <c r="F427" s="62" t="s">
        <v>48</v>
      </c>
      <c r="G427" s="62" t="s">
        <v>185</v>
      </c>
      <c r="H427" s="62" t="s">
        <v>2346</v>
      </c>
      <c r="I427" s="68" t="s">
        <v>183</v>
      </c>
      <c r="J427" s="62" t="s">
        <v>1048</v>
      </c>
      <c r="K427" s="62" t="s">
        <v>184</v>
      </c>
      <c r="L427" s="62" t="s">
        <v>95</v>
      </c>
      <c r="M427" s="62" t="s">
        <v>1075</v>
      </c>
      <c r="N427" s="62" t="s">
        <v>1556</v>
      </c>
      <c r="O427" s="62" t="s">
        <v>2349</v>
      </c>
      <c r="P427" s="30" t="s">
        <v>825</v>
      </c>
      <c r="Q427" s="30" t="s">
        <v>2351</v>
      </c>
      <c r="R427" s="28"/>
      <c r="S427" s="30" t="s">
        <v>2352</v>
      </c>
      <c r="T427" s="30" t="s">
        <v>2352</v>
      </c>
      <c r="U427" s="28">
        <v>0.0</v>
      </c>
      <c r="V427" s="70">
        <v>0.0</v>
      </c>
      <c r="W427" s="30" t="s">
        <v>2353</v>
      </c>
    </row>
    <row r="428">
      <c r="A428" s="67">
        <f>ROW()-ROW(Table_Actions[N])</f>
        <v>271</v>
      </c>
      <c r="B428" s="57" t="s">
        <v>3415</v>
      </c>
      <c r="C428" s="66" t="b">
        <v>1</v>
      </c>
      <c r="D428" s="62" t="s">
        <v>2461</v>
      </c>
      <c r="E428" s="62" t="s">
        <v>98</v>
      </c>
      <c r="F428" s="62" t="s">
        <v>48</v>
      </c>
      <c r="G428" s="62" t="s">
        <v>185</v>
      </c>
      <c r="H428" s="62" t="s">
        <v>2346</v>
      </c>
      <c r="I428" s="68" t="s">
        <v>183</v>
      </c>
      <c r="J428" s="62" t="s">
        <v>1048</v>
      </c>
      <c r="K428" s="62" t="s">
        <v>184</v>
      </c>
      <c r="L428" s="62" t="s">
        <v>889</v>
      </c>
      <c r="M428" s="62" t="s">
        <v>1075</v>
      </c>
      <c r="N428" s="62" t="s">
        <v>2520</v>
      </c>
      <c r="O428" s="62" t="s">
        <v>2349</v>
      </c>
      <c r="P428" s="30" t="s">
        <v>825</v>
      </c>
      <c r="Q428" s="30" t="s">
        <v>2351</v>
      </c>
      <c r="S428" s="69" t="s">
        <v>2352</v>
      </c>
      <c r="T428" s="69" t="s">
        <v>2352</v>
      </c>
      <c r="U428" s="28">
        <v>0.0</v>
      </c>
      <c r="V428" s="70">
        <v>0.0</v>
      </c>
      <c r="W428" s="30" t="s">
        <v>2353</v>
      </c>
    </row>
    <row r="429">
      <c r="A429" s="67">
        <f>ROW()-ROW(Table_Actions[N])</f>
        <v>272</v>
      </c>
      <c r="B429" s="57" t="s">
        <v>3416</v>
      </c>
      <c r="C429" s="66" t="b">
        <v>0</v>
      </c>
      <c r="D429" s="62" t="s">
        <v>2447</v>
      </c>
      <c r="E429" s="62" t="s">
        <v>98</v>
      </c>
      <c r="F429" s="62" t="s">
        <v>48</v>
      </c>
      <c r="G429" s="62" t="s">
        <v>185</v>
      </c>
      <c r="H429" s="62" t="s">
        <v>2346</v>
      </c>
      <c r="I429" s="68" t="s">
        <v>183</v>
      </c>
      <c r="J429" s="62" t="s">
        <v>1048</v>
      </c>
      <c r="K429" s="62" t="s">
        <v>184</v>
      </c>
      <c r="L429" s="62" t="s">
        <v>889</v>
      </c>
      <c r="M429" s="62" t="s">
        <v>1075</v>
      </c>
      <c r="N429" s="62" t="s">
        <v>1556</v>
      </c>
      <c r="O429" s="62" t="s">
        <v>2349</v>
      </c>
      <c r="P429" s="30" t="s">
        <v>825</v>
      </c>
      <c r="Q429" s="30" t="s">
        <v>2351</v>
      </c>
      <c r="R429" s="28"/>
      <c r="S429" s="69" t="s">
        <v>2352</v>
      </c>
      <c r="T429" s="69" t="s">
        <v>2352</v>
      </c>
      <c r="U429" s="28">
        <v>0.0</v>
      </c>
      <c r="V429" s="70">
        <v>0.0</v>
      </c>
      <c r="W429" s="30" t="s">
        <v>2353</v>
      </c>
    </row>
    <row r="430">
      <c r="A430" s="67">
        <f>ROW()-ROW(Table_Actions[N])</f>
        <v>273</v>
      </c>
      <c r="B430" s="57" t="s">
        <v>2264</v>
      </c>
      <c r="C430" s="85" t="b">
        <v>0</v>
      </c>
      <c r="D430" s="62" t="s">
        <v>2446</v>
      </c>
      <c r="E430" s="58" t="s">
        <v>98</v>
      </c>
      <c r="F430" s="58" t="s">
        <v>48</v>
      </c>
      <c r="G430" s="58" t="s">
        <v>185</v>
      </c>
      <c r="H430" s="58" t="s">
        <v>2346</v>
      </c>
      <c r="I430" s="80" t="s">
        <v>183</v>
      </c>
      <c r="J430" s="58" t="s">
        <v>1048</v>
      </c>
      <c r="K430" s="58" t="s">
        <v>184</v>
      </c>
      <c r="L430" s="58" t="s">
        <v>889</v>
      </c>
      <c r="M430" s="58" t="s">
        <v>1075</v>
      </c>
      <c r="N430" s="58" t="s">
        <v>1556</v>
      </c>
      <c r="O430" s="58" t="s">
        <v>2349</v>
      </c>
      <c r="P430" s="58" t="s">
        <v>825</v>
      </c>
      <c r="Q430" s="58" t="s">
        <v>2351</v>
      </c>
      <c r="R430" s="64"/>
      <c r="S430" s="98" t="s">
        <v>2352</v>
      </c>
      <c r="T430" s="98" t="s">
        <v>2352</v>
      </c>
      <c r="U430" s="64">
        <v>0.0</v>
      </c>
      <c r="V430" s="99">
        <v>0.0</v>
      </c>
      <c r="W430" s="58" t="s">
        <v>2353</v>
      </c>
    </row>
    <row r="431">
      <c r="A431" s="67">
        <f>ROW()-ROW(Table_Actions[N])</f>
        <v>274</v>
      </c>
      <c r="B431" s="57" t="s">
        <v>3417</v>
      </c>
      <c r="C431" s="66" t="b">
        <v>0</v>
      </c>
      <c r="D431" s="62" t="s">
        <v>2400</v>
      </c>
      <c r="E431" s="62" t="s">
        <v>42</v>
      </c>
      <c r="F431" s="62" t="s">
        <v>48</v>
      </c>
      <c r="G431" s="62" t="s">
        <v>185</v>
      </c>
      <c r="H431" s="62" t="s">
        <v>2346</v>
      </c>
      <c r="I431" s="68" t="s">
        <v>2739</v>
      </c>
      <c r="J431" s="62" t="s">
        <v>1048</v>
      </c>
      <c r="K431" s="62" t="s">
        <v>184</v>
      </c>
      <c r="L431" s="62" t="s">
        <v>889</v>
      </c>
      <c r="M431" s="62" t="s">
        <v>1075</v>
      </c>
      <c r="N431" s="62" t="s">
        <v>1556</v>
      </c>
      <c r="O431" s="62" t="s">
        <v>2349</v>
      </c>
      <c r="P431" s="30" t="s">
        <v>825</v>
      </c>
      <c r="Q431" s="30" t="s">
        <v>2351</v>
      </c>
      <c r="R431" s="28"/>
      <c r="S431" s="69" t="s">
        <v>2352</v>
      </c>
      <c r="T431" s="69" t="s">
        <v>2352</v>
      </c>
      <c r="U431" s="28">
        <v>0.0</v>
      </c>
      <c r="V431" s="70">
        <v>0.0</v>
      </c>
      <c r="W431" s="30" t="s">
        <v>2353</v>
      </c>
    </row>
    <row r="432">
      <c r="A432" s="67">
        <f>ROW()-ROW(Table_Actions[N])</f>
        <v>275</v>
      </c>
      <c r="B432" s="57" t="s">
        <v>1591</v>
      </c>
      <c r="C432" s="66" t="b">
        <v>0</v>
      </c>
      <c r="D432" s="62" t="s">
        <v>2477</v>
      </c>
      <c r="E432" s="62" t="s">
        <v>42</v>
      </c>
      <c r="F432" s="62" t="s">
        <v>48</v>
      </c>
      <c r="G432" s="62" t="s">
        <v>185</v>
      </c>
      <c r="H432" s="62" t="s">
        <v>2346</v>
      </c>
      <c r="I432" s="68" t="s">
        <v>183</v>
      </c>
      <c r="J432" s="62" t="s">
        <v>1048</v>
      </c>
      <c r="K432" s="62" t="s">
        <v>184</v>
      </c>
      <c r="L432" s="62" t="s">
        <v>897</v>
      </c>
      <c r="M432" s="62" t="s">
        <v>3264</v>
      </c>
      <c r="N432" s="62" t="s">
        <v>1556</v>
      </c>
      <c r="O432" s="62" t="s">
        <v>2349</v>
      </c>
      <c r="P432" s="30" t="s">
        <v>825</v>
      </c>
      <c r="Q432" s="30" t="s">
        <v>2351</v>
      </c>
      <c r="R432" s="28"/>
      <c r="S432" s="69" t="s">
        <v>2352</v>
      </c>
      <c r="T432" s="69" t="s">
        <v>2352</v>
      </c>
      <c r="U432" s="28">
        <v>0.0</v>
      </c>
      <c r="V432" s="70">
        <v>0.0</v>
      </c>
      <c r="W432" s="30" t="s">
        <v>2353</v>
      </c>
    </row>
    <row r="433">
      <c r="A433" s="67">
        <f>ROW()-ROW(Table_Actions[N])</f>
        <v>276</v>
      </c>
      <c r="B433" s="57" t="s">
        <v>1606</v>
      </c>
      <c r="C433" s="66" t="b">
        <v>0</v>
      </c>
      <c r="D433" s="62" t="s">
        <v>2477</v>
      </c>
      <c r="E433" s="62" t="s">
        <v>42</v>
      </c>
      <c r="F433" s="62" t="s">
        <v>48</v>
      </c>
      <c r="G433" s="62" t="s">
        <v>185</v>
      </c>
      <c r="H433" s="62" t="s">
        <v>2346</v>
      </c>
      <c r="I433" s="68" t="s">
        <v>183</v>
      </c>
      <c r="J433" s="62" t="s">
        <v>1048</v>
      </c>
      <c r="K433" s="62" t="s">
        <v>184</v>
      </c>
      <c r="L433" s="62" t="s">
        <v>897</v>
      </c>
      <c r="M433" s="62" t="s">
        <v>3266</v>
      </c>
      <c r="N433" s="62" t="s">
        <v>1556</v>
      </c>
      <c r="O433" s="62" t="s">
        <v>2349</v>
      </c>
      <c r="P433" s="30" t="s">
        <v>825</v>
      </c>
      <c r="Q433" s="30" t="s">
        <v>2351</v>
      </c>
      <c r="R433" s="28"/>
      <c r="S433" s="30" t="s">
        <v>2352</v>
      </c>
      <c r="T433" s="30" t="s">
        <v>2352</v>
      </c>
      <c r="U433" s="28">
        <v>0.0</v>
      </c>
      <c r="V433" s="70">
        <v>0.0</v>
      </c>
      <c r="W433" s="30" t="s">
        <v>2353</v>
      </c>
    </row>
    <row r="434">
      <c r="A434" s="67">
        <f>ROW()-ROW(Table_Actions[N])</f>
        <v>277</v>
      </c>
      <c r="B434" s="57" t="s">
        <v>2277</v>
      </c>
      <c r="C434" s="66" t="b">
        <v>0</v>
      </c>
      <c r="D434" s="62" t="s">
        <v>2449</v>
      </c>
      <c r="E434" s="62" t="s">
        <v>895</v>
      </c>
      <c r="F434" s="62" t="s">
        <v>48</v>
      </c>
      <c r="G434" s="62" t="s">
        <v>185</v>
      </c>
      <c r="H434" s="62" t="s">
        <v>2346</v>
      </c>
      <c r="I434" s="68" t="s">
        <v>183</v>
      </c>
      <c r="J434" s="62" t="s">
        <v>1048</v>
      </c>
      <c r="K434" s="62" t="s">
        <v>184</v>
      </c>
      <c r="L434" s="62" t="s">
        <v>889</v>
      </c>
      <c r="M434" s="62" t="s">
        <v>1075</v>
      </c>
      <c r="N434" s="62" t="s">
        <v>1556</v>
      </c>
      <c r="O434" s="62" t="s">
        <v>2349</v>
      </c>
      <c r="P434" s="30" t="s">
        <v>825</v>
      </c>
      <c r="Q434" s="30" t="s">
        <v>2351</v>
      </c>
      <c r="R434" s="28"/>
      <c r="S434" s="30" t="s">
        <v>2352</v>
      </c>
      <c r="T434" s="30" t="s">
        <v>2352</v>
      </c>
      <c r="U434" s="28">
        <v>0.0</v>
      </c>
      <c r="V434" s="70">
        <v>0.0</v>
      </c>
      <c r="W434" s="30" t="s">
        <v>2353</v>
      </c>
    </row>
    <row r="435">
      <c r="A435" s="67">
        <f>ROW()-ROW(Table_Actions[N])</f>
        <v>278</v>
      </c>
      <c r="B435" s="57" t="s">
        <v>3418</v>
      </c>
      <c r="C435" s="66" t="b">
        <v>0</v>
      </c>
      <c r="D435" s="62" t="s">
        <v>2464</v>
      </c>
      <c r="E435" s="62" t="s">
        <v>895</v>
      </c>
      <c r="F435" s="62" t="s">
        <v>48</v>
      </c>
      <c r="G435" s="62" t="s">
        <v>49</v>
      </c>
      <c r="H435" s="62" t="s">
        <v>2346</v>
      </c>
      <c r="I435" s="68" t="s">
        <v>183</v>
      </c>
      <c r="J435" s="62" t="s">
        <v>1048</v>
      </c>
      <c r="K435" s="62" t="s">
        <v>184</v>
      </c>
      <c r="L435" s="62" t="s">
        <v>889</v>
      </c>
      <c r="M435" s="62" t="s">
        <v>1075</v>
      </c>
      <c r="N435" s="62" t="s">
        <v>1556</v>
      </c>
      <c r="O435" s="62" t="s">
        <v>2349</v>
      </c>
      <c r="P435" s="30" t="s">
        <v>825</v>
      </c>
      <c r="Q435" s="30" t="s">
        <v>2351</v>
      </c>
      <c r="R435" s="28"/>
      <c r="S435" s="30" t="s">
        <v>2352</v>
      </c>
      <c r="T435" s="30" t="s">
        <v>2352</v>
      </c>
      <c r="U435" s="28">
        <v>0.0</v>
      </c>
      <c r="V435" s="70">
        <v>0.0</v>
      </c>
      <c r="W435" s="30" t="s">
        <v>2353</v>
      </c>
    </row>
    <row r="436">
      <c r="A436" s="67">
        <f>ROW()-ROW(Table_Actions[N])</f>
        <v>279</v>
      </c>
      <c r="B436" s="57" t="s">
        <v>3419</v>
      </c>
      <c r="C436" s="66" t="b">
        <v>0</v>
      </c>
      <c r="D436" s="62" t="s">
        <v>2400</v>
      </c>
      <c r="E436" s="62" t="s">
        <v>42</v>
      </c>
      <c r="F436" s="62" t="s">
        <v>48</v>
      </c>
      <c r="G436" s="62" t="s">
        <v>185</v>
      </c>
      <c r="H436" s="62" t="s">
        <v>2346</v>
      </c>
      <c r="I436" s="68" t="s">
        <v>2274</v>
      </c>
      <c r="J436" s="62" t="s">
        <v>1048</v>
      </c>
      <c r="K436" s="62" t="s">
        <v>184</v>
      </c>
      <c r="L436" s="62" t="s">
        <v>889</v>
      </c>
      <c r="M436" s="62" t="s">
        <v>1075</v>
      </c>
      <c r="N436" s="62" t="s">
        <v>1556</v>
      </c>
      <c r="O436" s="62" t="s">
        <v>2349</v>
      </c>
      <c r="P436" s="30" t="s">
        <v>825</v>
      </c>
      <c r="Q436" s="30" t="s">
        <v>2351</v>
      </c>
      <c r="R436" s="28"/>
      <c r="S436" s="69" t="s">
        <v>2352</v>
      </c>
      <c r="T436" s="69" t="s">
        <v>2352</v>
      </c>
      <c r="U436" s="28">
        <v>0.0</v>
      </c>
      <c r="V436" s="70">
        <v>0.0</v>
      </c>
      <c r="W436" s="30" t="s">
        <v>2353</v>
      </c>
    </row>
    <row r="437">
      <c r="A437" s="67">
        <f>ROW()-ROW(Table_Actions[N])</f>
        <v>280</v>
      </c>
      <c r="B437" s="57" t="s">
        <v>3420</v>
      </c>
      <c r="C437" s="66" t="b">
        <v>0</v>
      </c>
      <c r="D437" s="62" t="s">
        <v>2484</v>
      </c>
      <c r="E437" s="62" t="s">
        <v>42</v>
      </c>
      <c r="F437" s="62" t="s">
        <v>48</v>
      </c>
      <c r="G437" s="62" t="s">
        <v>185</v>
      </c>
      <c r="H437" s="62" t="s">
        <v>2346</v>
      </c>
      <c r="I437" s="68" t="s">
        <v>183</v>
      </c>
      <c r="J437" s="62" t="s">
        <v>1048</v>
      </c>
      <c r="K437" s="62" t="s">
        <v>184</v>
      </c>
      <c r="L437" s="62" t="s">
        <v>889</v>
      </c>
      <c r="M437" s="62" t="s">
        <v>1075</v>
      </c>
      <c r="N437" s="62" t="s">
        <v>1556</v>
      </c>
      <c r="O437" s="62" t="s">
        <v>2349</v>
      </c>
      <c r="P437" s="30" t="s">
        <v>2299</v>
      </c>
      <c r="Q437" s="30" t="s">
        <v>2351</v>
      </c>
      <c r="R437" s="28"/>
      <c r="S437" s="30" t="s">
        <v>2352</v>
      </c>
      <c r="T437" s="30" t="s">
        <v>2352</v>
      </c>
      <c r="U437" s="28">
        <v>0.0</v>
      </c>
      <c r="V437" s="70">
        <v>0.0</v>
      </c>
      <c r="W437" s="30" t="s">
        <v>2353</v>
      </c>
    </row>
    <row r="438">
      <c r="A438" s="67">
        <f>ROW()-ROW(Table_Actions[N])</f>
        <v>281</v>
      </c>
      <c r="B438" s="57" t="s">
        <v>3421</v>
      </c>
      <c r="C438" s="66" t="b">
        <v>1</v>
      </c>
      <c r="D438" s="62" t="s">
        <v>2461</v>
      </c>
      <c r="E438" s="62" t="s">
        <v>848</v>
      </c>
      <c r="F438" s="62" t="s">
        <v>48</v>
      </c>
      <c r="G438" s="62" t="s">
        <v>185</v>
      </c>
      <c r="H438" s="62" t="s">
        <v>2346</v>
      </c>
      <c r="I438" s="68" t="s">
        <v>183</v>
      </c>
      <c r="J438" s="62" t="s">
        <v>1048</v>
      </c>
      <c r="K438" s="62" t="s">
        <v>184</v>
      </c>
      <c r="L438" s="62" t="s">
        <v>889</v>
      </c>
      <c r="M438" s="62" t="s">
        <v>1075</v>
      </c>
      <c r="N438" s="62" t="s">
        <v>2522</v>
      </c>
      <c r="O438" s="62" t="s">
        <v>2349</v>
      </c>
      <c r="P438" s="30" t="s">
        <v>825</v>
      </c>
      <c r="Q438" s="30" t="s">
        <v>2351</v>
      </c>
      <c r="S438" s="69" t="s">
        <v>2352</v>
      </c>
      <c r="T438" s="69" t="s">
        <v>2352</v>
      </c>
      <c r="U438" s="28">
        <v>0.0</v>
      </c>
      <c r="V438" s="70">
        <v>0.0</v>
      </c>
      <c r="W438" s="30" t="s">
        <v>2353</v>
      </c>
    </row>
    <row r="439">
      <c r="A439" s="67">
        <f>ROW()-ROW(Table_Actions[N])</f>
        <v>282</v>
      </c>
      <c r="B439" s="57" t="s">
        <v>3422</v>
      </c>
      <c r="C439" s="66" t="b">
        <v>0</v>
      </c>
      <c r="D439" s="62" t="s">
        <v>2400</v>
      </c>
      <c r="E439" s="62" t="s">
        <v>42</v>
      </c>
      <c r="F439" s="62" t="s">
        <v>48</v>
      </c>
      <c r="G439" s="62" t="s">
        <v>185</v>
      </c>
      <c r="H439" s="62" t="s">
        <v>2346</v>
      </c>
      <c r="I439" s="68" t="s">
        <v>2738</v>
      </c>
      <c r="J439" s="62" t="s">
        <v>1048</v>
      </c>
      <c r="K439" s="62" t="s">
        <v>184</v>
      </c>
      <c r="L439" s="62" t="s">
        <v>889</v>
      </c>
      <c r="M439" s="62" t="s">
        <v>1075</v>
      </c>
      <c r="N439" s="62" t="s">
        <v>1556</v>
      </c>
      <c r="O439" s="62" t="s">
        <v>2349</v>
      </c>
      <c r="P439" s="30" t="s">
        <v>825</v>
      </c>
      <c r="Q439" s="30" t="s">
        <v>2351</v>
      </c>
      <c r="R439" s="28"/>
      <c r="S439" s="69" t="s">
        <v>2352</v>
      </c>
      <c r="T439" s="69" t="s">
        <v>2352</v>
      </c>
      <c r="U439" s="28">
        <v>0.0</v>
      </c>
      <c r="V439" s="70">
        <v>0.0</v>
      </c>
      <c r="W439" s="30" t="s">
        <v>2353</v>
      </c>
    </row>
    <row r="440">
      <c r="A440" s="67">
        <f>ROW()-ROW(Table_Actions[N])</f>
        <v>283</v>
      </c>
      <c r="B440" s="57" t="s">
        <v>3423</v>
      </c>
      <c r="C440" s="66" t="b">
        <v>0</v>
      </c>
      <c r="D440" s="62" t="s">
        <v>2466</v>
      </c>
      <c r="E440" s="62" t="s">
        <v>895</v>
      </c>
      <c r="F440" s="58" t="s">
        <v>48</v>
      </c>
      <c r="G440" s="58" t="s">
        <v>201</v>
      </c>
      <c r="H440" s="58" t="s">
        <v>2346</v>
      </c>
      <c r="I440" s="80" t="s">
        <v>183</v>
      </c>
      <c r="J440" s="58" t="s">
        <v>1048</v>
      </c>
      <c r="K440" s="58" t="s">
        <v>184</v>
      </c>
      <c r="L440" s="58" t="s">
        <v>889</v>
      </c>
      <c r="M440" s="58" t="s">
        <v>1075</v>
      </c>
      <c r="N440" s="58" t="s">
        <v>1556</v>
      </c>
      <c r="O440" s="58" t="s">
        <v>2349</v>
      </c>
      <c r="P440" s="58" t="s">
        <v>825</v>
      </c>
      <c r="Q440" s="58" t="s">
        <v>2351</v>
      </c>
      <c r="R440" s="64"/>
      <c r="S440" s="69" t="s">
        <v>2352</v>
      </c>
      <c r="T440" s="69" t="s">
        <v>2352</v>
      </c>
      <c r="U440" s="28">
        <v>0.0</v>
      </c>
      <c r="V440" s="70">
        <v>0.0</v>
      </c>
      <c r="W440" s="58" t="s">
        <v>2353</v>
      </c>
    </row>
    <row r="441">
      <c r="A441" s="67">
        <f>ROW()-ROW(Table_Actions[N])</f>
        <v>284</v>
      </c>
      <c r="B441" s="57" t="s">
        <v>3424</v>
      </c>
      <c r="C441" s="66" t="b">
        <v>0</v>
      </c>
      <c r="D441" s="62" t="s">
        <v>2461</v>
      </c>
      <c r="E441" s="62" t="s">
        <v>848</v>
      </c>
      <c r="F441" s="62" t="s">
        <v>48</v>
      </c>
      <c r="G441" s="62" t="s">
        <v>185</v>
      </c>
      <c r="H441" s="62" t="s">
        <v>2346</v>
      </c>
      <c r="I441" s="68" t="s">
        <v>183</v>
      </c>
      <c r="J441" s="62" t="s">
        <v>1048</v>
      </c>
      <c r="K441" s="62" t="s">
        <v>184</v>
      </c>
      <c r="L441" s="62" t="s">
        <v>889</v>
      </c>
      <c r="M441" s="62" t="s">
        <v>1075</v>
      </c>
      <c r="N441" s="62" t="s">
        <v>2599</v>
      </c>
      <c r="O441" s="62" t="s">
        <v>2349</v>
      </c>
      <c r="P441" s="30" t="s">
        <v>825</v>
      </c>
      <c r="Q441" s="30" t="s">
        <v>2351</v>
      </c>
      <c r="S441" s="69" t="s">
        <v>2352</v>
      </c>
      <c r="T441" s="69" t="s">
        <v>2352</v>
      </c>
      <c r="U441" s="28">
        <v>0.0</v>
      </c>
      <c r="V441" s="70">
        <v>0.0</v>
      </c>
      <c r="W441" s="30" t="s">
        <v>2353</v>
      </c>
    </row>
    <row r="442">
      <c r="A442" s="67">
        <f>ROW()-ROW(Table_Actions[N])</f>
        <v>285</v>
      </c>
      <c r="B442" s="57" t="s">
        <v>3425</v>
      </c>
      <c r="C442" s="66" t="b">
        <v>1</v>
      </c>
      <c r="D442" s="62" t="s">
        <v>2461</v>
      </c>
      <c r="E442" s="62" t="s">
        <v>795</v>
      </c>
      <c r="F442" s="62" t="s">
        <v>48</v>
      </c>
      <c r="G442" s="62" t="s">
        <v>185</v>
      </c>
      <c r="H442" s="62" t="s">
        <v>2346</v>
      </c>
      <c r="I442" s="68" t="s">
        <v>183</v>
      </c>
      <c r="J442" s="62" t="s">
        <v>1048</v>
      </c>
      <c r="K442" s="62" t="s">
        <v>184</v>
      </c>
      <c r="L442" s="62" t="s">
        <v>889</v>
      </c>
      <c r="M442" s="62" t="s">
        <v>1075</v>
      </c>
      <c r="N442" s="62" t="s">
        <v>2540</v>
      </c>
      <c r="O442" s="62" t="s">
        <v>2349</v>
      </c>
      <c r="P442" s="30" t="s">
        <v>825</v>
      </c>
      <c r="Q442" s="30" t="s">
        <v>2351</v>
      </c>
      <c r="S442" s="69" t="s">
        <v>2352</v>
      </c>
      <c r="T442" s="69" t="s">
        <v>2352</v>
      </c>
      <c r="U442" s="28">
        <v>0.0</v>
      </c>
      <c r="V442" s="70">
        <v>0.0</v>
      </c>
      <c r="W442" s="30" t="s">
        <v>2353</v>
      </c>
    </row>
    <row r="443">
      <c r="A443" s="67">
        <f>ROW()-ROW(Table_Actions[N])</f>
        <v>286</v>
      </c>
      <c r="B443" s="57" t="s">
        <v>3426</v>
      </c>
      <c r="C443" s="66" t="b">
        <v>0</v>
      </c>
      <c r="D443" s="62" t="s">
        <v>2477</v>
      </c>
      <c r="E443" s="90" t="s">
        <v>42</v>
      </c>
      <c r="F443" s="90" t="s">
        <v>48</v>
      </c>
      <c r="G443" s="90" t="s">
        <v>185</v>
      </c>
      <c r="H443" s="90" t="s">
        <v>2346</v>
      </c>
      <c r="I443" s="91" t="s">
        <v>183</v>
      </c>
      <c r="J443" s="90" t="s">
        <v>1048</v>
      </c>
      <c r="K443" s="90" t="s">
        <v>184</v>
      </c>
      <c r="L443" s="90" t="s">
        <v>897</v>
      </c>
      <c r="M443" s="92" t="s">
        <v>3267</v>
      </c>
      <c r="N443" s="90" t="s">
        <v>1556</v>
      </c>
      <c r="O443" s="90" t="s">
        <v>2349</v>
      </c>
      <c r="P443" s="90" t="s">
        <v>825</v>
      </c>
      <c r="Q443" s="90" t="s">
        <v>2351</v>
      </c>
      <c r="R443" s="93"/>
      <c r="S443" s="69" t="s">
        <v>2352</v>
      </c>
      <c r="T443" s="69" t="s">
        <v>2352</v>
      </c>
      <c r="U443" s="28">
        <v>0.0</v>
      </c>
      <c r="V443" s="70">
        <v>0.0</v>
      </c>
      <c r="W443" s="94" t="s">
        <v>2353</v>
      </c>
    </row>
    <row r="444">
      <c r="A444" s="67">
        <f>ROW()-ROW(Table_Actions[N])</f>
        <v>287</v>
      </c>
      <c r="B444" s="57" t="s">
        <v>3427</v>
      </c>
      <c r="C444" s="66" t="b">
        <v>0</v>
      </c>
      <c r="D444" s="62" t="s">
        <v>2400</v>
      </c>
      <c r="E444" s="62" t="s">
        <v>42</v>
      </c>
      <c r="F444" s="62" t="s">
        <v>48</v>
      </c>
      <c r="G444" s="62" t="s">
        <v>185</v>
      </c>
      <c r="H444" s="62" t="s">
        <v>2346</v>
      </c>
      <c r="I444" s="68" t="s">
        <v>2291</v>
      </c>
      <c r="J444" s="62" t="s">
        <v>1048</v>
      </c>
      <c r="K444" s="62" t="s">
        <v>184</v>
      </c>
      <c r="L444" s="62" t="s">
        <v>889</v>
      </c>
      <c r="M444" s="62" t="s">
        <v>1075</v>
      </c>
      <c r="N444" s="62" t="s">
        <v>1556</v>
      </c>
      <c r="O444" s="62" t="s">
        <v>2349</v>
      </c>
      <c r="P444" s="30" t="s">
        <v>825</v>
      </c>
      <c r="Q444" s="30" t="s">
        <v>2351</v>
      </c>
      <c r="S444" s="30" t="s">
        <v>2352</v>
      </c>
      <c r="T444" s="30" t="s">
        <v>2352</v>
      </c>
      <c r="U444" s="28">
        <v>0.0</v>
      </c>
      <c r="V444" s="70">
        <v>0.0</v>
      </c>
      <c r="W444" s="30" t="s">
        <v>2353</v>
      </c>
    </row>
    <row r="445">
      <c r="A445" s="67">
        <f>ROW()-ROW(Table_Actions[N])</f>
        <v>288</v>
      </c>
      <c r="B445" s="57" t="s">
        <v>3428</v>
      </c>
      <c r="C445" s="66" t="b">
        <v>0</v>
      </c>
      <c r="D445" s="62" t="s">
        <v>2400</v>
      </c>
      <c r="E445" s="62" t="s">
        <v>42</v>
      </c>
      <c r="F445" s="62" t="s">
        <v>48</v>
      </c>
      <c r="G445" s="62" t="s">
        <v>185</v>
      </c>
      <c r="H445" s="62" t="s">
        <v>2346</v>
      </c>
      <c r="I445" s="68" t="s">
        <v>2290</v>
      </c>
      <c r="J445" s="62" t="s">
        <v>1048</v>
      </c>
      <c r="K445" s="62" t="s">
        <v>184</v>
      </c>
      <c r="L445" s="62" t="s">
        <v>889</v>
      </c>
      <c r="M445" s="62" t="s">
        <v>1075</v>
      </c>
      <c r="N445" s="62" t="s">
        <v>1556</v>
      </c>
      <c r="O445" s="62" t="s">
        <v>2349</v>
      </c>
      <c r="P445" s="30" t="s">
        <v>825</v>
      </c>
      <c r="Q445" s="30" t="s">
        <v>2351</v>
      </c>
      <c r="S445" s="30" t="s">
        <v>2352</v>
      </c>
      <c r="T445" s="30" t="s">
        <v>2352</v>
      </c>
      <c r="U445" s="28">
        <v>0.0</v>
      </c>
      <c r="V445" s="70">
        <v>0.0</v>
      </c>
      <c r="W445" s="30" t="s">
        <v>2353</v>
      </c>
    </row>
    <row r="446">
      <c r="A446" s="67">
        <f>ROW()-ROW(Table_Actions[N])</f>
        <v>289</v>
      </c>
      <c r="B446" s="57" t="s">
        <v>3429</v>
      </c>
      <c r="C446" s="66" t="b">
        <v>0</v>
      </c>
      <c r="D446" s="62" t="s">
        <v>2477</v>
      </c>
      <c r="E446" s="90" t="s">
        <v>42</v>
      </c>
      <c r="F446" s="90" t="s">
        <v>48</v>
      </c>
      <c r="G446" s="90" t="s">
        <v>185</v>
      </c>
      <c r="H446" s="90" t="s">
        <v>2346</v>
      </c>
      <c r="I446" s="91" t="s">
        <v>183</v>
      </c>
      <c r="J446" s="90" t="s">
        <v>1048</v>
      </c>
      <c r="K446" s="90" t="s">
        <v>184</v>
      </c>
      <c r="L446" s="90" t="s">
        <v>897</v>
      </c>
      <c r="M446" s="92" t="s">
        <v>3269</v>
      </c>
      <c r="N446" s="90" t="s">
        <v>1556</v>
      </c>
      <c r="O446" s="90" t="s">
        <v>2349</v>
      </c>
      <c r="P446" s="90" t="s">
        <v>825</v>
      </c>
      <c r="Q446" s="90" t="s">
        <v>2351</v>
      </c>
      <c r="R446" s="93"/>
      <c r="S446" s="69" t="s">
        <v>2352</v>
      </c>
      <c r="T446" s="69" t="s">
        <v>2352</v>
      </c>
      <c r="U446" s="28">
        <v>0.0</v>
      </c>
      <c r="V446" s="70">
        <v>0.0</v>
      </c>
      <c r="W446" s="94" t="s">
        <v>2353</v>
      </c>
    </row>
    <row r="447">
      <c r="A447" s="67">
        <f>ROW()-ROW(Table_Actions[N])</f>
        <v>290</v>
      </c>
      <c r="B447" s="57" t="s">
        <v>3430</v>
      </c>
      <c r="C447" s="66" t="b">
        <v>0</v>
      </c>
      <c r="D447" s="62" t="s">
        <v>2345</v>
      </c>
      <c r="E447" s="62" t="s">
        <v>42</v>
      </c>
      <c r="F447" s="62" t="s">
        <v>48</v>
      </c>
      <c r="G447" s="62" t="s">
        <v>185</v>
      </c>
      <c r="H447" s="62" t="s">
        <v>2346</v>
      </c>
      <c r="I447" s="68" t="s">
        <v>183</v>
      </c>
      <c r="J447" s="62" t="s">
        <v>1048</v>
      </c>
      <c r="K447" s="62" t="s">
        <v>184</v>
      </c>
      <c r="L447" s="62" t="s">
        <v>889</v>
      </c>
      <c r="M447" s="62" t="s">
        <v>1075</v>
      </c>
      <c r="N447" s="62" t="s">
        <v>1556</v>
      </c>
      <c r="O447" s="62" t="s">
        <v>2349</v>
      </c>
      <c r="P447" s="30" t="s">
        <v>825</v>
      </c>
      <c r="Q447" s="30" t="s">
        <v>2351</v>
      </c>
      <c r="R447" s="28"/>
      <c r="S447" s="69" t="s">
        <v>2352</v>
      </c>
      <c r="T447" s="69" t="s">
        <v>2352</v>
      </c>
      <c r="U447" s="28">
        <v>0.0</v>
      </c>
      <c r="V447" s="70">
        <v>0.0</v>
      </c>
      <c r="W447" s="30" t="s">
        <v>2353</v>
      </c>
    </row>
  </sheetData>
  <dataValidations>
    <dataValidation type="list" allowBlank="1" sqref="H2:H106 I109:I154 I157:I447">
      <formula1>#REF!</formula1>
    </dataValidation>
    <dataValidation type="list" allowBlank="1" sqref="F109:F154">
      <formula1>#REF!</formula1>
    </dataValidation>
    <dataValidation type="list" allowBlank="1" sqref="G109:G154">
      <formula1>#REF!</formula1>
    </dataValidation>
    <dataValidation type="custom" allowBlank="1" showDropDown="1" sqref="V157:V447">
      <formula1>AND(ISNUMBER(V157),(NOT(OR(NOT(ISERROR(DATEVALUE(V157))), AND(ISNUMBER(V157), LEFT(CELL("format", V157))="D")))))</formula1>
    </dataValidation>
    <dataValidation type="list" allowBlank="1" sqref="D2:G106 H109:H154 D157:H447 J157:Q447 S157:T447 W157:W447">
      <formula1>#REF!</formula1>
    </dataValidation>
    <dataValidation type="list" allowBlank="1" sqref="C2:C106">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478</v>
      </c>
      <c r="C1" s="1" t="s">
        <v>480</v>
      </c>
      <c r="D1" s="42" t="s">
        <v>481</v>
      </c>
    </row>
    <row r="2">
      <c r="A2" s="28">
        <f>ROW()-ROW(Table_sprites[N])</f>
        <v>0</v>
      </c>
      <c r="B2" s="28" t="s">
        <v>48</v>
      </c>
    </row>
    <row r="3">
      <c r="A3" s="28">
        <f>ROW()-ROW(Table_sprites[N])</f>
        <v>1</v>
      </c>
      <c r="B3" s="28" t="s">
        <v>136</v>
      </c>
      <c r="C3" s="43" t="s">
        <v>136</v>
      </c>
      <c r="D3" s="43" t="s">
        <v>490</v>
      </c>
    </row>
    <row r="4">
      <c r="A4" s="28">
        <f>ROW()-ROW(Table_sprites[N])</f>
        <v>2</v>
      </c>
      <c r="B4" s="28" t="s">
        <v>491</v>
      </c>
      <c r="C4" s="43" t="s">
        <v>491</v>
      </c>
      <c r="D4" s="43" t="s">
        <v>490</v>
      </c>
    </row>
    <row r="5">
      <c r="A5" s="28">
        <f>ROW()-ROW(Table_sprites[N])</f>
        <v>3</v>
      </c>
      <c r="B5" s="28" t="s">
        <v>495</v>
      </c>
      <c r="C5" s="43" t="s">
        <v>495</v>
      </c>
      <c r="D5" s="43" t="s">
        <v>490</v>
      </c>
    </row>
    <row r="6">
      <c r="A6" s="28">
        <f>ROW()-ROW(Table_sprites[N])</f>
        <v>4</v>
      </c>
      <c r="B6" s="28" t="s">
        <v>497</v>
      </c>
      <c r="C6" s="43" t="s">
        <v>497</v>
      </c>
      <c r="D6" s="43" t="s">
        <v>490</v>
      </c>
    </row>
    <row r="7">
      <c r="A7" s="28">
        <f>ROW()-ROW(Table_sprites[N])</f>
        <v>5</v>
      </c>
      <c r="B7" s="28" t="s">
        <v>503</v>
      </c>
      <c r="C7" s="43" t="s">
        <v>503</v>
      </c>
      <c r="D7" s="43" t="s">
        <v>490</v>
      </c>
    </row>
    <row r="8">
      <c r="A8" s="28">
        <f>ROW()-ROW(Table_sprites[N])</f>
        <v>6</v>
      </c>
      <c r="B8" s="28" t="s">
        <v>506</v>
      </c>
      <c r="C8" s="43" t="s">
        <v>508</v>
      </c>
      <c r="D8" s="43" t="s">
        <v>490</v>
      </c>
    </row>
    <row r="9">
      <c r="A9" s="28">
        <f>ROW()-ROW(Table_sprites[N])</f>
        <v>7</v>
      </c>
      <c r="B9" s="28" t="s">
        <v>510</v>
      </c>
      <c r="C9" s="43" t="s">
        <v>511</v>
      </c>
      <c r="D9" s="43" t="s">
        <v>490</v>
      </c>
    </row>
    <row r="10">
      <c r="A10" s="28">
        <f>ROW()-ROW(Table_sprites[N])</f>
        <v>8</v>
      </c>
      <c r="B10" s="28" t="s">
        <v>515</v>
      </c>
      <c r="C10" s="43" t="s">
        <v>517</v>
      </c>
      <c r="D10" s="43" t="s">
        <v>490</v>
      </c>
    </row>
    <row r="11">
      <c r="A11" s="28">
        <f>ROW()-ROW(Table_sprites[N])</f>
        <v>9</v>
      </c>
      <c r="B11" s="28" t="s">
        <v>521</v>
      </c>
      <c r="C11" s="43" t="s">
        <v>522</v>
      </c>
      <c r="D11" s="43" t="s">
        <v>490</v>
      </c>
    </row>
    <row r="12">
      <c r="A12" s="28">
        <f>ROW()-ROW(Table_sprites[N])</f>
        <v>10</v>
      </c>
      <c r="B12" s="28" t="s">
        <v>526</v>
      </c>
      <c r="C12" s="43" t="s">
        <v>527</v>
      </c>
      <c r="D12" s="43" t="s">
        <v>490</v>
      </c>
    </row>
    <row r="13">
      <c r="A13" s="28">
        <f>ROW()-ROW(Table_sprites[N])</f>
        <v>11</v>
      </c>
      <c r="B13" s="28" t="s">
        <v>528</v>
      </c>
      <c r="C13" s="43" t="s">
        <v>528</v>
      </c>
      <c r="D13" s="43" t="s">
        <v>530</v>
      </c>
    </row>
    <row r="14">
      <c r="A14" s="28">
        <f>ROW()-ROW(Table_sprites[N])</f>
        <v>12</v>
      </c>
      <c r="B14" s="28" t="s">
        <v>105</v>
      </c>
      <c r="C14" s="43" t="s">
        <v>534</v>
      </c>
      <c r="D14" s="43" t="s">
        <v>530</v>
      </c>
    </row>
    <row r="15">
      <c r="A15" s="28">
        <f>ROW()-ROW(Table_sprites[N])</f>
        <v>13</v>
      </c>
      <c r="B15" s="28" t="s">
        <v>540</v>
      </c>
      <c r="C15" s="43" t="s">
        <v>541</v>
      </c>
      <c r="D15" s="43" t="s">
        <v>530</v>
      </c>
    </row>
    <row r="16">
      <c r="A16" s="28">
        <f>ROW()-ROW(Table_sprites[N])</f>
        <v>14</v>
      </c>
      <c r="B16" s="28" t="s">
        <v>122</v>
      </c>
      <c r="C16" s="43" t="s">
        <v>542</v>
      </c>
      <c r="D16" s="43" t="s">
        <v>530</v>
      </c>
    </row>
    <row r="17">
      <c r="A17" s="28">
        <f>ROW()-ROW(Table_sprites[N])</f>
        <v>15</v>
      </c>
      <c r="B17" s="28" t="s">
        <v>126</v>
      </c>
      <c r="C17" s="43" t="s">
        <v>544</v>
      </c>
      <c r="D17" s="43" t="s">
        <v>546</v>
      </c>
    </row>
    <row r="18">
      <c r="A18" s="28">
        <f>ROW()-ROW(Table_sprites[N])</f>
        <v>16</v>
      </c>
      <c r="B18" s="28" t="s">
        <v>548</v>
      </c>
      <c r="C18" s="43" t="s">
        <v>550</v>
      </c>
      <c r="D18" s="43" t="s">
        <v>530</v>
      </c>
    </row>
    <row r="19">
      <c r="A19" s="28">
        <f>ROW()-ROW(Table_sprites[N])</f>
        <v>17</v>
      </c>
      <c r="B19" s="28" t="s">
        <v>144</v>
      </c>
      <c r="C19" s="43" t="s">
        <v>557</v>
      </c>
      <c r="D19" s="43" t="s">
        <v>530</v>
      </c>
    </row>
    <row r="20">
      <c r="A20" s="28">
        <f>ROW()-ROW(Table_sprites[N])</f>
        <v>18</v>
      </c>
      <c r="B20" s="28" t="s">
        <v>558</v>
      </c>
      <c r="C20" s="43" t="s">
        <v>558</v>
      </c>
      <c r="D20" s="43" t="s">
        <v>559</v>
      </c>
    </row>
    <row r="21">
      <c r="A21" s="28">
        <f>ROW()-ROW(Table_sprites[N])</f>
        <v>19</v>
      </c>
      <c r="B21" s="28" t="s">
        <v>159</v>
      </c>
      <c r="C21" s="43" t="s">
        <v>561</v>
      </c>
      <c r="D21" s="43" t="s">
        <v>559</v>
      </c>
    </row>
    <row r="22">
      <c r="A22" s="28">
        <f>ROW()-ROW(Table_sprites[N])</f>
        <v>20</v>
      </c>
      <c r="B22" s="28" t="s">
        <v>566</v>
      </c>
      <c r="C22" s="43" t="s">
        <v>566</v>
      </c>
      <c r="D22" s="43" t="s">
        <v>569</v>
      </c>
    </row>
    <row r="23">
      <c r="A23" s="28">
        <f>ROW()-ROW(Table_sprites[N])</f>
        <v>21</v>
      </c>
      <c r="B23" s="28" t="s">
        <v>573</v>
      </c>
      <c r="C23" s="43" t="s">
        <v>573</v>
      </c>
      <c r="D23" s="43" t="s">
        <v>574</v>
      </c>
    </row>
    <row r="24">
      <c r="A24" s="28">
        <f>ROW()-ROW(Table_sprites[N])</f>
        <v>22</v>
      </c>
      <c r="B24" s="28" t="s">
        <v>575</v>
      </c>
      <c r="C24" s="43" t="s">
        <v>575</v>
      </c>
      <c r="D24" s="43" t="s">
        <v>546</v>
      </c>
    </row>
    <row r="25">
      <c r="A25" s="28">
        <f>ROW()-ROW(Table_sprites[N])</f>
        <v>23</v>
      </c>
      <c r="B25" s="28" t="s">
        <v>240</v>
      </c>
      <c r="C25" s="43" t="s">
        <v>240</v>
      </c>
      <c r="D25" s="43" t="s">
        <v>546</v>
      </c>
    </row>
    <row r="26">
      <c r="A26" s="28">
        <f>ROW()-ROW(Table_sprites[N])</f>
        <v>24</v>
      </c>
      <c r="B26" s="28" t="s">
        <v>580</v>
      </c>
      <c r="C26" s="43" t="s">
        <v>581</v>
      </c>
      <c r="D26" s="43" t="s">
        <v>583</v>
      </c>
    </row>
    <row r="27">
      <c r="A27" s="28">
        <f>ROW()-ROW(Table_sprites[N])</f>
        <v>25</v>
      </c>
      <c r="B27" s="28" t="s">
        <v>586</v>
      </c>
      <c r="C27" s="43" t="s">
        <v>589</v>
      </c>
      <c r="D27" s="43" t="s">
        <v>590</v>
      </c>
    </row>
    <row r="28">
      <c r="A28" s="28">
        <f>ROW()-ROW(Table_sprites[N])</f>
        <v>26</v>
      </c>
      <c r="B28" s="28" t="s">
        <v>592</v>
      </c>
      <c r="C28" s="43" t="s">
        <v>594</v>
      </c>
      <c r="D28" s="43" t="s">
        <v>595</v>
      </c>
    </row>
    <row r="29">
      <c r="A29" s="28">
        <f>ROW()-ROW(Table_sprites[N])</f>
        <v>27</v>
      </c>
      <c r="B29" s="28" t="s">
        <v>599</v>
      </c>
      <c r="C29" s="43" t="s">
        <v>599</v>
      </c>
      <c r="D29" s="43" t="s">
        <v>601</v>
      </c>
    </row>
    <row r="30">
      <c r="A30" s="28">
        <f>ROW()-ROW(Table_sprites[N])</f>
        <v>28</v>
      </c>
      <c r="B30" s="28" t="s">
        <v>606</v>
      </c>
      <c r="C30" s="43" t="s">
        <v>607</v>
      </c>
      <c r="D30" s="43" t="s">
        <v>608</v>
      </c>
    </row>
    <row r="31">
      <c r="A31" s="28">
        <f>ROW()-ROW(Table_sprites[N])</f>
        <v>29</v>
      </c>
      <c r="B31" s="28" t="s">
        <v>609</v>
      </c>
      <c r="C31" s="43" t="s">
        <v>609</v>
      </c>
      <c r="D31" s="43" t="s">
        <v>610</v>
      </c>
    </row>
    <row r="32">
      <c r="A32" s="28">
        <f>ROW()-ROW(Table_sprites[N])</f>
        <v>30</v>
      </c>
      <c r="B32" s="28" t="s">
        <v>614</v>
      </c>
      <c r="C32" s="43" t="s">
        <v>616</v>
      </c>
      <c r="D32" s="43" t="s">
        <v>617</v>
      </c>
    </row>
    <row r="33">
      <c r="A33" s="28">
        <f>ROW()-ROW(Table_sprites[N])</f>
        <v>31</v>
      </c>
      <c r="B33" s="28" t="s">
        <v>620</v>
      </c>
      <c r="C33" s="43" t="s">
        <v>620</v>
      </c>
      <c r="D33" s="43" t="s">
        <v>621</v>
      </c>
    </row>
    <row r="34">
      <c r="A34" s="28">
        <f>ROW()-ROW(Table_sprites[N])</f>
        <v>32</v>
      </c>
      <c r="B34" s="28" t="s">
        <v>303</v>
      </c>
      <c r="C34" s="43" t="s">
        <v>627</v>
      </c>
      <c r="D34" s="43" t="s">
        <v>621</v>
      </c>
    </row>
    <row r="35">
      <c r="A35" s="28">
        <f>ROW()-ROW(Table_sprites[N])</f>
        <v>33</v>
      </c>
      <c r="B35" s="28" t="s">
        <v>311</v>
      </c>
      <c r="C35" s="43" t="s">
        <v>628</v>
      </c>
      <c r="D35" s="43" t="s">
        <v>621</v>
      </c>
    </row>
    <row r="36">
      <c r="A36" s="28">
        <f>ROW()-ROW(Table_sprites[N])</f>
        <v>34</v>
      </c>
      <c r="B36" s="28" t="s">
        <v>633</v>
      </c>
      <c r="C36" s="43" t="s">
        <v>633</v>
      </c>
      <c r="D36" s="43" t="s">
        <v>635</v>
      </c>
    </row>
    <row r="37">
      <c r="A37" s="28">
        <f>ROW()-ROW(Table_sprites[N])</f>
        <v>35</v>
      </c>
      <c r="B37" s="28" t="s">
        <v>637</v>
      </c>
      <c r="C37" s="43" t="s">
        <v>637</v>
      </c>
      <c r="D37" s="43" t="s">
        <v>642</v>
      </c>
    </row>
    <row r="38">
      <c r="A38" s="28">
        <f>ROW()-ROW(Table_sprites[N])</f>
        <v>36</v>
      </c>
      <c r="B38" s="28" t="s">
        <v>321</v>
      </c>
      <c r="C38" s="43" t="s">
        <v>321</v>
      </c>
      <c r="D38" s="43" t="s">
        <v>635</v>
      </c>
    </row>
    <row r="39">
      <c r="A39" s="28">
        <f>ROW()-ROW(Table_sprites[N])</f>
        <v>37</v>
      </c>
      <c r="B39" s="28" t="s">
        <v>325</v>
      </c>
      <c r="C39" s="43" t="s">
        <v>325</v>
      </c>
      <c r="D39" s="43" t="s">
        <v>546</v>
      </c>
    </row>
    <row r="40">
      <c r="A40" s="28">
        <f>ROW()-ROW(Table_sprites[N])</f>
        <v>38</v>
      </c>
      <c r="B40" s="28" t="s">
        <v>345</v>
      </c>
      <c r="C40" s="43" t="s">
        <v>345</v>
      </c>
      <c r="D40" s="43" t="s">
        <v>635</v>
      </c>
    </row>
    <row r="41">
      <c r="A41" s="28">
        <f>ROW()-ROW(Table_sprites[N])</f>
        <v>39</v>
      </c>
      <c r="B41" s="28" t="s">
        <v>648</v>
      </c>
      <c r="C41" s="43" t="s">
        <v>648</v>
      </c>
      <c r="D41" s="43" t="s">
        <v>546</v>
      </c>
    </row>
    <row r="42">
      <c r="A42" s="28">
        <f>ROW()-ROW(Table_sprites[N])</f>
        <v>40</v>
      </c>
      <c r="B42" s="28" t="s">
        <v>390</v>
      </c>
      <c r="C42" s="43" t="s">
        <v>390</v>
      </c>
      <c r="D42" s="43" t="s">
        <v>595</v>
      </c>
    </row>
    <row r="43">
      <c r="A43" s="28">
        <f>ROW()-ROW(Table_sprites[N])</f>
        <v>41</v>
      </c>
      <c r="B43" s="28" t="s">
        <v>120</v>
      </c>
      <c r="C43" s="43" t="s">
        <v>575</v>
      </c>
      <c r="D43" s="43" t="s">
        <v>546</v>
      </c>
    </row>
    <row r="44">
      <c r="A44" s="28">
        <f>ROW()-ROW(Table_sprites[N])</f>
        <v>42</v>
      </c>
      <c r="B44" s="28" t="s">
        <v>401</v>
      </c>
      <c r="C44" s="43" t="s">
        <v>401</v>
      </c>
      <c r="D44" s="43" t="s">
        <v>595</v>
      </c>
    </row>
    <row r="45">
      <c r="A45" s="28">
        <f>ROW()-ROW(Table_sprites[N])</f>
        <v>43</v>
      </c>
      <c r="B45" s="28" t="s">
        <v>659</v>
      </c>
      <c r="C45" s="43" t="s">
        <v>660</v>
      </c>
      <c r="D45" s="43" t="s">
        <v>662</v>
      </c>
    </row>
    <row r="46">
      <c r="A46" s="28">
        <f>ROW()-ROW(Table_sprites[N])</f>
        <v>44</v>
      </c>
      <c r="B46" s="28" t="s">
        <v>666</v>
      </c>
      <c r="C46" s="43" t="s">
        <v>667</v>
      </c>
      <c r="D46" s="43" t="s">
        <v>669</v>
      </c>
    </row>
    <row r="47">
      <c r="A47" s="28">
        <f>ROW()-ROW(Table_sprites[N])</f>
        <v>45</v>
      </c>
      <c r="B47" s="28" t="s">
        <v>439</v>
      </c>
      <c r="C47" s="43" t="s">
        <v>439</v>
      </c>
      <c r="D47" s="43" t="s">
        <v>569</v>
      </c>
    </row>
    <row r="48">
      <c r="A48" s="28">
        <f>ROW()-ROW(Table_sprites[N])</f>
        <v>46</v>
      </c>
      <c r="B48" s="28" t="s">
        <v>440</v>
      </c>
      <c r="C48" s="43" t="s">
        <v>675</v>
      </c>
      <c r="D48" s="43" t="s">
        <v>546</v>
      </c>
    </row>
    <row r="49">
      <c r="A49" s="28">
        <f>ROW()-ROW(Table_sprites[N])</f>
        <v>47</v>
      </c>
      <c r="B49" s="28" t="s">
        <v>449</v>
      </c>
      <c r="C49" s="43" t="s">
        <v>449</v>
      </c>
      <c r="D49" s="43" t="s">
        <v>662</v>
      </c>
    </row>
    <row r="50">
      <c r="A50" s="28">
        <f>ROW()-ROW(Table_sprites[N])</f>
        <v>48</v>
      </c>
      <c r="B50" s="28" t="s">
        <v>471</v>
      </c>
      <c r="C50" s="43" t="s">
        <v>471</v>
      </c>
      <c r="D50" s="43" t="s">
        <v>546</v>
      </c>
    </row>
    <row r="51">
      <c r="A51" s="28">
        <f>ROW()-ROW(Table_sprites[N])</f>
        <v>49</v>
      </c>
      <c r="B51" s="28" t="s">
        <v>494</v>
      </c>
      <c r="C51" s="43" t="s">
        <v>494</v>
      </c>
      <c r="D51" s="43" t="s">
        <v>621</v>
      </c>
    </row>
    <row r="52">
      <c r="A52" s="28">
        <f>ROW()-ROW(Table_sprites[N])</f>
        <v>50</v>
      </c>
      <c r="B52" s="28" t="s">
        <v>509</v>
      </c>
      <c r="C52" s="43" t="s">
        <v>509</v>
      </c>
      <c r="D52" s="43" t="s">
        <v>621</v>
      </c>
    </row>
    <row r="53">
      <c r="A53" s="28">
        <f>ROW()-ROW(Table_sprites[N])</f>
        <v>51</v>
      </c>
      <c r="B53" s="28" t="s">
        <v>685</v>
      </c>
      <c r="C53" s="43" t="s">
        <v>685</v>
      </c>
      <c r="D53" s="43" t="s">
        <v>687</v>
      </c>
    </row>
    <row r="54">
      <c r="A54" s="28">
        <f>ROW()-ROW(Table_sprites[N])</f>
        <v>52</v>
      </c>
      <c r="B54" s="28" t="s">
        <v>693</v>
      </c>
      <c r="C54" s="43" t="s">
        <v>693</v>
      </c>
      <c r="D54" s="43" t="s">
        <v>694</v>
      </c>
    </row>
    <row r="55">
      <c r="A55" s="28">
        <f>ROW()-ROW(Table_sprites[N])</f>
        <v>53</v>
      </c>
      <c r="B55" s="28" t="s">
        <v>698</v>
      </c>
      <c r="C55" s="43" t="s">
        <v>698</v>
      </c>
      <c r="D55" s="43" t="s">
        <v>699</v>
      </c>
    </row>
    <row r="56">
      <c r="A56" s="28">
        <f>ROW()-ROW(Table_sprites[N])</f>
        <v>54</v>
      </c>
      <c r="B56" s="28" t="s">
        <v>701</v>
      </c>
      <c r="C56" s="43" t="s">
        <v>701</v>
      </c>
      <c r="D56" s="43" t="s">
        <v>702</v>
      </c>
    </row>
    <row r="57">
      <c r="A57" s="28">
        <f>ROW()-ROW(Table_sprites[N])</f>
        <v>55</v>
      </c>
      <c r="B57" s="28" t="s">
        <v>72</v>
      </c>
      <c r="C57" s="43" t="s">
        <v>72</v>
      </c>
      <c r="D57" s="43" t="s">
        <v>705</v>
      </c>
    </row>
    <row r="58">
      <c r="A58" s="28">
        <f>ROW()-ROW(Table_sprites[N])</f>
        <v>56</v>
      </c>
      <c r="B58" s="28" t="s">
        <v>710</v>
      </c>
      <c r="C58" s="43" t="s">
        <v>710</v>
      </c>
      <c r="D58" s="43" t="s">
        <v>705</v>
      </c>
    </row>
    <row r="59">
      <c r="A59" s="28">
        <f>ROW()-ROW(Table_sprites[N])</f>
        <v>57</v>
      </c>
      <c r="B59" s="28" t="s">
        <v>525</v>
      </c>
      <c r="C59" s="43" t="s">
        <v>525</v>
      </c>
      <c r="D59" s="28" t="s">
        <v>714</v>
      </c>
    </row>
    <row r="60">
      <c r="A60" s="28">
        <f>ROW()-ROW(Table_sprites[N])</f>
        <v>58</v>
      </c>
      <c r="B60" s="28" t="s">
        <v>78</v>
      </c>
      <c r="C60" s="28" t="s">
        <v>78</v>
      </c>
      <c r="D60" s="28" t="s">
        <v>716</v>
      </c>
    </row>
    <row r="61">
      <c r="A61" s="28">
        <f>ROW()-ROW(Table_sprites[N])</f>
        <v>59</v>
      </c>
      <c r="B61" s="28" t="s">
        <v>582</v>
      </c>
      <c r="C61" s="28" t="s">
        <v>582</v>
      </c>
      <c r="D61" s="43" t="s">
        <v>702</v>
      </c>
    </row>
    <row r="62">
      <c r="A62" s="28">
        <f>ROW()-ROW(Table_sprites[N])</f>
        <v>60</v>
      </c>
      <c r="B62" s="28" t="s">
        <v>556</v>
      </c>
      <c r="C62" s="28" t="s">
        <v>556</v>
      </c>
      <c r="D62" s="43" t="s">
        <v>702</v>
      </c>
    </row>
    <row r="63">
      <c r="A63" s="28">
        <f>ROW()-ROW(Table_sprites[N])</f>
        <v>61</v>
      </c>
      <c r="B63" s="28" t="s">
        <v>572</v>
      </c>
      <c r="C63" s="28" t="s">
        <v>572</v>
      </c>
      <c r="D63" s="28" t="s">
        <v>662</v>
      </c>
    </row>
    <row r="64">
      <c r="A64" s="28">
        <f>ROW()-ROW(Table_sprites[N])</f>
        <v>62</v>
      </c>
      <c r="B64" s="28" t="s">
        <v>728</v>
      </c>
      <c r="C64" s="28" t="s">
        <v>728</v>
      </c>
      <c r="D64" s="28" t="s">
        <v>669</v>
      </c>
    </row>
    <row r="65">
      <c r="A65" s="28">
        <f>ROW()-ROW(Table_sprites[N])</f>
        <v>63</v>
      </c>
      <c r="B65" s="28" t="s">
        <v>600</v>
      </c>
      <c r="C65" s="28" t="s">
        <v>600</v>
      </c>
      <c r="D65" s="28" t="s">
        <v>731</v>
      </c>
    </row>
    <row r="66">
      <c r="A66" s="28">
        <f>ROW()-ROW(Table_sprites[N])</f>
        <v>64</v>
      </c>
      <c r="B66" s="28" t="s">
        <v>619</v>
      </c>
      <c r="C66" s="28" t="s">
        <v>619</v>
      </c>
      <c r="D66" s="28" t="s">
        <v>737</v>
      </c>
    </row>
    <row r="67">
      <c r="A67" s="28">
        <f>ROW()-ROW(Table_sprites[N])</f>
        <v>65</v>
      </c>
      <c r="B67" s="28" t="s">
        <v>739</v>
      </c>
      <c r="C67" s="28" t="s">
        <v>739</v>
      </c>
      <c r="D67" s="28" t="s">
        <v>741</v>
      </c>
    </row>
    <row r="68">
      <c r="A68" s="28">
        <f>ROW()-ROW(Table_sprites[N])</f>
        <v>66</v>
      </c>
      <c r="B68" s="28" t="s">
        <v>634</v>
      </c>
      <c r="C68" s="28" t="s">
        <v>634</v>
      </c>
      <c r="D68" s="28" t="s">
        <v>743</v>
      </c>
    </row>
    <row r="69">
      <c r="A69" s="28">
        <f>ROW()-ROW(Table_sprites[N])</f>
        <v>67</v>
      </c>
      <c r="B69" s="28" t="s">
        <v>744</v>
      </c>
      <c r="C69" s="28" t="s">
        <v>744</v>
      </c>
      <c r="D69" s="28" t="s">
        <v>746</v>
      </c>
    </row>
    <row r="70">
      <c r="A70" s="28">
        <f>ROW()-ROW(Table_sprites[N])</f>
        <v>68</v>
      </c>
      <c r="B70" s="28" t="s">
        <v>749</v>
      </c>
      <c r="C70" s="28" t="s">
        <v>749</v>
      </c>
      <c r="D70" s="28" t="s">
        <v>741</v>
      </c>
    </row>
    <row r="71">
      <c r="A71" s="28">
        <f>ROW()-ROW(Table_sprites[N])</f>
        <v>69</v>
      </c>
      <c r="B71" s="28" t="s">
        <v>458</v>
      </c>
      <c r="C71" s="28" t="s">
        <v>458</v>
      </c>
      <c r="D71" s="28" t="s">
        <v>752</v>
      </c>
    </row>
    <row r="72">
      <c r="A72" s="28">
        <f>ROW()-ROW(Table_sprites[N])</f>
        <v>70</v>
      </c>
      <c r="B72" s="28" t="s">
        <v>755</v>
      </c>
      <c r="C72" s="28" t="s">
        <v>755</v>
      </c>
      <c r="D72" s="28" t="s">
        <v>756</v>
      </c>
    </row>
    <row r="73">
      <c r="A73" s="28">
        <f>ROW()-ROW(Table_sprites[N])</f>
        <v>71</v>
      </c>
      <c r="B73" s="28" t="s">
        <v>757</v>
      </c>
      <c r="C73" s="28" t="s">
        <v>757</v>
      </c>
      <c r="D73" s="28" t="s">
        <v>756</v>
      </c>
    </row>
    <row r="74">
      <c r="A74" s="28">
        <f>ROW()-ROW(Table_sprites[N])</f>
        <v>72</v>
      </c>
      <c r="B74" s="28" t="s">
        <v>761</v>
      </c>
      <c r="C74" s="28" t="s">
        <v>761</v>
      </c>
      <c r="D74" s="28" t="s">
        <v>763</v>
      </c>
    </row>
    <row r="75">
      <c r="A75" s="28">
        <f>ROW()-ROW(Table_sprites[N])</f>
        <v>73</v>
      </c>
      <c r="B75" s="28" t="s">
        <v>765</v>
      </c>
      <c r="C75" s="28" t="s">
        <v>765</v>
      </c>
      <c r="D75" s="28" t="s">
        <v>763</v>
      </c>
    </row>
    <row r="76">
      <c r="A76" s="28">
        <f>ROW()-ROW(Table_sprites[N])</f>
        <v>74</v>
      </c>
      <c r="B76" s="28" t="s">
        <v>656</v>
      </c>
      <c r="C76" s="28" t="s">
        <v>656</v>
      </c>
      <c r="D76" s="28" t="s">
        <v>763</v>
      </c>
    </row>
    <row r="77">
      <c r="A77" s="28">
        <f>ROW()-ROW(Table_sprites[N])</f>
        <v>75</v>
      </c>
      <c r="B77" s="28" t="s">
        <v>671</v>
      </c>
      <c r="C77" s="28" t="s">
        <v>671</v>
      </c>
      <c r="D77" s="28" t="s">
        <v>763</v>
      </c>
    </row>
    <row r="78">
      <c r="A78" s="28">
        <f>ROW()-ROW(Table_sprites[N])</f>
        <v>76</v>
      </c>
      <c r="B78" s="28" t="s">
        <v>681</v>
      </c>
      <c r="C78" s="28" t="s">
        <v>681</v>
      </c>
      <c r="D78" s="43" t="s">
        <v>546</v>
      </c>
    </row>
    <row r="79">
      <c r="A79" s="28">
        <f>ROW()-ROW(Table_sprites[N])</f>
        <v>77</v>
      </c>
      <c r="B79" s="28" t="s">
        <v>706</v>
      </c>
      <c r="C79" s="28" t="s">
        <v>706</v>
      </c>
      <c r="D79" s="43" t="s">
        <v>705</v>
      </c>
    </row>
    <row r="80">
      <c r="A80" s="28">
        <f>ROW()-ROW(Table_sprites[N])</f>
        <v>78</v>
      </c>
      <c r="B80" s="28" t="s">
        <v>719</v>
      </c>
      <c r="C80" s="28" t="s">
        <v>719</v>
      </c>
      <c r="D80" s="43" t="s">
        <v>705</v>
      </c>
    </row>
    <row r="81">
      <c r="A81" s="28">
        <f>ROW()-ROW(Table_sprites[N])</f>
        <v>79</v>
      </c>
      <c r="B81" s="28" t="s">
        <v>730</v>
      </c>
      <c r="C81" s="28" t="s">
        <v>730</v>
      </c>
      <c r="D81" s="43" t="s">
        <v>546</v>
      </c>
    </row>
    <row r="82">
      <c r="A82" s="28">
        <f>ROW()-ROW(Table_sprites[N])</f>
        <v>80</v>
      </c>
      <c r="B82" s="28" t="s">
        <v>774</v>
      </c>
      <c r="C82" s="28" t="s">
        <v>775</v>
      </c>
      <c r="D82" s="28" t="s">
        <v>776</v>
      </c>
    </row>
    <row r="83">
      <c r="A83" s="28">
        <f>ROW()-ROW(Table_sprites[N])</f>
        <v>81</v>
      </c>
      <c r="B83" s="28" t="s">
        <v>754</v>
      </c>
      <c r="C83" s="28" t="s">
        <v>754</v>
      </c>
      <c r="D83" s="43" t="s">
        <v>546</v>
      </c>
    </row>
    <row r="84">
      <c r="A84" s="28">
        <f>ROW()-ROW(Table_sprites[N])</f>
        <v>82</v>
      </c>
      <c r="B84" s="28" t="s">
        <v>766</v>
      </c>
      <c r="C84" s="28" t="s">
        <v>766</v>
      </c>
      <c r="D84" s="28" t="s">
        <v>782</v>
      </c>
    </row>
    <row r="85">
      <c r="A85" s="28">
        <f>ROW()-ROW(Table_sprites[N])</f>
        <v>83</v>
      </c>
      <c r="B85" s="28" t="s">
        <v>770</v>
      </c>
      <c r="C85" s="28" t="s">
        <v>770</v>
      </c>
      <c r="D85" s="28" t="s">
        <v>782</v>
      </c>
    </row>
    <row r="86">
      <c r="A86" s="28">
        <f>ROW()-ROW(Table_sprites[N])</f>
        <v>84</v>
      </c>
      <c r="B86" s="28" t="s">
        <v>779</v>
      </c>
      <c r="C86" s="28" t="s">
        <v>779</v>
      </c>
      <c r="D86" s="28" t="s">
        <v>785</v>
      </c>
    </row>
    <row r="87">
      <c r="A87" s="28">
        <f>ROW()-ROW(Table_sprites[N])</f>
        <v>85</v>
      </c>
      <c r="B87" s="28" t="s">
        <v>786</v>
      </c>
      <c r="C87" s="28" t="s">
        <v>786</v>
      </c>
      <c r="D87" s="28" t="s">
        <v>787</v>
      </c>
    </row>
    <row r="88">
      <c r="A88" s="28">
        <f>ROW()-ROW(Table_sprites[N])</f>
        <v>86</v>
      </c>
      <c r="B88" s="28" t="s">
        <v>789</v>
      </c>
      <c r="C88" s="28" t="s">
        <v>789</v>
      </c>
      <c r="D88" s="28" t="s">
        <v>791</v>
      </c>
    </row>
    <row r="89">
      <c r="A89" s="28">
        <f>ROW()-ROW(Table_sprites[N])</f>
        <v>87</v>
      </c>
      <c r="B89" s="28" t="s">
        <v>793</v>
      </c>
      <c r="C89" s="28" t="s">
        <v>793</v>
      </c>
      <c r="D89" s="28" t="s">
        <v>794</v>
      </c>
    </row>
    <row r="90">
      <c r="A90" s="28">
        <f>ROW()-ROW(Table_sprites[N])</f>
        <v>88</v>
      </c>
      <c r="B90" s="28" t="s">
        <v>796</v>
      </c>
      <c r="C90" s="28" t="s">
        <v>796</v>
      </c>
      <c r="D90" s="28" t="s">
        <v>797</v>
      </c>
    </row>
    <row r="91">
      <c r="A91" s="28">
        <f>ROW()-ROW(Table_sprites[N])</f>
        <v>89</v>
      </c>
      <c r="B91" s="28" t="s">
        <v>799</v>
      </c>
      <c r="C91" s="28" t="s">
        <v>799</v>
      </c>
      <c r="D91" s="28" t="s">
        <v>800</v>
      </c>
    </row>
    <row r="92">
      <c r="A92" s="28">
        <f>ROW()-ROW(Table_sprites[N])</f>
        <v>90</v>
      </c>
      <c r="B92" s="28" t="s">
        <v>801</v>
      </c>
      <c r="C92" s="28" t="s">
        <v>801</v>
      </c>
      <c r="D92" s="28" t="s">
        <v>803</v>
      </c>
    </row>
    <row r="93">
      <c r="A93" s="28">
        <f>ROW()-ROW(Table_sprites[N])</f>
        <v>91</v>
      </c>
      <c r="B93" s="28" t="s">
        <v>806</v>
      </c>
      <c r="C93" s="28" t="s">
        <v>806</v>
      </c>
      <c r="D93" s="28" t="s">
        <v>797</v>
      </c>
    </row>
    <row r="94">
      <c r="A94" s="28">
        <f>ROW()-ROW(Table_sprites[N])</f>
        <v>92</v>
      </c>
      <c r="B94" s="28" t="s">
        <v>808</v>
      </c>
      <c r="C94" s="28" t="s">
        <v>808</v>
      </c>
      <c r="D94" s="28" t="s">
        <v>809</v>
      </c>
    </row>
    <row r="95">
      <c r="A95" s="28">
        <f>ROW()-ROW(Table_sprites[N])</f>
        <v>93</v>
      </c>
      <c r="B95" s="28" t="s">
        <v>811</v>
      </c>
      <c r="C95" s="28" t="s">
        <v>811</v>
      </c>
      <c r="D95" s="28" t="s">
        <v>812</v>
      </c>
    </row>
    <row r="96">
      <c r="A96" s="28">
        <f>ROW()-ROW(Table_sprites[N])</f>
        <v>94</v>
      </c>
      <c r="B96" s="28" t="s">
        <v>814</v>
      </c>
      <c r="C96" s="28" t="s">
        <v>814</v>
      </c>
      <c r="D96" s="28" t="s">
        <v>816</v>
      </c>
    </row>
    <row r="97">
      <c r="A97" s="28">
        <f>ROW()-ROW(Table_sprites[N])</f>
        <v>95</v>
      </c>
      <c r="B97" s="28" t="s">
        <v>821</v>
      </c>
      <c r="C97" s="28" t="s">
        <v>821</v>
      </c>
      <c r="D97" s="28" t="s">
        <v>822</v>
      </c>
    </row>
    <row r="98">
      <c r="A98" s="28">
        <f>ROW()-ROW(Table_sprites[N])</f>
        <v>96</v>
      </c>
      <c r="B98" s="28" t="s">
        <v>823</v>
      </c>
      <c r="C98" s="28" t="s">
        <v>823</v>
      </c>
      <c r="D98" s="28" t="s">
        <v>826</v>
      </c>
    </row>
    <row r="99">
      <c r="A99" s="28">
        <f>ROW()-ROW(Table_sprites[N])</f>
        <v>97</v>
      </c>
      <c r="B99" s="28" t="s">
        <v>828</v>
      </c>
      <c r="C99" s="28" t="s">
        <v>828</v>
      </c>
      <c r="D99" s="28" t="s">
        <v>546</v>
      </c>
    </row>
    <row r="100">
      <c r="A100" s="28">
        <f>ROW()-ROW(Table_sprites[N])</f>
        <v>98</v>
      </c>
      <c r="B100" s="28" t="s">
        <v>833</v>
      </c>
      <c r="C100" s="28" t="s">
        <v>833</v>
      </c>
      <c r="D100" s="28" t="s">
        <v>835</v>
      </c>
    </row>
    <row r="101">
      <c r="A101" s="28">
        <f>ROW()-ROW(Table_sprites[N])</f>
        <v>99</v>
      </c>
      <c r="B101" s="28" t="s">
        <v>839</v>
      </c>
      <c r="C101" s="28" t="s">
        <v>839</v>
      </c>
      <c r="D101" s="28" t="s">
        <v>835</v>
      </c>
    </row>
    <row r="102">
      <c r="A102" s="28">
        <f>ROW()-ROW(Table_sprites[N])</f>
        <v>100</v>
      </c>
      <c r="B102" s="28" t="s">
        <v>842</v>
      </c>
      <c r="C102" s="28" t="s">
        <v>842</v>
      </c>
      <c r="D102" s="28" t="s">
        <v>844</v>
      </c>
    </row>
    <row r="103">
      <c r="A103" s="28">
        <f>ROW()-ROW(Table_sprites[N])</f>
        <v>101</v>
      </c>
      <c r="B103" s="28" t="s">
        <v>846</v>
      </c>
      <c r="C103" s="28" t="s">
        <v>846</v>
      </c>
      <c r="D103" s="28" t="s">
        <v>844</v>
      </c>
    </row>
    <row r="104">
      <c r="A104" s="28">
        <f>ROW()-ROW(Table_sprites[N])</f>
        <v>102</v>
      </c>
      <c r="B104" s="28" t="s">
        <v>853</v>
      </c>
      <c r="C104" s="28" t="s">
        <v>853</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817</v>
      </c>
      <c r="C1" s="3" t="s">
        <v>819</v>
      </c>
      <c r="D1" s="1" t="s">
        <v>480</v>
      </c>
    </row>
    <row r="2">
      <c r="A2" s="43">
        <f>ROW() - ROW(Table_sounds[N])</f>
        <v>0</v>
      </c>
      <c r="B2" s="28" t="s">
        <v>825</v>
      </c>
      <c r="C2" s="28" t="s">
        <v>827</v>
      </c>
    </row>
    <row r="3">
      <c r="A3" s="43">
        <f>ROW() - ROW(Table_sounds[N])</f>
        <v>1</v>
      </c>
      <c r="B3" s="28" t="s">
        <v>830</v>
      </c>
      <c r="C3" s="28" t="s">
        <v>827</v>
      </c>
      <c r="D3" s="28" t="s">
        <v>830</v>
      </c>
    </row>
    <row r="4">
      <c r="A4" s="43">
        <f>ROW() - ROW(Table_sounds[N])</f>
        <v>2</v>
      </c>
      <c r="B4" s="28" t="s">
        <v>837</v>
      </c>
      <c r="C4" s="28" t="s">
        <v>827</v>
      </c>
      <c r="D4" s="28" t="s">
        <v>838</v>
      </c>
    </row>
    <row r="5">
      <c r="A5" s="43">
        <f>ROW() - ROW(Table_sounds[N])</f>
        <v>3</v>
      </c>
      <c r="B5" s="28" t="s">
        <v>841</v>
      </c>
      <c r="C5" s="28" t="s">
        <v>827</v>
      </c>
      <c r="D5" s="28" t="s">
        <v>843</v>
      </c>
    </row>
    <row r="6">
      <c r="A6" s="43">
        <f>ROW() - ROW(Table_sounds[N])</f>
        <v>4</v>
      </c>
      <c r="B6" s="28" t="s">
        <v>845</v>
      </c>
      <c r="C6" s="28" t="s">
        <v>827</v>
      </c>
      <c r="D6" s="28" t="s">
        <v>845</v>
      </c>
    </row>
    <row r="7">
      <c r="A7" s="43">
        <f>ROW() - ROW(Table_sounds[N])</f>
        <v>5</v>
      </c>
      <c r="B7" s="28" t="s">
        <v>852</v>
      </c>
      <c r="C7" s="28" t="s">
        <v>827</v>
      </c>
      <c r="D7" s="28" t="s">
        <v>852</v>
      </c>
    </row>
    <row r="8">
      <c r="A8" s="43">
        <f>ROW() - ROW(Table_sounds[N])</f>
        <v>6</v>
      </c>
      <c r="B8" s="28" t="s">
        <v>855</v>
      </c>
      <c r="C8" s="28" t="s">
        <v>827</v>
      </c>
      <c r="D8" s="28" t="s">
        <v>855</v>
      </c>
    </row>
    <row r="9">
      <c r="A9" s="43">
        <f>ROW() - ROW(Table_sounds[N])</f>
        <v>7</v>
      </c>
      <c r="B9" s="28" t="s">
        <v>856</v>
      </c>
      <c r="C9" s="28" t="s">
        <v>827</v>
      </c>
      <c r="D9" s="28" t="s">
        <v>856</v>
      </c>
    </row>
    <row r="10">
      <c r="A10" s="43">
        <f>ROW() - ROW(Table_sounds[N])</f>
        <v>8</v>
      </c>
      <c r="B10" s="28" t="s">
        <v>860</v>
      </c>
      <c r="C10" s="28" t="s">
        <v>827</v>
      </c>
      <c r="D10" s="28" t="s">
        <v>860</v>
      </c>
    </row>
    <row r="11">
      <c r="A11" s="43">
        <f>ROW() - ROW(Table_sounds[N])</f>
        <v>9</v>
      </c>
      <c r="B11" s="28" t="s">
        <v>863</v>
      </c>
      <c r="C11" s="28" t="s">
        <v>827</v>
      </c>
      <c r="D11" s="28" t="s">
        <v>863</v>
      </c>
    </row>
    <row r="12">
      <c r="A12" s="43">
        <f>ROW() - ROW(Table_sounds[N])</f>
        <v>10</v>
      </c>
      <c r="B12" s="28" t="s">
        <v>864</v>
      </c>
      <c r="C12" s="28" t="s">
        <v>827</v>
      </c>
      <c r="D12" s="28" t="s">
        <v>864</v>
      </c>
    </row>
    <row r="13">
      <c r="A13" s="43">
        <f>ROW() - ROW(Table_sounds[N])</f>
        <v>11</v>
      </c>
      <c r="B13" s="28" t="s">
        <v>868</v>
      </c>
      <c r="C13" s="28" t="s">
        <v>827</v>
      </c>
      <c r="D13" s="28" t="s">
        <v>868</v>
      </c>
    </row>
    <row r="14">
      <c r="A14" s="43">
        <f>ROW() - ROW(Table_sounds[N])</f>
        <v>12</v>
      </c>
      <c r="B14" s="28" t="s">
        <v>871</v>
      </c>
      <c r="C14" s="28" t="s">
        <v>827</v>
      </c>
      <c r="D14" s="28" t="s">
        <v>871</v>
      </c>
    </row>
    <row r="15">
      <c r="A15" s="43">
        <f>ROW() - ROW(Table_sounds[N])</f>
        <v>13</v>
      </c>
      <c r="B15" s="28" t="s">
        <v>872</v>
      </c>
      <c r="C15" s="28" t="s">
        <v>827</v>
      </c>
      <c r="D15" s="28" t="s">
        <v>872</v>
      </c>
    </row>
    <row r="16">
      <c r="A16" s="43">
        <f>ROW() - ROW(Table_sounds[N])</f>
        <v>14</v>
      </c>
      <c r="B16" s="28" t="s">
        <v>875</v>
      </c>
      <c r="C16" s="28" t="s">
        <v>827</v>
      </c>
      <c r="D16" s="28" t="s">
        <v>875</v>
      </c>
    </row>
    <row r="17">
      <c r="A17" s="43">
        <f>ROW() - ROW(Table_sounds[N])</f>
        <v>15</v>
      </c>
      <c r="B17" s="28" t="s">
        <v>878</v>
      </c>
      <c r="C17" s="28" t="s">
        <v>827</v>
      </c>
      <c r="D17" s="28" t="s">
        <v>879</v>
      </c>
    </row>
    <row r="18">
      <c r="A18" s="43">
        <f>ROW() - ROW(Table_sounds[N])</f>
        <v>16</v>
      </c>
      <c r="B18" s="28" t="s">
        <v>880</v>
      </c>
      <c r="C18" s="28" t="s">
        <v>827</v>
      </c>
      <c r="D18" s="28" t="s">
        <v>882</v>
      </c>
    </row>
    <row r="19">
      <c r="A19" s="43">
        <f>ROW() - ROW(Table_sounds[N])</f>
        <v>17</v>
      </c>
      <c r="B19" s="28" t="s">
        <v>886</v>
      </c>
      <c r="C19" s="28" t="s">
        <v>827</v>
      </c>
      <c r="D19" s="28" t="s">
        <v>887</v>
      </c>
    </row>
    <row r="20">
      <c r="A20" s="43">
        <f>ROW() - ROW(Table_sounds[N])</f>
        <v>18</v>
      </c>
      <c r="B20" s="28" t="s">
        <v>890</v>
      </c>
      <c r="C20" s="28" t="s">
        <v>827</v>
      </c>
      <c r="D20" s="28" t="s">
        <v>892</v>
      </c>
    </row>
    <row r="21">
      <c r="A21" s="43">
        <f>ROW() - ROW(Table_sounds[N])</f>
        <v>19</v>
      </c>
      <c r="B21" s="28" t="s">
        <v>893</v>
      </c>
      <c r="C21" s="28" t="s">
        <v>827</v>
      </c>
      <c r="D21" s="28" t="s">
        <v>894</v>
      </c>
    </row>
    <row r="22">
      <c r="A22" s="43">
        <f>ROW() - ROW(Table_sounds[N])</f>
        <v>20</v>
      </c>
      <c r="B22" s="28" t="s">
        <v>896</v>
      </c>
      <c r="C22" s="28" t="s">
        <v>827</v>
      </c>
      <c r="D22" s="28" t="s">
        <v>900</v>
      </c>
    </row>
    <row r="23">
      <c r="A23" s="43">
        <f>ROW() - ROW(Table_sounds[N])</f>
        <v>21</v>
      </c>
      <c r="B23" s="28" t="s">
        <v>903</v>
      </c>
      <c r="C23" s="28" t="s">
        <v>827</v>
      </c>
      <c r="D23" s="28" t="s">
        <v>904</v>
      </c>
    </row>
    <row r="24">
      <c r="A24" s="43">
        <f>ROW() - ROW(Table_sounds[N])</f>
        <v>22</v>
      </c>
      <c r="B24" s="28" t="s">
        <v>908</v>
      </c>
      <c r="C24" s="28" t="s">
        <v>827</v>
      </c>
      <c r="D24" s="28" t="s">
        <v>910</v>
      </c>
    </row>
    <row r="25">
      <c r="A25" s="43">
        <f>ROW() - ROW(Table_sounds[N])</f>
        <v>23</v>
      </c>
      <c r="B25" s="28" t="s">
        <v>913</v>
      </c>
      <c r="C25" s="28" t="s">
        <v>827</v>
      </c>
      <c r="D25" s="28" t="s">
        <v>915</v>
      </c>
    </row>
    <row r="26">
      <c r="A26" s="43">
        <f>ROW() - ROW(Table_sounds[N])</f>
        <v>24</v>
      </c>
      <c r="B26" s="28" t="s">
        <v>918</v>
      </c>
      <c r="C26" s="28" t="s">
        <v>827</v>
      </c>
      <c r="D26" s="28" t="s">
        <v>920</v>
      </c>
    </row>
    <row r="27">
      <c r="A27" s="43">
        <f>ROW() - ROW(Table_sounds[N])</f>
        <v>25</v>
      </c>
      <c r="B27" s="28" t="s">
        <v>922</v>
      </c>
      <c r="C27" s="28" t="s">
        <v>827</v>
      </c>
      <c r="D27" s="28" t="s">
        <v>923</v>
      </c>
    </row>
    <row r="28">
      <c r="A28" s="43">
        <f>ROW() - ROW(Table_sounds[N])</f>
        <v>26</v>
      </c>
      <c r="B28" s="28" t="s">
        <v>929</v>
      </c>
      <c r="C28" s="28" t="s">
        <v>827</v>
      </c>
      <c r="D28" s="28" t="s">
        <v>932</v>
      </c>
    </row>
    <row r="29">
      <c r="A29" s="43">
        <f>ROW() - ROW(Table_sounds[N])</f>
        <v>27</v>
      </c>
      <c r="B29" s="28" t="s">
        <v>936</v>
      </c>
      <c r="C29" s="28" t="s">
        <v>827</v>
      </c>
      <c r="D29" s="28" t="s">
        <v>937</v>
      </c>
    </row>
    <row r="30">
      <c r="A30" s="43">
        <f>ROW() - ROW(Table_sounds[N])</f>
        <v>28</v>
      </c>
      <c r="B30" s="28" t="s">
        <v>940</v>
      </c>
      <c r="C30" s="28" t="s">
        <v>827</v>
      </c>
      <c r="D30" s="28" t="s">
        <v>943</v>
      </c>
    </row>
    <row r="31">
      <c r="A31" s="43">
        <f>ROW() - ROW(Table_sounds[N])</f>
        <v>29</v>
      </c>
      <c r="B31" s="28" t="s">
        <v>944</v>
      </c>
      <c r="C31" s="28" t="s">
        <v>827</v>
      </c>
      <c r="D31" s="28" t="s">
        <v>946</v>
      </c>
    </row>
    <row r="32">
      <c r="A32" s="43">
        <f>ROW() - ROW(Table_sounds[N])</f>
        <v>30</v>
      </c>
      <c r="B32" s="28" t="s">
        <v>949</v>
      </c>
      <c r="C32" s="28" t="s">
        <v>827</v>
      </c>
      <c r="D32" s="28" t="s">
        <v>951</v>
      </c>
    </row>
    <row r="33">
      <c r="A33" s="43">
        <f>ROW() - ROW(Table_sounds[N])</f>
        <v>31</v>
      </c>
      <c r="B33" s="28" t="s">
        <v>954</v>
      </c>
      <c r="C33" s="28" t="s">
        <v>827</v>
      </c>
      <c r="D33" s="28" t="s">
        <v>955</v>
      </c>
    </row>
    <row r="34">
      <c r="A34" s="43">
        <f>ROW() - ROW(Table_sounds[N])</f>
        <v>32</v>
      </c>
      <c r="B34" s="28" t="s">
        <v>957</v>
      </c>
      <c r="C34" s="28" t="s">
        <v>827</v>
      </c>
      <c r="D34" s="28" t="s">
        <v>959</v>
      </c>
    </row>
    <row r="35">
      <c r="A35" s="43">
        <f>ROW() - ROW(Table_sounds[N])</f>
        <v>33</v>
      </c>
      <c r="B35" s="28" t="s">
        <v>963</v>
      </c>
      <c r="C35" s="28" t="s">
        <v>827</v>
      </c>
      <c r="D35" s="28" t="s">
        <v>965</v>
      </c>
    </row>
    <row r="36">
      <c r="A36" s="43">
        <f>ROW() - ROW(Table_sounds[N])</f>
        <v>34</v>
      </c>
      <c r="B36" s="28" t="s">
        <v>967</v>
      </c>
      <c r="C36" s="28" t="s">
        <v>827</v>
      </c>
      <c r="D36" s="28" t="s">
        <v>968</v>
      </c>
    </row>
    <row r="37">
      <c r="A37" s="43">
        <f>ROW() - ROW(Table_sounds[N])</f>
        <v>35</v>
      </c>
      <c r="B37" s="28" t="s">
        <v>972</v>
      </c>
      <c r="C37" s="28" t="s">
        <v>827</v>
      </c>
      <c r="D37" s="28" t="s">
        <v>973</v>
      </c>
    </row>
    <row r="38">
      <c r="A38" s="43">
        <f>ROW() - ROW(Table_sounds[N])</f>
        <v>36</v>
      </c>
      <c r="B38" s="28" t="s">
        <v>978</v>
      </c>
      <c r="C38" s="28" t="s">
        <v>827</v>
      </c>
      <c r="D38" s="28" t="s">
        <v>981</v>
      </c>
    </row>
    <row r="39">
      <c r="A39" s="43">
        <f>ROW() - ROW(Table_sounds[N])</f>
        <v>37</v>
      </c>
      <c r="B39" s="28" t="s">
        <v>982</v>
      </c>
      <c r="C39" s="28" t="s">
        <v>827</v>
      </c>
      <c r="D39" s="28" t="s">
        <v>984</v>
      </c>
    </row>
    <row r="40">
      <c r="A40" s="43">
        <f>ROW() - ROW(Table_sounds[N])</f>
        <v>38</v>
      </c>
      <c r="B40" s="28" t="s">
        <v>987</v>
      </c>
      <c r="C40" s="28" t="s">
        <v>827</v>
      </c>
      <c r="D40" s="28" t="s">
        <v>988</v>
      </c>
    </row>
    <row r="41">
      <c r="A41" s="43">
        <f>ROW() - ROW(Table_sounds[N])</f>
        <v>39</v>
      </c>
      <c r="B41" s="28" t="s">
        <v>992</v>
      </c>
      <c r="C41" s="28" t="s">
        <v>827</v>
      </c>
      <c r="D41" s="28" t="s">
        <v>993</v>
      </c>
    </row>
    <row r="42">
      <c r="A42" s="43">
        <f>ROW() - ROW(Table_sounds[N])</f>
        <v>40</v>
      </c>
      <c r="B42" s="28" t="s">
        <v>996</v>
      </c>
      <c r="C42" s="28" t="s">
        <v>827</v>
      </c>
      <c r="D42" s="28" t="s">
        <v>998</v>
      </c>
    </row>
    <row r="43">
      <c r="A43" s="43">
        <f>ROW() - ROW(Table_sounds[N])</f>
        <v>41</v>
      </c>
      <c r="B43" s="28" t="s">
        <v>74</v>
      </c>
      <c r="C43" s="28" t="s">
        <v>827</v>
      </c>
      <c r="D43" s="28" t="s">
        <v>74</v>
      </c>
    </row>
    <row r="44">
      <c r="A44" s="43">
        <f>ROW() - ROW(Table_sounds[N])</f>
        <v>42</v>
      </c>
      <c r="B44" s="28" t="s">
        <v>1001</v>
      </c>
      <c r="C44" s="28" t="s">
        <v>827</v>
      </c>
      <c r="D44" s="28" t="s">
        <v>1001</v>
      </c>
    </row>
    <row r="45">
      <c r="A45" s="43">
        <f>ROW() - ROW(Table_sounds[N])</f>
        <v>43</v>
      </c>
      <c r="B45" s="28" t="s">
        <v>1005</v>
      </c>
      <c r="C45" s="28" t="s">
        <v>827</v>
      </c>
      <c r="D45" s="28" t="s">
        <v>1005</v>
      </c>
    </row>
    <row r="46">
      <c r="A46" s="43">
        <f>ROW() - ROW(Table_sounds[N])</f>
        <v>44</v>
      </c>
      <c r="B46" s="28" t="s">
        <v>1007</v>
      </c>
      <c r="C46" s="28" t="s">
        <v>827</v>
      </c>
      <c r="D46" s="28" t="s">
        <v>1007</v>
      </c>
    </row>
    <row r="47">
      <c r="A47" s="43">
        <f>ROW() - ROW(Table_sounds[N])</f>
        <v>45</v>
      </c>
      <c r="B47" s="28" t="s">
        <v>1012</v>
      </c>
      <c r="C47" s="28" t="s">
        <v>827</v>
      </c>
      <c r="D47" s="28" t="s">
        <v>1012</v>
      </c>
    </row>
    <row r="48">
      <c r="A48" s="43">
        <f>ROW() - ROW(Table_sounds[N])</f>
        <v>46</v>
      </c>
      <c r="B48" s="28" t="s">
        <v>1016</v>
      </c>
      <c r="C48" s="28" t="s">
        <v>827</v>
      </c>
      <c r="D48" s="28" t="s">
        <v>1017</v>
      </c>
    </row>
    <row r="49">
      <c r="A49" s="43">
        <f>ROW() - ROW(Table_sounds[N])</f>
        <v>47</v>
      </c>
      <c r="B49" s="28" t="s">
        <v>1020</v>
      </c>
      <c r="C49" s="28" t="s">
        <v>827</v>
      </c>
      <c r="D49" s="28" t="s">
        <v>1021</v>
      </c>
    </row>
    <row r="50">
      <c r="A50" s="43">
        <f>ROW() - ROW(Table_sounds[N])</f>
        <v>48</v>
      </c>
      <c r="B50" s="28" t="s">
        <v>1025</v>
      </c>
      <c r="C50" s="28" t="s">
        <v>827</v>
      </c>
      <c r="D50" s="28" t="s">
        <v>1027</v>
      </c>
    </row>
    <row r="51">
      <c r="A51" s="43">
        <f>ROW() - ROW(Table_sounds[N])</f>
        <v>49</v>
      </c>
      <c r="B51" s="28" t="s">
        <v>1029</v>
      </c>
      <c r="C51" s="28" t="s">
        <v>827</v>
      </c>
      <c r="D51" s="28" t="s">
        <v>1032</v>
      </c>
    </row>
    <row r="52">
      <c r="A52" s="43">
        <f>ROW() - ROW(Table_sounds[N])</f>
        <v>50</v>
      </c>
      <c r="B52" s="28" t="s">
        <v>1034</v>
      </c>
      <c r="C52" s="28" t="s">
        <v>827</v>
      </c>
      <c r="D52" s="28" t="s">
        <v>1035</v>
      </c>
    </row>
    <row r="53">
      <c r="A53" s="43">
        <f>ROW() - ROW(Table_sounds[N])</f>
        <v>51</v>
      </c>
      <c r="B53" s="28" t="s">
        <v>1039</v>
      </c>
      <c r="C53" s="28" t="s">
        <v>827</v>
      </c>
      <c r="D53" s="28" t="s">
        <v>1039</v>
      </c>
    </row>
    <row r="54">
      <c r="A54" s="43">
        <f>ROW() - ROW(Table_sounds[N])</f>
        <v>52</v>
      </c>
      <c r="B54" s="28" t="s">
        <v>1045</v>
      </c>
      <c r="C54" s="28" t="s">
        <v>827</v>
      </c>
      <c r="D54" s="28" t="s">
        <v>1046</v>
      </c>
    </row>
    <row r="55">
      <c r="A55" s="43">
        <f>ROW() - ROW(Table_sounds[N])</f>
        <v>53</v>
      </c>
      <c r="B55" s="28" t="s">
        <v>1051</v>
      </c>
      <c r="C55" s="28" t="s">
        <v>827</v>
      </c>
      <c r="D55" s="28" t="s">
        <v>1052</v>
      </c>
    </row>
    <row r="56">
      <c r="A56" s="43">
        <f>ROW() - ROW(Table_sounds[N])</f>
        <v>54</v>
      </c>
      <c r="B56" s="28" t="s">
        <v>1056</v>
      </c>
      <c r="C56" s="28" t="s">
        <v>827</v>
      </c>
      <c r="D56" s="28" t="s">
        <v>1060</v>
      </c>
    </row>
    <row r="57">
      <c r="A57" s="43">
        <f>ROW() - ROW(Table_sounds[N])</f>
        <v>55</v>
      </c>
      <c r="B57" s="28" t="s">
        <v>1063</v>
      </c>
      <c r="C57" s="28" t="s">
        <v>827</v>
      </c>
      <c r="D57" s="28" t="s">
        <v>1066</v>
      </c>
    </row>
    <row r="58">
      <c r="A58" s="43">
        <f>ROW() - ROW(Table_sounds[N])</f>
        <v>56</v>
      </c>
      <c r="B58" s="28" t="s">
        <v>1072</v>
      </c>
      <c r="C58" s="28" t="s">
        <v>827</v>
      </c>
      <c r="D58" s="28" t="s">
        <v>1072</v>
      </c>
    </row>
    <row r="59">
      <c r="A59" s="43">
        <f>ROW() - ROW(Table_sounds[N])</f>
        <v>57</v>
      </c>
      <c r="B59" s="28" t="s">
        <v>1077</v>
      </c>
      <c r="C59" s="28" t="s">
        <v>827</v>
      </c>
      <c r="D59" s="28" t="s">
        <v>1079</v>
      </c>
    </row>
    <row r="60">
      <c r="A60" s="43">
        <f>ROW() - ROW(Table_sounds[N])</f>
        <v>58</v>
      </c>
      <c r="B60" s="28" t="s">
        <v>1083</v>
      </c>
      <c r="C60" s="28" t="s">
        <v>827</v>
      </c>
      <c r="D60" s="28" t="s">
        <v>1087</v>
      </c>
    </row>
    <row r="61">
      <c r="A61" s="43">
        <f>ROW() - ROW(Table_sounds[N])</f>
        <v>59</v>
      </c>
      <c r="B61" s="28" t="s">
        <v>1090</v>
      </c>
      <c r="C61" s="28" t="s">
        <v>827</v>
      </c>
      <c r="D61" s="28" t="s">
        <v>1093</v>
      </c>
    </row>
    <row r="62">
      <c r="A62" s="43">
        <f>ROW() - ROW(Table_sounds[N])</f>
        <v>60</v>
      </c>
      <c r="B62" s="28" t="s">
        <v>1099</v>
      </c>
      <c r="C62" s="28" t="s">
        <v>827</v>
      </c>
      <c r="D62" s="28" t="s">
        <v>1102</v>
      </c>
    </row>
    <row r="63">
      <c r="A63" s="43">
        <f>ROW() - ROW(Table_sounds[N])</f>
        <v>61</v>
      </c>
      <c r="B63" s="28" t="s">
        <v>1106</v>
      </c>
      <c r="C63" s="28" t="s">
        <v>827</v>
      </c>
      <c r="D63" s="28" t="s">
        <v>1107</v>
      </c>
    </row>
    <row r="64">
      <c r="A64" s="43">
        <f>ROW() - ROW(Table_sounds[N])</f>
        <v>62</v>
      </c>
      <c r="B64" s="28" t="s">
        <v>1110</v>
      </c>
      <c r="C64" s="28" t="s">
        <v>827</v>
      </c>
      <c r="D64" s="28" t="s">
        <v>1111</v>
      </c>
    </row>
    <row r="65">
      <c r="A65" s="43">
        <f>ROW() - ROW(Table_sounds[N])</f>
        <v>63</v>
      </c>
      <c r="B65" s="28" t="s">
        <v>1115</v>
      </c>
      <c r="C65" s="28" t="s">
        <v>827</v>
      </c>
      <c r="D65" s="28" t="s">
        <v>1116</v>
      </c>
    </row>
    <row r="66">
      <c r="A66" s="43">
        <f>ROW() - ROW(Table_sounds[N])</f>
        <v>64</v>
      </c>
      <c r="B66" s="28" t="s">
        <v>1119</v>
      </c>
      <c r="C66" s="28" t="s">
        <v>827</v>
      </c>
      <c r="D66" s="28" t="s">
        <v>1121</v>
      </c>
    </row>
    <row r="67">
      <c r="A67" s="43">
        <f>ROW() - ROW(Table_sounds[N])</f>
        <v>65</v>
      </c>
      <c r="B67" s="28" t="s">
        <v>1122</v>
      </c>
      <c r="C67" s="28" t="s">
        <v>827</v>
      </c>
      <c r="D67" s="28" t="s">
        <v>1125</v>
      </c>
    </row>
    <row r="68">
      <c r="A68" s="43">
        <f>ROW() - ROW(Table_sounds[N])</f>
        <v>66</v>
      </c>
      <c r="B68" s="28" t="s">
        <v>1128</v>
      </c>
      <c r="C68" s="28" t="s">
        <v>827</v>
      </c>
      <c r="D68" s="28" t="s">
        <v>1130</v>
      </c>
    </row>
    <row r="69">
      <c r="A69" s="43">
        <f>ROW() - ROW(Table_sounds[N])</f>
        <v>67</v>
      </c>
      <c r="B69" s="28" t="s">
        <v>1132</v>
      </c>
      <c r="C69" s="28" t="s">
        <v>827</v>
      </c>
      <c r="D69" s="28" t="s">
        <v>1134</v>
      </c>
    </row>
    <row r="70">
      <c r="A70" s="43">
        <f>ROW() - ROW(Table_sounds[N])</f>
        <v>68</v>
      </c>
      <c r="B70" s="28" t="s">
        <v>1139</v>
      </c>
      <c r="C70" s="28" t="s">
        <v>827</v>
      </c>
      <c r="D70" s="28" t="s">
        <v>1140</v>
      </c>
    </row>
    <row r="71">
      <c r="A71" s="43">
        <f>ROW() - ROW(Table_sounds[N])</f>
        <v>69</v>
      </c>
      <c r="B71" s="28" t="s">
        <v>1144</v>
      </c>
      <c r="C71" s="28" t="s">
        <v>827</v>
      </c>
      <c r="D71" s="28" t="s">
        <v>1146</v>
      </c>
    </row>
    <row r="72">
      <c r="A72" s="43">
        <f>ROW() - ROW(Table_sounds[N])</f>
        <v>70</v>
      </c>
      <c r="B72" s="28" t="s">
        <v>1149</v>
      </c>
      <c r="C72" s="28" t="s">
        <v>827</v>
      </c>
      <c r="D72" s="28" t="s">
        <v>1153</v>
      </c>
    </row>
    <row r="73">
      <c r="A73" s="43">
        <f>ROW() - ROW(Table_sounds[N])</f>
        <v>71</v>
      </c>
      <c r="B73" s="28" t="s">
        <v>1158</v>
      </c>
      <c r="C73" s="28" t="s">
        <v>827</v>
      </c>
      <c r="D73" s="28" t="s">
        <v>1160</v>
      </c>
    </row>
    <row r="74">
      <c r="A74" s="43">
        <f>ROW() - ROW(Table_sounds[N])</f>
        <v>72</v>
      </c>
      <c r="B74" s="28" t="s">
        <v>1167</v>
      </c>
      <c r="C74" s="28" t="s">
        <v>827</v>
      </c>
      <c r="D74" s="28" t="s">
        <v>1168</v>
      </c>
    </row>
    <row r="75">
      <c r="A75" s="43">
        <f>ROW() - ROW(Table_sounds[N])</f>
        <v>73</v>
      </c>
      <c r="B75" s="28" t="s">
        <v>1174</v>
      </c>
      <c r="C75" s="28" t="s">
        <v>827</v>
      </c>
      <c r="D75" s="28" t="s">
        <v>1175</v>
      </c>
    </row>
    <row r="76">
      <c r="A76" s="43">
        <f>ROW() - ROW(Table_sounds[N])</f>
        <v>74</v>
      </c>
      <c r="B76" s="28" t="s">
        <v>1180</v>
      </c>
      <c r="C76" s="28" t="s">
        <v>827</v>
      </c>
      <c r="D76" s="28" t="s">
        <v>1181</v>
      </c>
    </row>
    <row r="77">
      <c r="A77" s="43">
        <f>ROW() - ROW(Table_sounds[N])</f>
        <v>75</v>
      </c>
      <c r="B77" s="28" t="s">
        <v>1189</v>
      </c>
      <c r="C77" s="28" t="s">
        <v>827</v>
      </c>
      <c r="D77" s="28" t="s">
        <v>1193</v>
      </c>
    </row>
    <row r="78">
      <c r="A78" s="43">
        <f>ROW() - ROW(Table_sounds[N])</f>
        <v>76</v>
      </c>
      <c r="B78" s="28" t="s">
        <v>1195</v>
      </c>
      <c r="C78" s="28" t="s">
        <v>827</v>
      </c>
      <c r="D78" s="28" t="s">
        <v>1198</v>
      </c>
    </row>
    <row r="79">
      <c r="A79" s="43">
        <f>ROW() - ROW(Table_sounds[N])</f>
        <v>77</v>
      </c>
      <c r="B79" s="28" t="s">
        <v>1203</v>
      </c>
      <c r="C79" s="28" t="s">
        <v>827</v>
      </c>
      <c r="D79" s="28" t="s">
        <v>1206</v>
      </c>
    </row>
    <row r="80">
      <c r="A80" s="43">
        <f>ROW() - ROW(Table_sounds[N])</f>
        <v>78</v>
      </c>
      <c r="B80" s="28" t="s">
        <v>1210</v>
      </c>
      <c r="C80" s="28" t="s">
        <v>827</v>
      </c>
      <c r="D80" s="28" t="s">
        <v>1213</v>
      </c>
    </row>
    <row r="81">
      <c r="A81" s="43">
        <f>ROW() - ROW(Table_sounds[N])</f>
        <v>79</v>
      </c>
      <c r="B81" s="28" t="s">
        <v>1216</v>
      </c>
      <c r="C81" s="28" t="s">
        <v>827</v>
      </c>
      <c r="D81" s="28" t="s">
        <v>1217</v>
      </c>
    </row>
    <row r="82">
      <c r="A82" s="43">
        <f>ROW() - ROW(Table_sounds[N])</f>
        <v>80</v>
      </c>
      <c r="B82" s="28" t="s">
        <v>1221</v>
      </c>
      <c r="C82" s="28" t="s">
        <v>827</v>
      </c>
      <c r="D82" s="28" t="s">
        <v>1223</v>
      </c>
    </row>
    <row r="83">
      <c r="A83" s="43">
        <f>ROW() - ROW(Table_sounds[N])</f>
        <v>81</v>
      </c>
      <c r="B83" s="28" t="s">
        <v>1227</v>
      </c>
      <c r="C83" s="28" t="s">
        <v>827</v>
      </c>
      <c r="D83" s="28" t="s">
        <v>1229</v>
      </c>
    </row>
    <row r="84">
      <c r="A84" s="43">
        <f>ROW() - ROW(Table_sounds[N])</f>
        <v>82</v>
      </c>
      <c r="B84" s="28" t="s">
        <v>1235</v>
      </c>
      <c r="C84" s="28" t="s">
        <v>827</v>
      </c>
      <c r="D84" s="28" t="s">
        <v>1235</v>
      </c>
    </row>
    <row r="85">
      <c r="A85" s="43">
        <f>ROW() - ROW(Table_sounds[N])</f>
        <v>83</v>
      </c>
      <c r="B85" s="28" t="s">
        <v>1241</v>
      </c>
      <c r="C85" s="28" t="s">
        <v>827</v>
      </c>
      <c r="D85" s="28" t="s">
        <v>1241</v>
      </c>
    </row>
    <row r="86">
      <c r="A86" s="43">
        <f>ROW() - ROW(Table_sounds[N])</f>
        <v>84</v>
      </c>
      <c r="B86" s="28" t="s">
        <v>1246</v>
      </c>
      <c r="C86" s="28" t="s">
        <v>827</v>
      </c>
      <c r="D86" s="28" t="s">
        <v>1246</v>
      </c>
    </row>
    <row r="87">
      <c r="A87" s="43">
        <f>ROW() - ROW(Table_sounds[N])</f>
        <v>85</v>
      </c>
      <c r="B87" s="28" t="s">
        <v>1251</v>
      </c>
      <c r="C87" s="28" t="s">
        <v>827</v>
      </c>
      <c r="D87" s="28" t="s">
        <v>1251</v>
      </c>
    </row>
    <row r="88">
      <c r="A88" s="43">
        <f>ROW() - ROW(Table_sounds[N])</f>
        <v>86</v>
      </c>
      <c r="B88" s="28" t="s">
        <v>1256</v>
      </c>
      <c r="C88" s="28" t="s">
        <v>827</v>
      </c>
      <c r="D88" s="28" t="s">
        <v>1259</v>
      </c>
    </row>
    <row r="89">
      <c r="A89" s="43">
        <f>ROW() - ROW(Table_sounds[N])</f>
        <v>87</v>
      </c>
      <c r="B89" s="28" t="s">
        <v>1263</v>
      </c>
      <c r="C89" s="28" t="s">
        <v>827</v>
      </c>
      <c r="D89" s="28" t="s">
        <v>1265</v>
      </c>
    </row>
    <row r="90">
      <c r="A90" s="43">
        <f>ROW() - ROW(Table_sounds[N])</f>
        <v>88</v>
      </c>
      <c r="B90" s="28" t="s">
        <v>1270</v>
      </c>
      <c r="C90" s="28" t="s">
        <v>827</v>
      </c>
      <c r="D90" s="28" t="s">
        <v>1272</v>
      </c>
    </row>
    <row r="91">
      <c r="A91" s="43">
        <f>ROW() - ROW(Table_sounds[N])</f>
        <v>89</v>
      </c>
      <c r="B91" s="28" t="s">
        <v>1276</v>
      </c>
      <c r="C91" s="28" t="s">
        <v>827</v>
      </c>
      <c r="D91" s="28" t="s">
        <v>1277</v>
      </c>
    </row>
    <row r="92">
      <c r="A92" s="43">
        <f>ROW() - ROW(Table_sounds[N])</f>
        <v>90</v>
      </c>
      <c r="B92" s="28" t="s">
        <v>1281</v>
      </c>
      <c r="C92" s="28" t="s">
        <v>827</v>
      </c>
      <c r="D92" s="28" t="s">
        <v>1282</v>
      </c>
    </row>
    <row r="93">
      <c r="A93" s="43">
        <f>ROW() - ROW(Table_sounds[N])</f>
        <v>91</v>
      </c>
      <c r="B93" s="28" t="s">
        <v>1286</v>
      </c>
      <c r="C93" s="28" t="s">
        <v>827</v>
      </c>
      <c r="D93" s="28" t="s">
        <v>1288</v>
      </c>
    </row>
    <row r="94">
      <c r="A94" s="43">
        <f>ROW() - ROW(Table_sounds[N])</f>
        <v>92</v>
      </c>
      <c r="B94" s="28" t="s">
        <v>1295</v>
      </c>
      <c r="C94" s="28" t="s">
        <v>827</v>
      </c>
      <c r="D94" s="28" t="s">
        <v>1296</v>
      </c>
    </row>
    <row r="95">
      <c r="A95" s="43">
        <f>ROW() - ROW(Table_sounds[N])</f>
        <v>93</v>
      </c>
      <c r="B95" s="28" t="s">
        <v>1299</v>
      </c>
      <c r="C95" s="28" t="s">
        <v>827</v>
      </c>
      <c r="D95" s="28" t="s">
        <v>1300</v>
      </c>
    </row>
    <row r="96">
      <c r="A96" s="43">
        <f>ROW() - ROW(Table_sounds[N])</f>
        <v>94</v>
      </c>
      <c r="B96" s="28" t="s">
        <v>1303</v>
      </c>
      <c r="C96" s="28" t="s">
        <v>827</v>
      </c>
      <c r="D96" s="28" t="s">
        <v>1304</v>
      </c>
    </row>
    <row r="97">
      <c r="A97" s="43">
        <f>ROW() - ROW(Table_sounds[N])</f>
        <v>95</v>
      </c>
      <c r="B97" s="28" t="s">
        <v>1309</v>
      </c>
      <c r="C97" s="28" t="s">
        <v>827</v>
      </c>
      <c r="D97" s="28" t="s">
        <v>1311</v>
      </c>
    </row>
    <row r="98">
      <c r="A98" s="43">
        <f>ROW() - ROW(Table_sounds[N])</f>
        <v>96</v>
      </c>
      <c r="B98" s="28" t="s">
        <v>1313</v>
      </c>
      <c r="C98" s="28" t="s">
        <v>827</v>
      </c>
      <c r="D98" s="28" t="s">
        <v>1315</v>
      </c>
    </row>
    <row r="99">
      <c r="A99" s="43">
        <f>ROW() - ROW(Table_sounds[N])</f>
        <v>97</v>
      </c>
      <c r="B99" s="28" t="s">
        <v>1319</v>
      </c>
      <c r="C99" s="28" t="s">
        <v>827</v>
      </c>
      <c r="D99" s="28" t="s">
        <v>1319</v>
      </c>
    </row>
    <row r="100">
      <c r="A100" s="43">
        <f>ROW() - ROW(Table_sounds[N])</f>
        <v>98</v>
      </c>
      <c r="B100" s="28" t="s">
        <v>1323</v>
      </c>
      <c r="C100" s="28" t="s">
        <v>827</v>
      </c>
      <c r="D100" s="28" t="s">
        <v>1325</v>
      </c>
    </row>
    <row r="101">
      <c r="A101" s="43">
        <f>ROW() - ROW(Table_sounds[N])</f>
        <v>99</v>
      </c>
      <c r="B101" s="28" t="s">
        <v>1329</v>
      </c>
      <c r="C101" s="28" t="s">
        <v>827</v>
      </c>
      <c r="D101" s="28" t="s">
        <v>1331</v>
      </c>
    </row>
    <row r="102">
      <c r="A102" s="43">
        <f>ROW() - ROW(Table_sounds[N])</f>
        <v>100</v>
      </c>
      <c r="B102" s="28" t="s">
        <v>1333</v>
      </c>
      <c r="C102" s="28" t="s">
        <v>827</v>
      </c>
      <c r="D102" s="28" t="s">
        <v>1335</v>
      </c>
    </row>
    <row r="103">
      <c r="A103" s="43">
        <f>ROW() - ROW(Table_sounds[N])</f>
        <v>101</v>
      </c>
      <c r="B103" s="28" t="s">
        <v>1339</v>
      </c>
      <c r="C103" s="28" t="s">
        <v>827</v>
      </c>
      <c r="D103" s="28" t="s">
        <v>1344</v>
      </c>
    </row>
    <row r="104">
      <c r="A104" s="43">
        <f>ROW() - ROW(Table_sounds[N])</f>
        <v>102</v>
      </c>
      <c r="B104" s="28" t="s">
        <v>1347</v>
      </c>
      <c r="C104" s="28" t="s">
        <v>827</v>
      </c>
      <c r="D104" s="28" t="s">
        <v>1348</v>
      </c>
    </row>
    <row r="105">
      <c r="A105" s="43">
        <f>ROW() - ROW(Table_sounds[N])</f>
        <v>103</v>
      </c>
      <c r="B105" s="28" t="s">
        <v>1352</v>
      </c>
      <c r="C105" s="28" t="s">
        <v>827</v>
      </c>
      <c r="D105" s="28" t="s">
        <v>1353</v>
      </c>
    </row>
    <row r="106">
      <c r="A106" s="43">
        <f>ROW() - ROW(Table_sounds[N])</f>
        <v>104</v>
      </c>
      <c r="B106" s="28" t="s">
        <v>1357</v>
      </c>
      <c r="C106" s="28" t="s">
        <v>827</v>
      </c>
      <c r="D106" s="28" t="s">
        <v>1358</v>
      </c>
    </row>
    <row r="107">
      <c r="A107" s="43">
        <f>ROW() - ROW(Table_sounds[N])</f>
        <v>105</v>
      </c>
      <c r="B107" s="28" t="s">
        <v>1361</v>
      </c>
      <c r="C107" s="28" t="s">
        <v>827</v>
      </c>
      <c r="D107" s="28" t="s">
        <v>1362</v>
      </c>
    </row>
    <row r="108">
      <c r="A108" s="43">
        <f>ROW() - ROW(Table_sounds[N])</f>
        <v>106</v>
      </c>
      <c r="B108" s="28" t="s">
        <v>1366</v>
      </c>
      <c r="C108" s="28" t="s">
        <v>827</v>
      </c>
      <c r="D108" s="28" t="s">
        <v>1368</v>
      </c>
    </row>
    <row r="109">
      <c r="A109" s="43">
        <f>ROW() - ROW(Table_sounds[N])</f>
        <v>107</v>
      </c>
      <c r="B109" s="28" t="s">
        <v>1371</v>
      </c>
      <c r="C109" s="28" t="s">
        <v>827</v>
      </c>
      <c r="D109" s="28" t="s">
        <v>1373</v>
      </c>
    </row>
    <row r="110">
      <c r="A110" s="43">
        <f>ROW() - ROW(Table_sounds[N])</f>
        <v>108</v>
      </c>
      <c r="B110" s="28" t="s">
        <v>1376</v>
      </c>
      <c r="C110" s="28" t="s">
        <v>827</v>
      </c>
      <c r="D110" s="28" t="s">
        <v>1378</v>
      </c>
    </row>
    <row r="111">
      <c r="A111" s="43">
        <f>ROW() - ROW(Table_sounds[N])</f>
        <v>109</v>
      </c>
      <c r="B111" s="28" t="s">
        <v>1380</v>
      </c>
      <c r="C111" s="28" t="s">
        <v>827</v>
      </c>
      <c r="D111" s="28" t="s">
        <v>1382</v>
      </c>
    </row>
    <row r="112">
      <c r="A112" s="43">
        <f>ROW() - ROW(Table_sounds[N])</f>
        <v>110</v>
      </c>
      <c r="B112" s="28" t="s">
        <v>1383</v>
      </c>
      <c r="C112" s="28" t="s">
        <v>827</v>
      </c>
      <c r="D112" s="28" t="s">
        <v>1385</v>
      </c>
    </row>
    <row r="113">
      <c r="A113" s="43">
        <f>ROW() - ROW(Table_sounds[N])</f>
        <v>111</v>
      </c>
      <c r="B113" s="28" t="s">
        <v>1387</v>
      </c>
      <c r="C113" s="28" t="s">
        <v>827</v>
      </c>
      <c r="D113" s="28" t="s">
        <v>1389</v>
      </c>
    </row>
    <row r="114">
      <c r="A114" s="43">
        <f>ROW() - ROW(Table_sounds[N])</f>
        <v>112</v>
      </c>
      <c r="B114" s="28" t="s">
        <v>1391</v>
      </c>
      <c r="C114" s="28" t="s">
        <v>827</v>
      </c>
      <c r="D114" s="28" t="s">
        <v>1393</v>
      </c>
    </row>
    <row r="115">
      <c r="A115" s="43">
        <f>ROW() - ROW(Table_sounds[N])</f>
        <v>113</v>
      </c>
      <c r="B115" s="28" t="s">
        <v>1396</v>
      </c>
      <c r="C115" s="28" t="s">
        <v>827</v>
      </c>
      <c r="D115" s="28" t="s">
        <v>1399</v>
      </c>
    </row>
    <row r="116">
      <c r="A116" s="43">
        <f>ROW() - ROW(Table_sounds[N])</f>
        <v>114</v>
      </c>
      <c r="B116" s="28" t="s">
        <v>1402</v>
      </c>
      <c r="C116" s="28" t="s">
        <v>827</v>
      </c>
      <c r="D116" s="28" t="s">
        <v>1403</v>
      </c>
    </row>
    <row r="117">
      <c r="A117" s="43">
        <f>ROW() - ROW(Table_sounds[N])</f>
        <v>115</v>
      </c>
      <c r="B117" s="28" t="s">
        <v>1406</v>
      </c>
      <c r="C117" s="28" t="s">
        <v>827</v>
      </c>
      <c r="D117" s="28" t="s">
        <v>1408</v>
      </c>
    </row>
    <row r="118">
      <c r="A118" s="43">
        <f>ROW() - ROW(Table_sounds[N])</f>
        <v>116</v>
      </c>
      <c r="B118" s="28" t="s">
        <v>1413</v>
      </c>
      <c r="C118" s="28" t="s">
        <v>827</v>
      </c>
      <c r="D118" s="28" t="s">
        <v>1415</v>
      </c>
    </row>
    <row r="119">
      <c r="A119" s="43">
        <f>ROW() - ROW(Table_sounds[N])</f>
        <v>117</v>
      </c>
      <c r="B119" s="28" t="s">
        <v>1417</v>
      </c>
      <c r="C119" s="28" t="s">
        <v>827</v>
      </c>
      <c r="D119" s="28" t="s">
        <v>1418</v>
      </c>
    </row>
    <row r="120">
      <c r="A120" s="43">
        <f>ROW() - ROW(Table_sounds[N])</f>
        <v>118</v>
      </c>
      <c r="B120" s="28" t="s">
        <v>1422</v>
      </c>
      <c r="C120" s="28" t="s">
        <v>827</v>
      </c>
      <c r="D120" s="28" t="s">
        <v>1423</v>
      </c>
    </row>
    <row r="121">
      <c r="A121" s="43">
        <f>ROW() - ROW(Table_sounds[N])</f>
        <v>119</v>
      </c>
      <c r="B121" s="28" t="s">
        <v>1427</v>
      </c>
      <c r="C121" s="28" t="s">
        <v>827</v>
      </c>
      <c r="D121" s="28" t="s">
        <v>1429</v>
      </c>
    </row>
    <row r="122">
      <c r="A122" s="43">
        <f>ROW() - ROW(Table_sounds[N])</f>
        <v>120</v>
      </c>
      <c r="B122" s="28" t="s">
        <v>1434</v>
      </c>
      <c r="C122" s="28" t="s">
        <v>827</v>
      </c>
      <c r="D122" s="28" t="s">
        <v>1436</v>
      </c>
    </row>
    <row r="123">
      <c r="A123" s="43">
        <f>ROW() - ROW(Table_sounds[N])</f>
        <v>121</v>
      </c>
      <c r="B123" s="28" t="s">
        <v>1438</v>
      </c>
      <c r="C123" s="28" t="s">
        <v>827</v>
      </c>
      <c r="D123" s="28" t="s">
        <v>1439</v>
      </c>
    </row>
    <row r="124">
      <c r="A124" s="43">
        <f>ROW() - ROW(Table_sounds[N])</f>
        <v>122</v>
      </c>
      <c r="B124" s="28" t="s">
        <v>1445</v>
      </c>
      <c r="C124" s="28" t="s">
        <v>827</v>
      </c>
      <c r="D124" s="28" t="s">
        <v>1447</v>
      </c>
    </row>
    <row r="125">
      <c r="A125" s="43">
        <f>ROW() - ROW(Table_sounds[N])</f>
        <v>123</v>
      </c>
      <c r="B125" s="28" t="s">
        <v>1450</v>
      </c>
      <c r="C125" s="28" t="s">
        <v>827</v>
      </c>
      <c r="D125" s="28" t="s">
        <v>1453</v>
      </c>
    </row>
    <row r="126">
      <c r="A126" s="43">
        <f>ROW() - ROW(Table_sounds[N])</f>
        <v>124</v>
      </c>
      <c r="B126" s="28" t="s">
        <v>1455</v>
      </c>
      <c r="C126" s="28" t="s">
        <v>827</v>
      </c>
      <c r="D126" s="28" t="s">
        <v>1457</v>
      </c>
    </row>
    <row r="127">
      <c r="A127" s="43">
        <f>ROW() - ROW(Table_sounds[N])</f>
        <v>125</v>
      </c>
      <c r="B127" s="28" t="s">
        <v>1462</v>
      </c>
      <c r="C127" s="28" t="s">
        <v>827</v>
      </c>
      <c r="D127" s="28" t="s">
        <v>1464</v>
      </c>
    </row>
    <row r="128">
      <c r="A128" s="43">
        <f>ROW() - ROW(Table_sounds[N])</f>
        <v>126</v>
      </c>
      <c r="B128" s="28" t="s">
        <v>1466</v>
      </c>
      <c r="C128" s="28" t="s">
        <v>827</v>
      </c>
      <c r="D128" s="28" t="s">
        <v>1469</v>
      </c>
    </row>
    <row r="129">
      <c r="A129" s="43">
        <f>ROW() - ROW(Table_sounds[N])</f>
        <v>127</v>
      </c>
      <c r="B129" s="28" t="s">
        <v>1472</v>
      </c>
      <c r="C129" s="28" t="s">
        <v>827</v>
      </c>
      <c r="D129" s="28" t="s">
        <v>1474</v>
      </c>
    </row>
    <row r="130">
      <c r="A130" s="43">
        <f>ROW() - ROW(Table_sounds[N])</f>
        <v>128</v>
      </c>
      <c r="B130" s="28" t="s">
        <v>1478</v>
      </c>
      <c r="C130" s="28" t="s">
        <v>827</v>
      </c>
      <c r="D130" s="28" t="s">
        <v>1478</v>
      </c>
    </row>
    <row r="131">
      <c r="A131" s="43">
        <f>ROW() - ROW(Table_sounds[N])</f>
        <v>129</v>
      </c>
      <c r="B131" s="28" t="s">
        <v>1481</v>
      </c>
      <c r="C131" s="28" t="s">
        <v>827</v>
      </c>
      <c r="D131" s="28" t="s">
        <v>1484</v>
      </c>
    </row>
    <row r="132">
      <c r="A132" s="43">
        <f>ROW() - ROW(Table_sounds[N])</f>
        <v>130</v>
      </c>
      <c r="B132" s="28" t="s">
        <v>1487</v>
      </c>
      <c r="C132" s="28" t="s">
        <v>827</v>
      </c>
      <c r="D132" s="28" t="s">
        <v>1488</v>
      </c>
    </row>
    <row r="133">
      <c r="A133" s="43">
        <f>ROW() - ROW(Table_sounds[N])</f>
        <v>131</v>
      </c>
      <c r="B133" s="28" t="s">
        <v>1490</v>
      </c>
      <c r="C133" s="28" t="s">
        <v>827</v>
      </c>
      <c r="D133" s="28" t="s">
        <v>1491</v>
      </c>
    </row>
    <row r="134">
      <c r="A134" s="43">
        <f>ROW() - ROW(Table_sounds[N])</f>
        <v>132</v>
      </c>
      <c r="B134" s="28" t="s">
        <v>1493</v>
      </c>
      <c r="C134" s="28" t="s">
        <v>827</v>
      </c>
      <c r="D134" s="28" t="s">
        <v>1495</v>
      </c>
    </row>
    <row r="135">
      <c r="A135" s="43">
        <f>ROW() - ROW(Table_sounds[N])</f>
        <v>133</v>
      </c>
      <c r="B135" s="28" t="s">
        <v>1499</v>
      </c>
      <c r="C135" s="28" t="s">
        <v>827</v>
      </c>
      <c r="D135" s="28" t="s">
        <v>1500</v>
      </c>
    </row>
    <row r="136">
      <c r="A136" s="43">
        <f>ROW() - ROW(Table_sounds[N])</f>
        <v>134</v>
      </c>
      <c r="B136" s="28" t="s">
        <v>1503</v>
      </c>
      <c r="C136" s="28" t="s">
        <v>827</v>
      </c>
      <c r="D136" s="28" t="s">
        <v>1504</v>
      </c>
    </row>
    <row r="137">
      <c r="A137" s="43">
        <f>ROW() - ROW(Table_sounds[N])</f>
        <v>135</v>
      </c>
      <c r="B137" s="28" t="s">
        <v>1509</v>
      </c>
      <c r="C137" s="28" t="s">
        <v>827</v>
      </c>
      <c r="D137" s="28" t="s">
        <v>1510</v>
      </c>
    </row>
    <row r="138">
      <c r="A138" s="43">
        <f>ROW() - ROW(Table_sounds[N])</f>
        <v>136</v>
      </c>
      <c r="B138" s="28" t="s">
        <v>1512</v>
      </c>
      <c r="C138" s="28" t="s">
        <v>827</v>
      </c>
      <c r="D138" s="28" t="s">
        <v>1513</v>
      </c>
    </row>
    <row r="139">
      <c r="A139" s="43">
        <f>ROW() - ROW(Table_sounds[N])</f>
        <v>137</v>
      </c>
      <c r="B139" s="28" t="s">
        <v>1515</v>
      </c>
      <c r="C139" s="28" t="s">
        <v>827</v>
      </c>
      <c r="D139" s="28" t="s">
        <v>1516</v>
      </c>
    </row>
    <row r="140">
      <c r="A140" s="43">
        <f>ROW() - ROW(Table_sounds[N])</f>
        <v>138</v>
      </c>
      <c r="B140" s="28" t="s">
        <v>1520</v>
      </c>
      <c r="C140" s="28" t="s">
        <v>827</v>
      </c>
      <c r="D140" s="28" t="s">
        <v>1521</v>
      </c>
    </row>
    <row r="141">
      <c r="A141" s="43">
        <f>ROW() - ROW(Table_sounds[N])</f>
        <v>139</v>
      </c>
      <c r="B141" s="28" t="s">
        <v>1523</v>
      </c>
      <c r="C141" s="28" t="s">
        <v>827</v>
      </c>
      <c r="D141" s="28" t="s">
        <v>1524</v>
      </c>
    </row>
    <row r="142">
      <c r="A142" s="43">
        <f>ROW() - ROW(Table_sounds[N])</f>
        <v>140</v>
      </c>
      <c r="B142" s="28" t="s">
        <v>1526</v>
      </c>
      <c r="C142" s="28" t="s">
        <v>827</v>
      </c>
      <c r="D142" s="28" t="s">
        <v>1526</v>
      </c>
    </row>
    <row r="143">
      <c r="A143" s="43">
        <f>ROW() - ROW(Table_sounds[N])</f>
        <v>141</v>
      </c>
      <c r="B143" s="28" t="s">
        <v>1531</v>
      </c>
      <c r="C143" s="28" t="s">
        <v>827</v>
      </c>
      <c r="D143" s="28" t="s">
        <v>1532</v>
      </c>
    </row>
    <row r="144">
      <c r="A144" s="43">
        <f>ROW() - ROW(Table_sounds[N])</f>
        <v>142</v>
      </c>
      <c r="B144" s="28" t="s">
        <v>1533</v>
      </c>
      <c r="C144" s="28" t="s">
        <v>827</v>
      </c>
      <c r="D144" s="28" t="s">
        <v>1535</v>
      </c>
    </row>
    <row r="145">
      <c r="A145" s="43">
        <f>ROW() - ROW(Table_sounds[N])</f>
        <v>143</v>
      </c>
      <c r="B145" s="28" t="s">
        <v>1540</v>
      </c>
      <c r="C145" s="28" t="s">
        <v>827</v>
      </c>
      <c r="D145" s="28" t="s">
        <v>1543</v>
      </c>
    </row>
    <row r="146">
      <c r="A146" s="43">
        <f>ROW() - ROW(Table_sounds[N])</f>
        <v>144</v>
      </c>
      <c r="B146" s="28" t="s">
        <v>1550</v>
      </c>
      <c r="C146" s="28" t="s">
        <v>827</v>
      </c>
      <c r="D146" s="28" t="s">
        <v>1552</v>
      </c>
    </row>
    <row r="147">
      <c r="A147" s="43">
        <f>ROW() - ROW(Table_sounds[N])</f>
        <v>145</v>
      </c>
      <c r="B147" s="28" t="s">
        <v>1554</v>
      </c>
      <c r="C147" s="28" t="s">
        <v>827</v>
      </c>
      <c r="D147" s="28" t="s">
        <v>1555</v>
      </c>
    </row>
    <row r="148">
      <c r="A148" s="43">
        <f>ROW() - ROW(Table_sounds[N])</f>
        <v>146</v>
      </c>
      <c r="B148" s="28" t="s">
        <v>1557</v>
      </c>
      <c r="C148" s="28" t="s">
        <v>827</v>
      </c>
      <c r="D148" s="28" t="s">
        <v>1558</v>
      </c>
    </row>
    <row r="149">
      <c r="A149" s="43">
        <f>ROW() - ROW(Table_sounds[N])</f>
        <v>147</v>
      </c>
      <c r="B149" s="28" t="s">
        <v>1560</v>
      </c>
      <c r="C149" s="28" t="s">
        <v>827</v>
      </c>
      <c r="D149" s="28" t="s">
        <v>1563</v>
      </c>
    </row>
    <row r="150">
      <c r="A150" s="43">
        <f>ROW() - ROW(Table_sounds[N])</f>
        <v>148</v>
      </c>
      <c r="B150" s="28" t="s">
        <v>1567</v>
      </c>
      <c r="C150" s="28" t="s">
        <v>827</v>
      </c>
      <c r="D150" s="28" t="s">
        <v>1568</v>
      </c>
    </row>
    <row r="151">
      <c r="A151" s="43">
        <f>ROW() - ROW(Table_sounds[N])</f>
        <v>149</v>
      </c>
      <c r="B151" s="28" t="s">
        <v>1573</v>
      </c>
      <c r="C151" s="28" t="s">
        <v>827</v>
      </c>
      <c r="D151" s="28" t="s">
        <v>1575</v>
      </c>
    </row>
    <row r="152">
      <c r="A152" s="43">
        <f>ROW() - ROW(Table_sounds[N])</f>
        <v>150</v>
      </c>
      <c r="B152" s="28" t="s">
        <v>1579</v>
      </c>
      <c r="C152" s="28" t="s">
        <v>827</v>
      </c>
      <c r="D152" s="28" t="s">
        <v>1580</v>
      </c>
    </row>
    <row r="153">
      <c r="A153" s="43">
        <f>ROW() - ROW(Table_sounds[N])</f>
        <v>151</v>
      </c>
      <c r="B153" s="57" t="s">
        <v>1585</v>
      </c>
      <c r="C153" s="64" t="s">
        <v>827</v>
      </c>
      <c r="D153" s="57" t="s">
        <v>1586</v>
      </c>
    </row>
    <row r="154">
      <c r="A154" s="43">
        <f>ROW() - ROW(Table_sounds[N])</f>
        <v>152</v>
      </c>
      <c r="B154" s="57" t="s">
        <v>1592</v>
      </c>
      <c r="C154" s="64" t="s">
        <v>827</v>
      </c>
      <c r="D154" s="57" t="s">
        <v>1593</v>
      </c>
    </row>
    <row r="155">
      <c r="A155" s="43">
        <f>ROW() - ROW(Table_sounds[N])</f>
        <v>153</v>
      </c>
      <c r="B155" s="57" t="s">
        <v>1597</v>
      </c>
      <c r="C155" s="64" t="s">
        <v>827</v>
      </c>
      <c r="D155" s="57" t="s">
        <v>1600</v>
      </c>
    </row>
    <row r="156">
      <c r="A156" s="43">
        <f>ROW() - ROW(Table_sounds[N])</f>
        <v>154</v>
      </c>
      <c r="B156" s="57" t="s">
        <v>1603</v>
      </c>
      <c r="C156" s="64" t="s">
        <v>827</v>
      </c>
      <c r="D156" s="57" t="s">
        <v>1604</v>
      </c>
    </row>
    <row r="157">
      <c r="A157" s="43">
        <f>ROW() - ROW(Table_sounds[N])</f>
        <v>155</v>
      </c>
      <c r="B157" s="57" t="s">
        <v>1607</v>
      </c>
      <c r="C157" s="64" t="s">
        <v>827</v>
      </c>
      <c r="D157" s="57" t="s">
        <v>1611</v>
      </c>
    </row>
    <row r="158">
      <c r="A158" s="43">
        <f>ROW() - ROW(Table_sounds[N])</f>
        <v>156</v>
      </c>
      <c r="B158" s="28" t="s">
        <v>1612</v>
      </c>
      <c r="C158" s="28" t="s">
        <v>827</v>
      </c>
      <c r="D158" s="28" t="s">
        <v>1613</v>
      </c>
    </row>
    <row r="159">
      <c r="A159" s="43">
        <f>ROW() - ROW(Table_sounds[N])</f>
        <v>157</v>
      </c>
      <c r="B159" s="28" t="s">
        <v>1616</v>
      </c>
      <c r="C159" s="28" t="s">
        <v>827</v>
      </c>
      <c r="D159" s="28" t="s">
        <v>1617</v>
      </c>
    </row>
    <row r="160">
      <c r="A160" s="43">
        <f>ROW() - ROW(Table_sounds[N])</f>
        <v>158</v>
      </c>
      <c r="B160" s="28" t="s">
        <v>1622</v>
      </c>
      <c r="C160" s="28" t="s">
        <v>827</v>
      </c>
      <c r="D160" s="28" t="s">
        <v>1623</v>
      </c>
    </row>
    <row r="161">
      <c r="A161" s="43">
        <f>ROW() - ROW(Table_sounds[N])</f>
        <v>159</v>
      </c>
      <c r="B161" s="28" t="s">
        <v>1625</v>
      </c>
      <c r="C161" s="28" t="s">
        <v>827</v>
      </c>
      <c r="D161" s="28" t="s">
        <v>1627</v>
      </c>
    </row>
    <row r="162">
      <c r="A162" s="43">
        <f>ROW() - ROW(Table_sounds[N])</f>
        <v>160</v>
      </c>
      <c r="B162" s="28" t="s">
        <v>1631</v>
      </c>
      <c r="C162" s="28" t="s">
        <v>827</v>
      </c>
      <c r="D162" s="28" t="s">
        <v>1633</v>
      </c>
    </row>
    <row r="163">
      <c r="A163" s="43">
        <f>ROW() - ROW(Table_sounds[N])</f>
        <v>161</v>
      </c>
      <c r="B163" s="28" t="s">
        <v>1636</v>
      </c>
      <c r="C163" s="28" t="s">
        <v>827</v>
      </c>
      <c r="D163" s="28" t="s">
        <v>1638</v>
      </c>
    </row>
    <row r="164">
      <c r="A164" s="43">
        <f>ROW() - ROW(Table_sounds[N])</f>
        <v>162</v>
      </c>
      <c r="B164" s="28" t="s">
        <v>1640</v>
      </c>
      <c r="C164" s="28" t="s">
        <v>827</v>
      </c>
      <c r="D164" s="28" t="s">
        <v>1641</v>
      </c>
    </row>
    <row r="165">
      <c r="A165" s="43">
        <f>ROW() - ROW(Table_sounds[N])</f>
        <v>163</v>
      </c>
      <c r="B165" s="28" t="s">
        <v>1645</v>
      </c>
      <c r="C165" s="28" t="s">
        <v>827</v>
      </c>
      <c r="D165" s="28" t="s">
        <v>1647</v>
      </c>
    </row>
    <row r="166">
      <c r="A166" s="43">
        <f>ROW() - ROW(Table_sounds[N])</f>
        <v>164</v>
      </c>
      <c r="B166" s="28" t="s">
        <v>1650</v>
      </c>
      <c r="C166" s="28" t="s">
        <v>827</v>
      </c>
      <c r="D166" s="28" t="s">
        <v>1652</v>
      </c>
    </row>
    <row r="167">
      <c r="A167" s="43">
        <f>ROW() - ROW(Table_sounds[N])</f>
        <v>165</v>
      </c>
      <c r="B167" s="28" t="s">
        <v>1655</v>
      </c>
      <c r="C167" s="28" t="s">
        <v>827</v>
      </c>
      <c r="D167" s="28" t="s">
        <v>1656</v>
      </c>
    </row>
    <row r="168">
      <c r="A168" s="43">
        <f>ROW() - ROW(Table_sounds[N])</f>
        <v>166</v>
      </c>
      <c r="B168" s="28" t="s">
        <v>1661</v>
      </c>
      <c r="C168" s="28" t="s">
        <v>827</v>
      </c>
      <c r="D168" s="28" t="s">
        <v>1665</v>
      </c>
    </row>
    <row r="169">
      <c r="A169" s="43">
        <f>ROW() - ROW(Table_sounds[N])</f>
        <v>167</v>
      </c>
      <c r="B169" s="28" t="s">
        <v>1668</v>
      </c>
      <c r="C169" s="28" t="s">
        <v>827</v>
      </c>
      <c r="D169" s="28" t="s">
        <v>1670</v>
      </c>
    </row>
    <row r="170">
      <c r="A170" s="43">
        <f>ROW() - ROW(Table_sounds[N])</f>
        <v>168</v>
      </c>
      <c r="B170" s="28" t="s">
        <v>1674</v>
      </c>
      <c r="C170" s="28" t="s">
        <v>827</v>
      </c>
      <c r="D170" s="28" t="s">
        <v>1675</v>
      </c>
    </row>
    <row r="171">
      <c r="A171" s="43">
        <f>ROW() - ROW(Table_sounds[N])</f>
        <v>169</v>
      </c>
      <c r="B171" s="28" t="s">
        <v>1677</v>
      </c>
      <c r="C171" s="28" t="s">
        <v>827</v>
      </c>
      <c r="D171" s="28" t="s">
        <v>1679</v>
      </c>
    </row>
    <row r="172">
      <c r="A172" s="43">
        <f>ROW() - ROW(Table_sounds[N])</f>
        <v>170</v>
      </c>
      <c r="B172" s="28" t="s">
        <v>1682</v>
      </c>
      <c r="C172" s="28" t="s">
        <v>827</v>
      </c>
      <c r="D172" s="28" t="s">
        <v>1684</v>
      </c>
    </row>
    <row r="173">
      <c r="A173" s="43">
        <f>ROW() - ROW(Table_sounds[N])</f>
        <v>171</v>
      </c>
      <c r="B173" s="28" t="s">
        <v>1685</v>
      </c>
      <c r="C173" s="28" t="s">
        <v>827</v>
      </c>
      <c r="D173" s="28" t="s">
        <v>1689</v>
      </c>
    </row>
    <row r="174">
      <c r="A174" s="43">
        <f>ROW() - ROW(Table_sounds[N])</f>
        <v>172</v>
      </c>
      <c r="B174" s="28" t="s">
        <v>1693</v>
      </c>
      <c r="C174" s="28" t="s">
        <v>827</v>
      </c>
      <c r="D174" s="28" t="s">
        <v>1696</v>
      </c>
    </row>
    <row r="175">
      <c r="A175" s="43">
        <f>ROW() - ROW(Table_sounds[N])</f>
        <v>173</v>
      </c>
      <c r="B175" s="28" t="s">
        <v>1697</v>
      </c>
      <c r="C175" s="28" t="s">
        <v>827</v>
      </c>
      <c r="D175" s="28" t="s">
        <v>1698</v>
      </c>
    </row>
    <row r="176">
      <c r="A176" s="43">
        <f>ROW() - ROW(Table_sounds[N])</f>
        <v>174</v>
      </c>
      <c r="B176" s="28" t="s">
        <v>1701</v>
      </c>
      <c r="C176" s="28" t="s">
        <v>827</v>
      </c>
      <c r="D176" s="28" t="s">
        <v>1704</v>
      </c>
    </row>
    <row r="177">
      <c r="A177" s="43">
        <f>ROW() - ROW(Table_sounds[N])</f>
        <v>175</v>
      </c>
      <c r="B177" s="28" t="s">
        <v>1706</v>
      </c>
      <c r="C177" s="28" t="s">
        <v>827</v>
      </c>
      <c r="D177" s="28" t="s">
        <v>1707</v>
      </c>
    </row>
    <row r="178">
      <c r="A178" s="43">
        <f>ROW() - ROW(Table_sounds[N])</f>
        <v>176</v>
      </c>
      <c r="B178" s="28" t="s">
        <v>1711</v>
      </c>
      <c r="C178" s="28" t="s">
        <v>827</v>
      </c>
      <c r="D178" s="28" t="s">
        <v>1711</v>
      </c>
    </row>
    <row r="179">
      <c r="A179" s="43">
        <f>ROW() - ROW(Table_sounds[N])</f>
        <v>177</v>
      </c>
      <c r="B179" s="28" t="s">
        <v>1714</v>
      </c>
      <c r="C179" s="28" t="s">
        <v>827</v>
      </c>
      <c r="D179" s="28" t="s">
        <v>1716</v>
      </c>
    </row>
    <row r="180">
      <c r="A180" s="43">
        <f>ROW() - ROW(Table_sounds[N])</f>
        <v>178</v>
      </c>
      <c r="B180" s="28" t="s">
        <v>1720</v>
      </c>
      <c r="C180" s="28" t="s">
        <v>827</v>
      </c>
      <c r="D180" s="28" t="s">
        <v>1723</v>
      </c>
    </row>
    <row r="181">
      <c r="A181" s="43">
        <f>ROW() - ROW(Table_sounds[N])</f>
        <v>179</v>
      </c>
      <c r="B181" s="28" t="s">
        <v>1725</v>
      </c>
      <c r="C181" s="28" t="s">
        <v>827</v>
      </c>
      <c r="D181" s="28" t="s">
        <v>1726</v>
      </c>
    </row>
    <row r="182">
      <c r="A182" s="43">
        <f>ROW() - ROW(Table_sounds[N])</f>
        <v>180</v>
      </c>
      <c r="B182" s="28" t="s">
        <v>1731</v>
      </c>
      <c r="C182" s="28" t="s">
        <v>827</v>
      </c>
      <c r="D182" s="28" t="s">
        <v>1734</v>
      </c>
    </row>
    <row r="183">
      <c r="A183" s="43">
        <f>ROW() - ROW(Table_sounds[N])</f>
        <v>181</v>
      </c>
      <c r="B183" s="28" t="s">
        <v>1736</v>
      </c>
      <c r="C183" s="28" t="s">
        <v>827</v>
      </c>
      <c r="D183" s="28" t="s">
        <v>1737</v>
      </c>
    </row>
    <row r="184">
      <c r="A184" s="43">
        <f>ROW() - ROW(Table_sounds[N])</f>
        <v>182</v>
      </c>
      <c r="B184" s="28" t="s">
        <v>1742</v>
      </c>
      <c r="C184" s="28" t="s">
        <v>827</v>
      </c>
      <c r="D184" s="28" t="s">
        <v>1746</v>
      </c>
    </row>
    <row r="185">
      <c r="A185" s="43">
        <f>ROW() - ROW(Table_sounds[N])</f>
        <v>183</v>
      </c>
      <c r="B185" s="28" t="s">
        <v>1749</v>
      </c>
      <c r="C185" s="28" t="s">
        <v>827</v>
      </c>
      <c r="D185" s="43" t="s">
        <v>1750</v>
      </c>
    </row>
    <row r="186">
      <c r="A186" s="43">
        <f>ROW() - ROW(Table_sounds[N])</f>
        <v>184</v>
      </c>
      <c r="B186" s="28" t="s">
        <v>1752</v>
      </c>
      <c r="C186" s="28" t="s">
        <v>827</v>
      </c>
      <c r="D186" s="43" t="s">
        <v>1755</v>
      </c>
    </row>
    <row r="187">
      <c r="A187" s="43">
        <f>ROW() - ROW(Table_sounds[N])</f>
        <v>185</v>
      </c>
      <c r="B187" s="28" t="s">
        <v>1760</v>
      </c>
      <c r="C187" s="28" t="s">
        <v>827</v>
      </c>
      <c r="D187" s="43" t="s">
        <v>1761</v>
      </c>
    </row>
    <row r="188">
      <c r="A188" s="43">
        <f>ROW() - ROW(Table_sounds[N])</f>
        <v>186</v>
      </c>
      <c r="B188" s="28" t="s">
        <v>1763</v>
      </c>
      <c r="C188" s="28" t="s">
        <v>827</v>
      </c>
      <c r="D188" s="43" t="s">
        <v>1764</v>
      </c>
    </row>
    <row r="189">
      <c r="A189" s="43">
        <f>ROW() - ROW(Table_sounds[N])</f>
        <v>187</v>
      </c>
      <c r="B189" s="28" t="s">
        <v>1768</v>
      </c>
      <c r="C189" s="28" t="s">
        <v>827</v>
      </c>
      <c r="D189" s="43" t="s">
        <v>1770</v>
      </c>
    </row>
    <row r="190">
      <c r="A190" s="43">
        <f>ROW() - ROW(Table_sounds[N])</f>
        <v>188</v>
      </c>
      <c r="B190" s="28" t="s">
        <v>1772</v>
      </c>
      <c r="C190" s="28" t="s">
        <v>827</v>
      </c>
      <c r="D190" s="43" t="s">
        <v>1774</v>
      </c>
    </row>
    <row r="191">
      <c r="A191" s="43">
        <f>ROW() - ROW(Table_sounds[N])</f>
        <v>189</v>
      </c>
      <c r="B191" s="28" t="s">
        <v>1777</v>
      </c>
      <c r="C191" s="28" t="s">
        <v>827</v>
      </c>
      <c r="D191" s="43" t="s">
        <v>1778</v>
      </c>
    </row>
    <row r="192">
      <c r="A192" s="43">
        <f>ROW() - ROW(Table_sounds[N])</f>
        <v>190</v>
      </c>
      <c r="B192" s="28" t="s">
        <v>1781</v>
      </c>
      <c r="C192" s="28" t="s">
        <v>827</v>
      </c>
      <c r="D192" s="43" t="s">
        <v>1782</v>
      </c>
    </row>
    <row r="193">
      <c r="A193" s="43">
        <f>ROW() - ROW(Table_sounds[N])</f>
        <v>191</v>
      </c>
      <c r="B193" s="28" t="s">
        <v>1785</v>
      </c>
      <c r="C193" s="28" t="s">
        <v>827</v>
      </c>
      <c r="D193" s="43" t="s">
        <v>1788</v>
      </c>
    </row>
    <row r="194">
      <c r="A194" s="43">
        <f>ROW() - ROW(Table_sounds[N])</f>
        <v>192</v>
      </c>
      <c r="B194" s="28" t="s">
        <v>1790</v>
      </c>
      <c r="C194" s="28" t="s">
        <v>827</v>
      </c>
      <c r="D194" s="43" t="s">
        <v>1792</v>
      </c>
    </row>
    <row r="195">
      <c r="A195" s="43">
        <f>ROW() - ROW(Table_sounds[N])</f>
        <v>193</v>
      </c>
      <c r="B195" s="28" t="s">
        <v>1794</v>
      </c>
      <c r="C195" s="28" t="s">
        <v>827</v>
      </c>
      <c r="D195" s="43" t="s">
        <v>1796</v>
      </c>
    </row>
    <row r="196">
      <c r="A196" s="43">
        <f>ROW() - ROW(Table_sounds[N])</f>
        <v>194</v>
      </c>
      <c r="B196" s="28" t="s">
        <v>1800</v>
      </c>
      <c r="C196" s="28" t="s">
        <v>827</v>
      </c>
      <c r="D196" s="43" t="s">
        <v>1801</v>
      </c>
    </row>
    <row r="197">
      <c r="A197" s="43">
        <f>ROW() - ROW(Table_sounds[N])</f>
        <v>195</v>
      </c>
      <c r="B197" s="28" t="s">
        <v>1803</v>
      </c>
      <c r="C197" s="28" t="s">
        <v>827</v>
      </c>
      <c r="D197" s="43" t="s">
        <v>1804</v>
      </c>
    </row>
    <row r="198">
      <c r="A198" s="43">
        <f>ROW() - ROW(Table_sounds[N])</f>
        <v>196</v>
      </c>
      <c r="B198" s="28" t="s">
        <v>1808</v>
      </c>
      <c r="C198" s="28" t="s">
        <v>827</v>
      </c>
      <c r="D198" s="43" t="s">
        <v>1810</v>
      </c>
    </row>
    <row r="199">
      <c r="A199" s="43">
        <f>ROW() - ROW(Table_sounds[N])</f>
        <v>197</v>
      </c>
      <c r="B199" s="28" t="s">
        <v>1813</v>
      </c>
      <c r="C199" s="28" t="s">
        <v>827</v>
      </c>
      <c r="D199" s="43" t="s">
        <v>1814</v>
      </c>
    </row>
    <row r="200">
      <c r="A200" s="43">
        <f>ROW() - ROW(Table_sounds[N])</f>
        <v>198</v>
      </c>
      <c r="B200" s="28" t="s">
        <v>1818</v>
      </c>
      <c r="C200" s="28" t="s">
        <v>827</v>
      </c>
      <c r="D200" s="43" t="s">
        <v>1819</v>
      </c>
    </row>
    <row r="201">
      <c r="A201" s="43">
        <f>ROW() - ROW(Table_sounds[N])</f>
        <v>199</v>
      </c>
      <c r="B201" s="28" t="s">
        <v>1823</v>
      </c>
      <c r="C201" s="28" t="s">
        <v>827</v>
      </c>
      <c r="D201" s="43" t="s">
        <v>1825</v>
      </c>
    </row>
    <row r="202">
      <c r="A202" s="43">
        <f>ROW() - ROW(Table_sounds[N])</f>
        <v>200</v>
      </c>
      <c r="B202" s="28" t="s">
        <v>1828</v>
      </c>
      <c r="C202" s="28" t="s">
        <v>827</v>
      </c>
      <c r="D202" s="43" t="s">
        <v>1830</v>
      </c>
    </row>
    <row r="203">
      <c r="A203" s="43">
        <f>ROW() - ROW(Table_sounds[N])</f>
        <v>201</v>
      </c>
      <c r="B203" s="28" t="s">
        <v>1834</v>
      </c>
      <c r="C203" s="28" t="s">
        <v>827</v>
      </c>
      <c r="D203" s="43" t="s">
        <v>1835</v>
      </c>
    </row>
    <row r="204">
      <c r="A204" s="43">
        <f>ROW() - ROW(Table_sounds[N])</f>
        <v>202</v>
      </c>
      <c r="B204" s="28" t="s">
        <v>1839</v>
      </c>
      <c r="C204" s="28" t="s">
        <v>827</v>
      </c>
      <c r="D204" s="43" t="s">
        <v>1840</v>
      </c>
    </row>
    <row r="205">
      <c r="A205" s="43">
        <f>ROW() - ROW(Table_sounds[N])</f>
        <v>203</v>
      </c>
      <c r="B205" s="28" t="s">
        <v>1844</v>
      </c>
      <c r="C205" s="28" t="s">
        <v>827</v>
      </c>
      <c r="D205" s="43" t="s">
        <v>1845</v>
      </c>
    </row>
    <row r="206">
      <c r="A206" s="43">
        <f>ROW() - ROW(Table_sounds[N])</f>
        <v>204</v>
      </c>
      <c r="B206" s="28" t="s">
        <v>1849</v>
      </c>
      <c r="C206" s="28" t="s">
        <v>827</v>
      </c>
      <c r="D206" s="43" t="s">
        <v>1850</v>
      </c>
    </row>
    <row r="207">
      <c r="A207" s="43">
        <f>ROW() - ROW(Table_sounds[N])</f>
        <v>205</v>
      </c>
      <c r="B207" s="28" t="s">
        <v>1851</v>
      </c>
      <c r="C207" s="28" t="s">
        <v>827</v>
      </c>
      <c r="D207" s="43" t="s">
        <v>1854</v>
      </c>
    </row>
    <row r="208">
      <c r="A208" s="43">
        <f>ROW() - ROW(Table_sounds[N])</f>
        <v>206</v>
      </c>
      <c r="B208" s="28" t="s">
        <v>1857</v>
      </c>
      <c r="C208" s="28" t="s">
        <v>827</v>
      </c>
      <c r="D208" s="43" t="s">
        <v>1858</v>
      </c>
    </row>
    <row r="209">
      <c r="A209" s="43">
        <f>ROW() - ROW(Table_sounds[N])</f>
        <v>207</v>
      </c>
      <c r="B209" s="28" t="s">
        <v>1861</v>
      </c>
      <c r="C209" s="28" t="s">
        <v>827</v>
      </c>
      <c r="D209" s="43" t="s">
        <v>1863</v>
      </c>
    </row>
    <row r="210">
      <c r="A210" s="43">
        <f>ROW() - ROW(Table_sounds[N])</f>
        <v>208</v>
      </c>
      <c r="B210" s="28" t="s">
        <v>1868</v>
      </c>
      <c r="C210" s="28" t="s">
        <v>827</v>
      </c>
      <c r="D210" s="43" t="s">
        <v>1870</v>
      </c>
    </row>
    <row r="211">
      <c r="A211" s="43">
        <f>ROW() - ROW(Table_sounds[N])</f>
        <v>209</v>
      </c>
      <c r="B211" s="28" t="s">
        <v>1871</v>
      </c>
      <c r="C211" s="28" t="s">
        <v>827</v>
      </c>
      <c r="D211" s="43" t="s">
        <v>1873</v>
      </c>
    </row>
    <row r="212">
      <c r="A212" s="43">
        <f>ROW() - ROW(Table_sounds[N])</f>
        <v>210</v>
      </c>
      <c r="B212" s="28" t="s">
        <v>1877</v>
      </c>
      <c r="C212" s="28" t="s">
        <v>827</v>
      </c>
      <c r="D212" s="43" t="s">
        <v>1879</v>
      </c>
    </row>
    <row r="213">
      <c r="A213" s="43">
        <f>ROW() - ROW(Table_sounds[N])</f>
        <v>211</v>
      </c>
      <c r="B213" s="28" t="s">
        <v>1883</v>
      </c>
      <c r="C213" s="28" t="s">
        <v>827</v>
      </c>
      <c r="D213" s="43" t="s">
        <v>1884</v>
      </c>
    </row>
    <row r="214">
      <c r="A214" s="43">
        <f>ROW() - ROW(Table_sounds[N])</f>
        <v>212</v>
      </c>
      <c r="B214" s="28" t="s">
        <v>1888</v>
      </c>
      <c r="C214" s="28" t="s">
        <v>827</v>
      </c>
      <c r="D214" s="43" t="s">
        <v>1890</v>
      </c>
    </row>
    <row r="215">
      <c r="A215" s="43">
        <f>ROW() - ROW(Table_sounds[N])</f>
        <v>213</v>
      </c>
      <c r="B215" s="28" t="s">
        <v>1893</v>
      </c>
      <c r="C215" s="28" t="s">
        <v>827</v>
      </c>
      <c r="D215" s="43" t="s">
        <v>1895</v>
      </c>
    </row>
    <row r="216">
      <c r="A216" s="43">
        <f>ROW() - ROW(Table_sounds[N])</f>
        <v>214</v>
      </c>
      <c r="B216" s="28" t="s">
        <v>1897</v>
      </c>
      <c r="C216" s="28" t="s">
        <v>827</v>
      </c>
      <c r="D216" s="43" t="s">
        <v>1902</v>
      </c>
    </row>
    <row r="217">
      <c r="A217" s="43">
        <f>ROW() - ROW(Table_sounds[N])</f>
        <v>215</v>
      </c>
      <c r="B217" s="28" t="s">
        <v>1904</v>
      </c>
      <c r="C217" s="28" t="s">
        <v>827</v>
      </c>
      <c r="D217" s="43" t="s">
        <v>1906</v>
      </c>
    </row>
    <row r="218">
      <c r="A218" s="43">
        <f>ROW() - ROW(Table_sounds[N])</f>
        <v>216</v>
      </c>
      <c r="B218" s="28" t="s">
        <v>1909</v>
      </c>
      <c r="C218" s="28" t="s">
        <v>827</v>
      </c>
      <c r="D218" s="43" t="s">
        <v>1913</v>
      </c>
    </row>
    <row r="219">
      <c r="A219" s="43">
        <f>ROW() - ROW(Table_sounds[N])</f>
        <v>217</v>
      </c>
      <c r="B219" s="28" t="s">
        <v>1915</v>
      </c>
      <c r="C219" s="28" t="s">
        <v>827</v>
      </c>
      <c r="D219" s="43" t="s">
        <v>1916</v>
      </c>
    </row>
    <row r="220">
      <c r="A220" s="43">
        <f>ROW() - ROW(Table_sounds[N])</f>
        <v>218</v>
      </c>
      <c r="B220" s="28" t="s">
        <v>1920</v>
      </c>
      <c r="C220" s="28" t="s">
        <v>827</v>
      </c>
      <c r="D220" s="43" t="s">
        <v>1923</v>
      </c>
    </row>
    <row r="221">
      <c r="A221" s="43">
        <f>ROW() - ROW(Table_sounds[N])</f>
        <v>219</v>
      </c>
      <c r="B221" s="28" t="s">
        <v>1928</v>
      </c>
      <c r="C221" s="28" t="s">
        <v>827</v>
      </c>
      <c r="D221" s="43" t="s">
        <v>1929</v>
      </c>
    </row>
    <row r="222">
      <c r="A222" s="43">
        <f>ROW() - ROW(Table_sounds[N])</f>
        <v>220</v>
      </c>
      <c r="B222" s="28" t="s">
        <v>1931</v>
      </c>
      <c r="C222" s="28" t="s">
        <v>827</v>
      </c>
      <c r="D222" s="43" t="s">
        <v>1934</v>
      </c>
    </row>
    <row r="223">
      <c r="A223" s="43">
        <f>ROW() - ROW(Table_sounds[N])</f>
        <v>221</v>
      </c>
      <c r="B223" s="28" t="s">
        <v>1939</v>
      </c>
      <c r="C223" s="28" t="s">
        <v>827</v>
      </c>
      <c r="D223" s="43" t="s">
        <v>1941</v>
      </c>
    </row>
    <row r="224">
      <c r="A224" s="43">
        <f>ROW() - ROW(Table_sounds[N])</f>
        <v>222</v>
      </c>
      <c r="B224" s="28" t="s">
        <v>1944</v>
      </c>
      <c r="C224" s="28" t="s">
        <v>827</v>
      </c>
      <c r="D224" s="43" t="s">
        <v>1946</v>
      </c>
    </row>
    <row r="225">
      <c r="A225" s="43">
        <f>ROW() - ROW(Table_sounds[N])</f>
        <v>223</v>
      </c>
      <c r="B225" s="28" t="s">
        <v>1952</v>
      </c>
      <c r="C225" s="28" t="s">
        <v>827</v>
      </c>
      <c r="D225" s="43" t="s">
        <v>1953</v>
      </c>
    </row>
    <row r="226">
      <c r="A226" s="43">
        <f>ROW() - ROW(Table_sounds[N])</f>
        <v>224</v>
      </c>
      <c r="B226" s="28" t="s">
        <v>1957</v>
      </c>
      <c r="C226" s="28" t="s">
        <v>827</v>
      </c>
      <c r="D226" s="43" t="s">
        <v>1958</v>
      </c>
    </row>
    <row r="227">
      <c r="A227" s="43">
        <f>ROW() - ROW(Table_sounds[N])</f>
        <v>225</v>
      </c>
      <c r="B227" s="28" t="s">
        <v>1961</v>
      </c>
      <c r="C227" s="28" t="s">
        <v>827</v>
      </c>
      <c r="D227" s="43" t="s">
        <v>1962</v>
      </c>
    </row>
    <row r="228">
      <c r="A228" s="43">
        <f>ROW() - ROW(Table_sounds[N])</f>
        <v>226</v>
      </c>
      <c r="B228" s="28" t="s">
        <v>1965</v>
      </c>
      <c r="C228" s="28" t="s">
        <v>827</v>
      </c>
      <c r="D228" s="43" t="s">
        <v>1967</v>
      </c>
    </row>
    <row r="229">
      <c r="A229" s="43">
        <f>ROW() - ROW(Table_sounds[N])</f>
        <v>227</v>
      </c>
      <c r="B229" s="28" t="s">
        <v>1971</v>
      </c>
      <c r="C229" s="28" t="s">
        <v>827</v>
      </c>
      <c r="D229" s="43" t="s">
        <v>1974</v>
      </c>
    </row>
    <row r="230">
      <c r="A230" s="43">
        <f>ROW() - ROW(Table_sounds[N])</f>
        <v>228</v>
      </c>
      <c r="B230" s="28" t="s">
        <v>1978</v>
      </c>
      <c r="C230" s="28" t="s">
        <v>827</v>
      </c>
      <c r="D230" s="28" t="s">
        <v>1979</v>
      </c>
    </row>
    <row r="231">
      <c r="A231" s="43">
        <f>ROW() - ROW(Table_sounds[N])</f>
        <v>229</v>
      </c>
      <c r="B231" s="28" t="s">
        <v>1982</v>
      </c>
      <c r="C231" s="28" t="s">
        <v>827</v>
      </c>
      <c r="D231" s="28" t="s">
        <v>1986</v>
      </c>
    </row>
    <row r="232">
      <c r="A232" s="43">
        <f>ROW() - ROW(Table_sounds[N])</f>
        <v>230</v>
      </c>
      <c r="B232" s="28" t="s">
        <v>1992</v>
      </c>
      <c r="C232" s="28" t="s">
        <v>827</v>
      </c>
      <c r="D232" s="28" t="s">
        <v>1993</v>
      </c>
    </row>
    <row r="233">
      <c r="A233" s="43">
        <f>ROW() - ROW(Table_sounds[N])</f>
        <v>231</v>
      </c>
      <c r="B233" s="28" t="s">
        <v>1995</v>
      </c>
      <c r="C233" s="28" t="s">
        <v>827</v>
      </c>
      <c r="D233" s="43" t="s">
        <v>2000</v>
      </c>
    </row>
    <row r="234">
      <c r="A234" s="43">
        <f>ROW() - ROW(Table_sounds[N])</f>
        <v>232</v>
      </c>
      <c r="B234" s="28" t="s">
        <v>2003</v>
      </c>
      <c r="C234" s="28" t="s">
        <v>827</v>
      </c>
      <c r="D234" s="43" t="s">
        <v>2005</v>
      </c>
    </row>
    <row r="235">
      <c r="A235" s="43">
        <f>ROW() - ROW(Table_sounds[N])</f>
        <v>233</v>
      </c>
      <c r="B235" s="28" t="s">
        <v>2008</v>
      </c>
      <c r="C235" s="28" t="s">
        <v>827</v>
      </c>
      <c r="D235" s="43" t="s">
        <v>2010</v>
      </c>
    </row>
    <row r="236">
      <c r="A236" s="43">
        <f>ROW() - ROW(Table_sounds[N])</f>
        <v>234</v>
      </c>
      <c r="B236" s="28" t="s">
        <v>2013</v>
      </c>
      <c r="C236" s="28" t="s">
        <v>827</v>
      </c>
      <c r="D236" s="43" t="s">
        <v>2014</v>
      </c>
    </row>
    <row r="237">
      <c r="A237" s="43">
        <f>ROW() - ROW(Table_sounds[N])</f>
        <v>235</v>
      </c>
      <c r="B237" s="28" t="s">
        <v>2019</v>
      </c>
      <c r="C237" s="28" t="s">
        <v>827</v>
      </c>
      <c r="D237" s="43" t="s">
        <v>2020</v>
      </c>
    </row>
    <row r="238">
      <c r="A238" s="43">
        <f>ROW() - ROW(Table_sounds[N])</f>
        <v>236</v>
      </c>
      <c r="B238" s="28" t="s">
        <v>2023</v>
      </c>
      <c r="C238" s="28" t="s">
        <v>827</v>
      </c>
      <c r="D238" s="43" t="s">
        <v>2025</v>
      </c>
    </row>
    <row r="239">
      <c r="A239" s="43">
        <f>ROW() - ROW(Table_sounds[N])</f>
        <v>237</v>
      </c>
      <c r="B239" s="28" t="s">
        <v>2029</v>
      </c>
      <c r="C239" s="28" t="s">
        <v>827</v>
      </c>
      <c r="D239" s="43" t="s">
        <v>2030</v>
      </c>
    </row>
    <row r="240">
      <c r="A240" s="43">
        <f>ROW() - ROW(Table_sounds[N])</f>
        <v>238</v>
      </c>
      <c r="B240" s="28" t="s">
        <v>2035</v>
      </c>
      <c r="C240" s="28" t="s">
        <v>827</v>
      </c>
      <c r="D240" s="28" t="s">
        <v>2037</v>
      </c>
    </row>
    <row r="241">
      <c r="A241" s="43">
        <f>ROW() - ROW(Table_sounds[N])</f>
        <v>239</v>
      </c>
      <c r="B241" s="28" t="s">
        <v>2040</v>
      </c>
      <c r="C241" s="28" t="s">
        <v>827</v>
      </c>
      <c r="D241" s="28" t="s">
        <v>2042</v>
      </c>
    </row>
    <row r="242">
      <c r="A242" s="43">
        <f>ROW() - ROW(Table_sounds[N])</f>
        <v>240</v>
      </c>
      <c r="B242" s="28" t="s">
        <v>2046</v>
      </c>
      <c r="C242" s="28" t="s">
        <v>827</v>
      </c>
      <c r="D242" s="28" t="s">
        <v>2047</v>
      </c>
    </row>
    <row r="243">
      <c r="A243" s="43">
        <f>ROW() - ROW(Table_sounds[N])</f>
        <v>241</v>
      </c>
      <c r="B243" s="28" t="s">
        <v>2050</v>
      </c>
      <c r="C243" s="28" t="s">
        <v>827</v>
      </c>
      <c r="D243" s="28" t="s">
        <v>2050</v>
      </c>
    </row>
    <row r="244">
      <c r="A244" s="43">
        <f>ROW() - ROW(Table_sounds[N])</f>
        <v>242</v>
      </c>
      <c r="B244" s="28" t="s">
        <v>2057</v>
      </c>
      <c r="C244" s="28" t="s">
        <v>827</v>
      </c>
      <c r="D244" s="28" t="s">
        <v>2060</v>
      </c>
    </row>
    <row r="245">
      <c r="A245" s="43">
        <f>ROW() - ROW(Table_sounds[N])</f>
        <v>243</v>
      </c>
      <c r="B245" s="28" t="s">
        <v>2062</v>
      </c>
      <c r="C245" s="28" t="s">
        <v>827</v>
      </c>
      <c r="D245" s="28" t="s">
        <v>2064</v>
      </c>
    </row>
    <row r="246">
      <c r="A246" s="43">
        <f>ROW() - ROW(Table_sounds[N])</f>
        <v>244</v>
      </c>
      <c r="B246" s="28" t="s">
        <v>2068</v>
      </c>
      <c r="C246" s="28" t="s">
        <v>827</v>
      </c>
      <c r="D246" s="28" t="s">
        <v>2069</v>
      </c>
    </row>
    <row r="247">
      <c r="A247" s="43">
        <f>ROW() - ROW(Table_sounds[N])</f>
        <v>245</v>
      </c>
      <c r="B247" s="28" t="s">
        <v>2072</v>
      </c>
      <c r="C247" s="28" t="s">
        <v>827</v>
      </c>
      <c r="D247" s="28" t="s">
        <v>2072</v>
      </c>
    </row>
    <row r="248">
      <c r="A248" s="43">
        <f>ROW() - ROW(Table_sounds[N])</f>
        <v>246</v>
      </c>
      <c r="B248" s="28" t="s">
        <v>2076</v>
      </c>
      <c r="C248" s="28" t="s">
        <v>827</v>
      </c>
      <c r="D248" s="28" t="s">
        <v>2079</v>
      </c>
    </row>
    <row r="249">
      <c r="A249" s="43">
        <f>ROW() - ROW(Table_sounds[N])</f>
        <v>247</v>
      </c>
      <c r="B249" s="28" t="s">
        <v>2084</v>
      </c>
      <c r="C249" s="28" t="s">
        <v>827</v>
      </c>
      <c r="D249" s="28" t="s">
        <v>2086</v>
      </c>
    </row>
    <row r="250">
      <c r="A250" s="43">
        <f>ROW() - ROW(Table_sounds[N])</f>
        <v>248</v>
      </c>
      <c r="B250" s="28" t="s">
        <v>2089</v>
      </c>
      <c r="C250" s="28" t="s">
        <v>827</v>
      </c>
      <c r="D250" s="28" t="s">
        <v>2089</v>
      </c>
    </row>
    <row r="251">
      <c r="A251" s="43">
        <f>ROW() - ROW(Table_sounds[N])</f>
        <v>249</v>
      </c>
      <c r="B251" s="28" t="s">
        <v>2092</v>
      </c>
      <c r="C251" s="28" t="s">
        <v>827</v>
      </c>
      <c r="D251" s="28" t="s">
        <v>2092</v>
      </c>
    </row>
    <row r="252">
      <c r="A252" s="43">
        <f>ROW() - ROW(Table_sounds[N])</f>
        <v>250</v>
      </c>
      <c r="B252" s="28" t="s">
        <v>2100</v>
      </c>
      <c r="C252" s="28" t="s">
        <v>827</v>
      </c>
      <c r="D252" s="28" t="s">
        <v>2101</v>
      </c>
    </row>
    <row r="253">
      <c r="A253" s="43">
        <f>ROW() - ROW(Table_sounds[N])</f>
        <v>251</v>
      </c>
      <c r="B253" s="28" t="s">
        <v>2102</v>
      </c>
      <c r="C253" s="28" t="s">
        <v>827</v>
      </c>
      <c r="D253" s="28" t="s">
        <v>2105</v>
      </c>
    </row>
    <row r="254">
      <c r="A254" s="43">
        <f>ROW() - ROW(Table_sounds[N])</f>
        <v>252</v>
      </c>
      <c r="B254" s="28" t="s">
        <v>2111</v>
      </c>
      <c r="C254" s="28" t="s">
        <v>827</v>
      </c>
      <c r="D254" s="28" t="s">
        <v>2113</v>
      </c>
    </row>
    <row r="255">
      <c r="A255" s="43">
        <f>ROW() - ROW(Table_sounds[N])</f>
        <v>253</v>
      </c>
      <c r="B255" s="28" t="s">
        <v>2115</v>
      </c>
      <c r="C255" s="28" t="s">
        <v>827</v>
      </c>
      <c r="D255" s="28" t="s">
        <v>2116</v>
      </c>
    </row>
    <row r="256">
      <c r="A256" s="43">
        <f>ROW() - ROW(Table_sounds[N])</f>
        <v>254</v>
      </c>
      <c r="B256" s="28" t="s">
        <v>2122</v>
      </c>
      <c r="C256" s="28" t="s">
        <v>827</v>
      </c>
      <c r="D256" s="28" t="s">
        <v>2123</v>
      </c>
    </row>
    <row r="257">
      <c r="A257" s="43">
        <f>ROW() - ROW(Table_sounds[N])</f>
        <v>255</v>
      </c>
      <c r="B257" s="28" t="s">
        <v>2127</v>
      </c>
      <c r="C257" s="28" t="s">
        <v>827</v>
      </c>
      <c r="D257" s="28" t="s">
        <v>2128</v>
      </c>
    </row>
    <row r="258">
      <c r="A258" s="43">
        <f>ROW() - ROW(Table_sounds[N])</f>
        <v>256</v>
      </c>
      <c r="B258" s="28" t="s">
        <v>2132</v>
      </c>
      <c r="C258" s="28" t="s">
        <v>827</v>
      </c>
      <c r="D258" s="28" t="s">
        <v>2134</v>
      </c>
    </row>
    <row r="259">
      <c r="A259" s="43">
        <f>ROW() - ROW(Table_sounds[N])</f>
        <v>257</v>
      </c>
      <c r="B259" s="28" t="s">
        <v>2137</v>
      </c>
      <c r="C259" s="28" t="s">
        <v>827</v>
      </c>
      <c r="D259" s="28" t="s">
        <v>2139</v>
      </c>
    </row>
    <row r="260">
      <c r="A260" s="43">
        <f>ROW() - ROW(Table_sounds[N])</f>
        <v>258</v>
      </c>
      <c r="B260" s="28" t="s">
        <v>2144</v>
      </c>
      <c r="C260" s="28" t="s">
        <v>827</v>
      </c>
      <c r="D260" s="28" t="s">
        <v>2145</v>
      </c>
    </row>
    <row r="261">
      <c r="A261" s="43">
        <f>ROW() - ROW(Table_sounds[N])</f>
        <v>259</v>
      </c>
      <c r="B261" s="28" t="s">
        <v>2147</v>
      </c>
      <c r="C261" s="28" t="s">
        <v>827</v>
      </c>
      <c r="D261" s="28" t="s">
        <v>2149</v>
      </c>
    </row>
    <row r="262">
      <c r="A262" s="43">
        <f>ROW() - ROW(Table_sounds[N])</f>
        <v>260</v>
      </c>
      <c r="B262" s="28" t="s">
        <v>2153</v>
      </c>
      <c r="C262" s="28" t="s">
        <v>827</v>
      </c>
      <c r="D262" s="28" t="s">
        <v>2154</v>
      </c>
    </row>
    <row r="263">
      <c r="A263" s="43">
        <f>ROW() - ROW(Table_sounds[N])</f>
        <v>261</v>
      </c>
      <c r="B263" s="28" t="s">
        <v>2157</v>
      </c>
      <c r="C263" s="28" t="s">
        <v>827</v>
      </c>
      <c r="D263" s="28" t="s">
        <v>2158</v>
      </c>
    </row>
    <row r="264">
      <c r="A264" s="43">
        <f>ROW() - ROW(Table_sounds[N])</f>
        <v>262</v>
      </c>
      <c r="B264" s="28" t="s">
        <v>2162</v>
      </c>
      <c r="C264" s="28" t="s">
        <v>827</v>
      </c>
      <c r="D264" s="28" t="s">
        <v>2165</v>
      </c>
    </row>
    <row r="265">
      <c r="A265" s="43">
        <f>ROW() - ROW(Table_sounds[N])</f>
        <v>263</v>
      </c>
      <c r="B265" s="28" t="s">
        <v>2170</v>
      </c>
      <c r="C265" s="28" t="s">
        <v>827</v>
      </c>
      <c r="D265" s="28" t="s">
        <v>2171</v>
      </c>
    </row>
    <row r="266">
      <c r="A266" s="43">
        <f>ROW() - ROW(Table_sounds[N])</f>
        <v>264</v>
      </c>
      <c r="B266" s="28" t="s">
        <v>2174</v>
      </c>
      <c r="C266" s="28" t="s">
        <v>827</v>
      </c>
      <c r="D266" s="28" t="s">
        <v>2176</v>
      </c>
    </row>
    <row r="267">
      <c r="A267" s="43">
        <f>ROW() - ROW(Table_sounds[N])</f>
        <v>265</v>
      </c>
      <c r="B267" s="28" t="s">
        <v>2180</v>
      </c>
      <c r="C267" s="28" t="s">
        <v>827</v>
      </c>
      <c r="D267" s="28" t="s">
        <v>2183</v>
      </c>
    </row>
    <row r="268">
      <c r="A268" s="43">
        <f>ROW() - ROW(Table_sounds[N])</f>
        <v>266</v>
      </c>
      <c r="B268" s="28" t="s">
        <v>2186</v>
      </c>
      <c r="C268" s="28" t="s">
        <v>827</v>
      </c>
      <c r="D268" s="28" t="s">
        <v>2187</v>
      </c>
    </row>
    <row r="269">
      <c r="A269" s="43">
        <f>ROW() - ROW(Table_sounds[N])</f>
        <v>267</v>
      </c>
      <c r="B269" s="28" t="s">
        <v>2190</v>
      </c>
      <c r="C269" s="28" t="s">
        <v>827</v>
      </c>
      <c r="D269" s="28" t="s">
        <v>2191</v>
      </c>
    </row>
    <row r="270">
      <c r="A270" s="43">
        <f>ROW() - ROW(Table_sounds[N])</f>
        <v>268</v>
      </c>
      <c r="B270" s="28" t="s">
        <v>2196</v>
      </c>
      <c r="C270" s="28" t="s">
        <v>827</v>
      </c>
      <c r="D270" s="28" t="s">
        <v>2197</v>
      </c>
    </row>
    <row r="271">
      <c r="A271" s="43">
        <f>ROW() - ROW(Table_sounds[N])</f>
        <v>269</v>
      </c>
      <c r="B271" s="28" t="s">
        <v>2199</v>
      </c>
      <c r="C271" s="28" t="s">
        <v>827</v>
      </c>
      <c r="D271" s="28" t="s">
        <v>2200</v>
      </c>
    </row>
    <row r="272">
      <c r="A272" s="43">
        <f>ROW() - ROW(Table_sounds[N])</f>
        <v>270</v>
      </c>
      <c r="B272" s="28" t="s">
        <v>2205</v>
      </c>
      <c r="C272" s="28" t="s">
        <v>827</v>
      </c>
      <c r="D272" s="28" t="s">
        <v>2207</v>
      </c>
    </row>
    <row r="273">
      <c r="A273" s="43">
        <f>ROW() - ROW(Table_sounds[N])</f>
        <v>271</v>
      </c>
      <c r="B273" s="28" t="s">
        <v>2210</v>
      </c>
      <c r="C273" s="28" t="s">
        <v>827</v>
      </c>
      <c r="D273" s="28" t="s">
        <v>2211</v>
      </c>
    </row>
    <row r="274">
      <c r="A274" s="43">
        <f>ROW() - ROW(Table_sounds[N])</f>
        <v>272</v>
      </c>
      <c r="B274" s="28" t="s">
        <v>2213</v>
      </c>
      <c r="C274" s="28" t="s">
        <v>827</v>
      </c>
      <c r="D274" s="28" t="s">
        <v>2213</v>
      </c>
    </row>
    <row r="275">
      <c r="A275" s="43">
        <f>ROW() - ROW(Table_sounds[N])</f>
        <v>273</v>
      </c>
      <c r="B275" s="28" t="s">
        <v>2219</v>
      </c>
      <c r="C275" s="28" t="s">
        <v>827</v>
      </c>
      <c r="D275" s="28" t="s">
        <v>2221</v>
      </c>
    </row>
    <row r="276">
      <c r="A276" s="43">
        <f>ROW() - ROW(Table_sounds[N])</f>
        <v>274</v>
      </c>
      <c r="B276" s="28" t="s">
        <v>2224</v>
      </c>
      <c r="C276" s="28" t="s">
        <v>827</v>
      </c>
      <c r="D276" s="28" t="s">
        <v>2226</v>
      </c>
    </row>
    <row r="277">
      <c r="A277" s="43">
        <f>ROW() - ROW(Table_sounds[N])</f>
        <v>275</v>
      </c>
      <c r="B277" s="28" t="s">
        <v>2230</v>
      </c>
      <c r="C277" s="28" t="s">
        <v>827</v>
      </c>
      <c r="D277" s="28" t="s">
        <v>2231</v>
      </c>
    </row>
    <row r="278">
      <c r="A278" s="43">
        <f>ROW() - ROW(Table_sounds[N])</f>
        <v>276</v>
      </c>
      <c r="B278" s="28" t="s">
        <v>2235</v>
      </c>
      <c r="C278" s="28" t="s">
        <v>827</v>
      </c>
      <c r="D278" s="28" t="s">
        <v>2236</v>
      </c>
    </row>
    <row r="279">
      <c r="A279" s="43">
        <f>ROW() - ROW(Table_sounds[N])</f>
        <v>277</v>
      </c>
      <c r="B279" s="28" t="s">
        <v>2239</v>
      </c>
      <c r="C279" s="28" t="s">
        <v>827</v>
      </c>
      <c r="D279" s="28" t="s">
        <v>2243</v>
      </c>
    </row>
    <row r="280">
      <c r="A280" s="43">
        <f>ROW() - ROW(Table_sounds[N])</f>
        <v>278</v>
      </c>
      <c r="B280" s="28" t="s">
        <v>2245</v>
      </c>
      <c r="C280" s="28" t="s">
        <v>827</v>
      </c>
      <c r="D280" s="28" t="s">
        <v>2247</v>
      </c>
    </row>
    <row r="281">
      <c r="A281" s="43">
        <f>ROW() - ROW(Table_sounds[N])</f>
        <v>279</v>
      </c>
      <c r="B281" s="28" t="s">
        <v>2251</v>
      </c>
      <c r="C281" s="28" t="s">
        <v>827</v>
      </c>
      <c r="D281" s="28" t="s">
        <v>2252</v>
      </c>
    </row>
    <row r="282">
      <c r="A282" s="43">
        <f>ROW() - ROW(Table_sounds[N])</f>
        <v>280</v>
      </c>
      <c r="B282" s="28" t="s">
        <v>2255</v>
      </c>
      <c r="C282" s="28" t="s">
        <v>827</v>
      </c>
      <c r="D282" s="28" t="s">
        <v>2256</v>
      </c>
    </row>
    <row r="283">
      <c r="A283" s="43">
        <f>ROW() - ROW(Table_sounds[N])</f>
        <v>281</v>
      </c>
      <c r="B283" s="28" t="s">
        <v>2260</v>
      </c>
      <c r="C283" s="28" t="s">
        <v>827</v>
      </c>
      <c r="D283" s="28" t="s">
        <v>2262</v>
      </c>
    </row>
    <row r="284">
      <c r="A284" s="43">
        <f>ROW() - ROW(Table_sounds[N])</f>
        <v>282</v>
      </c>
      <c r="B284" s="28" t="s">
        <v>2265</v>
      </c>
      <c r="C284" s="28" t="s">
        <v>827</v>
      </c>
      <c r="D284" s="28" t="s">
        <v>2267</v>
      </c>
    </row>
    <row r="285">
      <c r="A285" s="43">
        <f>ROW() - ROW(Table_sounds[N])</f>
        <v>283</v>
      </c>
      <c r="B285" s="28" t="s">
        <v>2270</v>
      </c>
      <c r="C285" s="28" t="s">
        <v>827</v>
      </c>
      <c r="D285" s="28" t="s">
        <v>2272</v>
      </c>
    </row>
    <row r="286">
      <c r="A286" s="43">
        <f>ROW() - ROW(Table_sounds[N])</f>
        <v>284</v>
      </c>
      <c r="B286" s="28" t="s">
        <v>2276</v>
      </c>
      <c r="C286" s="28" t="s">
        <v>827</v>
      </c>
      <c r="D286" s="28" t="s">
        <v>2280</v>
      </c>
    </row>
    <row r="287">
      <c r="A287" s="43">
        <f>ROW() - ROW(Table_sounds[N])</f>
        <v>285</v>
      </c>
      <c r="B287" s="28" t="s">
        <v>2282</v>
      </c>
      <c r="C287" s="28" t="s">
        <v>827</v>
      </c>
      <c r="D287" s="28" t="s">
        <v>2282</v>
      </c>
    </row>
    <row r="288">
      <c r="A288" s="43">
        <f>ROW() - ROW(Table_sounds[N])</f>
        <v>286</v>
      </c>
      <c r="B288" s="28" t="s">
        <v>2286</v>
      </c>
      <c r="C288" s="28" t="s">
        <v>827</v>
      </c>
      <c r="D288" s="28" t="s">
        <v>2289</v>
      </c>
    </row>
    <row r="289">
      <c r="A289" s="43">
        <f>ROW() - ROW(Table_sounds[N])</f>
        <v>287</v>
      </c>
      <c r="B289" s="28" t="s">
        <v>2293</v>
      </c>
      <c r="C289" s="28" t="s">
        <v>827</v>
      </c>
      <c r="D289" s="28" t="s">
        <v>2296</v>
      </c>
    </row>
    <row r="290">
      <c r="A290" s="43">
        <f>ROW() - ROW(Table_sounds[N])</f>
        <v>288</v>
      </c>
      <c r="B290" s="28" t="s">
        <v>2299</v>
      </c>
      <c r="C290" s="28" t="s">
        <v>827</v>
      </c>
      <c r="D290" s="28" t="s">
        <v>2299</v>
      </c>
    </row>
    <row r="291">
      <c r="A291" s="43">
        <f>ROW() - ROW(Table_sounds[N])</f>
        <v>289</v>
      </c>
      <c r="B291" s="28" t="s">
        <v>2303</v>
      </c>
      <c r="C291" s="28" t="s">
        <v>827</v>
      </c>
      <c r="D291" s="28" t="s">
        <v>2305</v>
      </c>
    </row>
    <row r="292">
      <c r="A292" s="43">
        <f>ROW() - ROW(Table_sounds[N])</f>
        <v>290</v>
      </c>
      <c r="B292" s="28" t="s">
        <v>2308</v>
      </c>
      <c r="C292" s="28" t="s">
        <v>827</v>
      </c>
      <c r="D292" s="28" t="s">
        <v>2309</v>
      </c>
    </row>
    <row r="293">
      <c r="A293" s="43">
        <f>ROW() - ROW(Table_sounds[N])</f>
        <v>291</v>
      </c>
      <c r="B293" s="28" t="s">
        <v>2312</v>
      </c>
      <c r="C293" s="28" t="s">
        <v>827</v>
      </c>
      <c r="D293" s="28" t="s">
        <v>2312</v>
      </c>
    </row>
    <row r="294">
      <c r="A294" s="43">
        <f>ROW() - ROW(Table_sounds[N])</f>
        <v>292</v>
      </c>
      <c r="B294" s="28" t="s">
        <v>2320</v>
      </c>
      <c r="C294" s="28" t="s">
        <v>827</v>
      </c>
      <c r="D294" s="28" t="s">
        <v>2320</v>
      </c>
    </row>
    <row r="295">
      <c r="A295" s="43">
        <f>ROW() - ROW(Table_sounds[N])</f>
        <v>293</v>
      </c>
      <c r="B295" s="28" t="s">
        <v>2329</v>
      </c>
      <c r="C295" s="28" t="s">
        <v>827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883</v>
      </c>
      <c r="C1" s="5" t="s">
        <v>80</v>
      </c>
      <c r="D1" s="5" t="s">
        <v>885</v>
      </c>
    </row>
    <row r="2">
      <c r="A2" s="28">
        <f>ROW()-ROW(Table_Dialogs[N])</f>
        <v>0</v>
      </c>
      <c r="B2" s="28" t="s">
        <v>889</v>
      </c>
      <c r="C2" s="31" t="s">
        <v>42</v>
      </c>
      <c r="D2" s="44" t="s">
        <v>891</v>
      </c>
    </row>
    <row r="3">
      <c r="A3" s="28">
        <f>ROW()-ROW(Table_Dialogs[N])</f>
        <v>1</v>
      </c>
      <c r="B3" s="28" t="s">
        <v>897</v>
      </c>
      <c r="C3" s="31" t="s">
        <v>42</v>
      </c>
      <c r="D3" s="44" t="s">
        <v>899</v>
      </c>
    </row>
    <row r="4">
      <c r="A4" s="28">
        <f>ROW()-ROW(Table_Dialogs[N])</f>
        <v>2</v>
      </c>
      <c r="B4" s="28" t="s">
        <v>905</v>
      </c>
      <c r="C4" s="31" t="s">
        <v>906</v>
      </c>
      <c r="D4" s="31" t="s">
        <v>907</v>
      </c>
    </row>
    <row r="5">
      <c r="A5" s="28">
        <f>ROW()-ROW(Table_Dialogs[N])</f>
        <v>3</v>
      </c>
      <c r="B5" s="28" t="s">
        <v>912</v>
      </c>
      <c r="C5" s="31" t="s">
        <v>906</v>
      </c>
      <c r="D5" s="31" t="s">
        <v>914</v>
      </c>
    </row>
    <row r="6">
      <c r="A6" s="28">
        <f>ROW()-ROW(Table_Dialogs[N])</f>
        <v>4</v>
      </c>
      <c r="B6" s="28" t="s">
        <v>919</v>
      </c>
      <c r="C6" s="31" t="s">
        <v>906</v>
      </c>
      <c r="D6" s="31" t="s">
        <v>921</v>
      </c>
    </row>
    <row r="7">
      <c r="A7" s="28">
        <f>ROW()-ROW(Table_Dialogs[N])</f>
        <v>5</v>
      </c>
      <c r="B7" s="28" t="s">
        <v>925</v>
      </c>
      <c r="C7" s="31" t="s">
        <v>926</v>
      </c>
      <c r="D7" s="31" t="s">
        <v>927</v>
      </c>
    </row>
    <row r="8">
      <c r="A8" s="28">
        <f>ROW()-ROW(Table_Dialogs[N])</f>
        <v>6</v>
      </c>
      <c r="B8" s="28" t="s">
        <v>933</v>
      </c>
      <c r="C8" s="31" t="s">
        <v>926</v>
      </c>
      <c r="D8" s="31" t="s">
        <v>935</v>
      </c>
    </row>
    <row r="9">
      <c r="A9" s="28">
        <f>ROW()-ROW(Table_Dialogs[N])</f>
        <v>7</v>
      </c>
      <c r="B9" s="28" t="s">
        <v>938</v>
      </c>
      <c r="C9" s="31" t="s">
        <v>939</v>
      </c>
      <c r="D9" s="31" t="s">
        <v>941</v>
      </c>
    </row>
    <row r="10">
      <c r="A10" s="28">
        <f>ROW()-ROW(Table_Dialogs[N])</f>
        <v>8</v>
      </c>
      <c r="B10" s="28" t="s">
        <v>947</v>
      </c>
      <c r="C10" s="31" t="s">
        <v>939</v>
      </c>
      <c r="D10" s="31" t="s">
        <v>948</v>
      </c>
    </row>
    <row r="11">
      <c r="A11" s="28">
        <f>ROW()-ROW(Table_Dialogs[N])</f>
        <v>9</v>
      </c>
      <c r="B11" s="28" t="s">
        <v>952</v>
      </c>
      <c r="C11" s="31" t="s">
        <v>939</v>
      </c>
      <c r="D11" s="31" t="s">
        <v>953</v>
      </c>
    </row>
    <row r="12">
      <c r="A12" s="28">
        <f>ROW()-ROW(Table_Dialogs[N])</f>
        <v>10</v>
      </c>
      <c r="B12" s="28" t="s">
        <v>958</v>
      </c>
      <c r="C12" s="31" t="s">
        <v>377</v>
      </c>
      <c r="D12" s="31" t="s">
        <v>960</v>
      </c>
    </row>
    <row r="13">
      <c r="A13" s="28">
        <f>ROW()-ROW(Table_Dialogs[N])</f>
        <v>11</v>
      </c>
      <c r="B13" s="28" t="s">
        <v>964</v>
      </c>
      <c r="C13" s="31" t="s">
        <v>387</v>
      </c>
      <c r="D13" s="31" t="s">
        <v>966</v>
      </c>
    </row>
    <row r="14">
      <c r="A14" s="28">
        <f>ROW()-ROW(Table_Dialogs[N])</f>
        <v>12</v>
      </c>
      <c r="B14" s="28" t="s">
        <v>969</v>
      </c>
      <c r="C14" s="31" t="s">
        <v>970</v>
      </c>
      <c r="D14" s="31" t="s">
        <v>971</v>
      </c>
    </row>
    <row r="15">
      <c r="A15" s="28">
        <f>ROW()-ROW(Table_Dialogs[N])</f>
        <v>13</v>
      </c>
      <c r="B15" s="28" t="s">
        <v>977</v>
      </c>
      <c r="C15" s="31" t="s">
        <v>970</v>
      </c>
      <c r="D15" s="31" t="s">
        <v>980</v>
      </c>
    </row>
    <row r="16">
      <c r="A16" s="28">
        <f>ROW()-ROW(Table_Dialogs[N])</f>
        <v>14</v>
      </c>
      <c r="B16" s="28" t="s">
        <v>983</v>
      </c>
      <c r="C16" s="31" t="s">
        <v>985</v>
      </c>
      <c r="D16" s="31" t="s">
        <v>986</v>
      </c>
    </row>
    <row r="17">
      <c r="A17" s="28">
        <f>ROW()-ROW(Table_Dialogs[N])</f>
        <v>15</v>
      </c>
      <c r="B17" s="28" t="s">
        <v>990</v>
      </c>
      <c r="C17" s="31" t="s">
        <v>985</v>
      </c>
      <c r="D17" s="31" t="s">
        <v>991</v>
      </c>
    </row>
    <row r="18">
      <c r="A18" s="28">
        <f>ROW()-ROW(Table_Dialogs[N])</f>
        <v>16</v>
      </c>
      <c r="B18" s="28" t="s">
        <v>995</v>
      </c>
      <c r="C18" s="31" t="s">
        <v>308</v>
      </c>
      <c r="D18" s="31" t="s">
        <v>997</v>
      </c>
    </row>
    <row r="19">
      <c r="A19" s="28">
        <f>ROW()-ROW(Table_Dialogs[N])</f>
        <v>17</v>
      </c>
      <c r="B19" s="28" t="s">
        <v>999</v>
      </c>
      <c r="C19" s="31" t="s">
        <v>73</v>
      </c>
      <c r="D19" s="31" t="s">
        <v>1000</v>
      </c>
    </row>
    <row r="20">
      <c r="A20" s="28">
        <f>ROW()-ROW(Table_Dialogs[N])</f>
        <v>18</v>
      </c>
      <c r="B20" s="28" t="s">
        <v>1004</v>
      </c>
      <c r="C20" s="31" t="s">
        <v>308</v>
      </c>
      <c r="D20" s="31" t="s">
        <v>1006</v>
      </c>
    </row>
    <row r="21">
      <c r="A21" s="28">
        <f>ROW()-ROW(Table_Dialogs[N])</f>
        <v>19</v>
      </c>
      <c r="B21" s="28" t="s">
        <v>1008</v>
      </c>
      <c r="C21" s="31" t="s">
        <v>1009</v>
      </c>
      <c r="D21" s="31" t="s">
        <v>1010</v>
      </c>
    </row>
    <row r="22">
      <c r="A22" s="28">
        <f>ROW()-ROW(Table_Dialogs[N])</f>
        <v>20</v>
      </c>
      <c r="B22" s="28" t="s">
        <v>1013</v>
      </c>
      <c r="C22" s="31" t="s">
        <v>1009</v>
      </c>
      <c r="D22" s="31" t="s">
        <v>1014</v>
      </c>
    </row>
    <row r="23">
      <c r="A23" s="28">
        <f>ROW()-ROW(Table_Dialogs[N])</f>
        <v>21</v>
      </c>
      <c r="B23" s="28" t="s">
        <v>1018</v>
      </c>
      <c r="C23" s="31" t="s">
        <v>1009</v>
      </c>
      <c r="D23" s="31" t="s">
        <v>1019</v>
      </c>
    </row>
    <row r="24">
      <c r="A24" s="28">
        <f>ROW()-ROW(Table_Dialogs[N])</f>
        <v>22</v>
      </c>
      <c r="B24" s="28" t="s">
        <v>1023</v>
      </c>
      <c r="C24" s="31" t="s">
        <v>1009</v>
      </c>
      <c r="D24" s="31" t="s">
        <v>1026</v>
      </c>
    </row>
    <row r="25">
      <c r="A25" s="28">
        <f>ROW()-ROW(Table_Dialogs[N])</f>
        <v>23</v>
      </c>
      <c r="B25" s="28" t="s">
        <v>1030</v>
      </c>
      <c r="C25" s="31" t="s">
        <v>1031</v>
      </c>
      <c r="D25" s="31" t="s">
        <v>1033</v>
      </c>
    </row>
    <row r="26">
      <c r="A26" s="28">
        <f>ROW()-ROW(Table_Dialogs[N])</f>
        <v>24</v>
      </c>
      <c r="B26" s="28" t="s">
        <v>1036</v>
      </c>
      <c r="C26" s="31" t="s">
        <v>1031</v>
      </c>
      <c r="D26" s="31" t="s">
        <v>1037</v>
      </c>
    </row>
    <row r="27">
      <c r="A27" s="28">
        <f>ROW()-ROW(Table_Dialogs[N])</f>
        <v>25</v>
      </c>
      <c r="B27" s="28" t="s">
        <v>1041</v>
      </c>
      <c r="C27" s="31" t="s">
        <v>1031</v>
      </c>
      <c r="D27" s="31" t="s">
        <v>1044</v>
      </c>
    </row>
    <row r="28">
      <c r="A28" s="28">
        <f>ROW()-ROW(Table_Dialogs[N])</f>
        <v>26</v>
      </c>
      <c r="B28" s="28" t="s">
        <v>1047</v>
      </c>
      <c r="C28" s="31" t="s">
        <v>1031</v>
      </c>
      <c r="D28" s="31" t="s">
        <v>1050</v>
      </c>
    </row>
    <row r="29">
      <c r="A29" s="28">
        <f>ROW()-ROW(Table_Dialogs[N])</f>
        <v>27</v>
      </c>
      <c r="B29" s="28" t="s">
        <v>1057</v>
      </c>
      <c r="C29" s="31" t="s">
        <v>1059</v>
      </c>
      <c r="D29" s="31" t="s">
        <v>1061</v>
      </c>
    </row>
    <row r="30">
      <c r="A30" s="28">
        <f>ROW()-ROW(Table_Dialogs[N])</f>
        <v>28</v>
      </c>
      <c r="B30" s="28" t="s">
        <v>1067</v>
      </c>
      <c r="C30" s="31" t="s">
        <v>1068</v>
      </c>
      <c r="D30" s="31" t="s">
        <v>1069</v>
      </c>
    </row>
    <row r="31">
      <c r="A31" s="28">
        <f>ROW()-ROW(Table_Dialogs[N])</f>
        <v>29</v>
      </c>
      <c r="B31" s="28" t="s">
        <v>1074</v>
      </c>
      <c r="C31" s="31" t="s">
        <v>1068</v>
      </c>
      <c r="D31" s="31" t="s">
        <v>1076</v>
      </c>
    </row>
    <row r="32">
      <c r="A32" s="28">
        <f>ROW()-ROW(Table_Dialogs[N])</f>
        <v>30</v>
      </c>
      <c r="B32" s="28" t="s">
        <v>1082</v>
      </c>
      <c r="C32" s="31" t="s">
        <v>1085</v>
      </c>
      <c r="D32" s="31" t="s">
        <v>1086</v>
      </c>
    </row>
    <row r="33">
      <c r="A33" s="28">
        <f>ROW()-ROW(Table_Dialogs[N])</f>
        <v>31</v>
      </c>
      <c r="B33" s="28" t="s">
        <v>1092</v>
      </c>
      <c r="C33" s="31" t="s">
        <v>1085</v>
      </c>
      <c r="D33" s="31" t="s">
        <v>1094</v>
      </c>
    </row>
    <row r="34">
      <c r="A34" s="28">
        <f>ROW()-ROW(Table_Dialogs[N])</f>
        <v>32</v>
      </c>
      <c r="B34" s="28" t="s">
        <v>1101</v>
      </c>
      <c r="C34" s="31" t="s">
        <v>1103</v>
      </c>
      <c r="D34" s="31" t="s">
        <v>1104</v>
      </c>
    </row>
    <row r="35">
      <c r="A35" s="28">
        <f>ROW()-ROW(Table_Dialogs[N])</f>
        <v>33</v>
      </c>
      <c r="B35" s="28" t="s">
        <v>1108</v>
      </c>
      <c r="C35" s="31" t="s">
        <v>1103</v>
      </c>
      <c r="D35" s="31" t="s">
        <v>1109</v>
      </c>
    </row>
    <row r="36">
      <c r="A36" s="28">
        <f>ROW()-ROW(Table_Dialogs[N])</f>
        <v>34</v>
      </c>
      <c r="B36" s="28" t="s">
        <v>1112</v>
      </c>
      <c r="C36" s="31" t="s">
        <v>1031</v>
      </c>
      <c r="D36" s="31" t="s">
        <v>1114</v>
      </c>
    </row>
    <row r="37">
      <c r="A37" s="28">
        <f>ROW()-ROW(Table_Dialogs[N])</f>
        <v>35</v>
      </c>
      <c r="B37" s="28" t="s">
        <v>1118</v>
      </c>
      <c r="C37" s="31" t="s">
        <v>1031</v>
      </c>
      <c r="D37" s="31" t="s">
        <v>1120</v>
      </c>
    </row>
    <row r="38">
      <c r="A38" s="28">
        <f>ROW()-ROW(Table_Dialogs[N])</f>
        <v>36</v>
      </c>
      <c r="B38" s="28" t="s">
        <v>1123</v>
      </c>
      <c r="C38" s="31" t="s">
        <v>1085</v>
      </c>
      <c r="D38" s="31" t="s">
        <v>1124</v>
      </c>
    </row>
    <row r="39">
      <c r="A39" s="28">
        <f>ROW()-ROW(Table_Dialogs[N])</f>
        <v>37</v>
      </c>
      <c r="B39" s="28" t="s">
        <v>1129</v>
      </c>
      <c r="C39" s="31" t="s">
        <v>1068</v>
      </c>
      <c r="D39" s="31" t="s">
        <v>1129</v>
      </c>
    </row>
    <row r="40">
      <c r="A40" s="28">
        <f>ROW()-ROW(Table_Dialogs[N])</f>
        <v>38</v>
      </c>
      <c r="B40" s="28" t="s">
        <v>1137</v>
      </c>
      <c r="C40" s="31" t="s">
        <v>1068</v>
      </c>
      <c r="D40" s="31" t="s">
        <v>1138</v>
      </c>
    </row>
    <row r="41">
      <c r="A41" s="28">
        <f>ROW()-ROW(Table_Dialogs[N])</f>
        <v>39</v>
      </c>
      <c r="B41" s="28" t="s">
        <v>1142</v>
      </c>
      <c r="C41" s="31" t="s">
        <v>1143</v>
      </c>
      <c r="D41" s="31" t="s">
        <v>1145</v>
      </c>
    </row>
    <row r="42">
      <c r="A42" s="28">
        <f>ROW()-ROW(Table_Dialogs[N])</f>
        <v>40</v>
      </c>
      <c r="B42" s="28" t="s">
        <v>1151</v>
      </c>
      <c r="C42" s="31" t="s">
        <v>1103</v>
      </c>
      <c r="D42" s="31" t="s">
        <v>1155</v>
      </c>
    </row>
    <row r="43">
      <c r="A43" s="28">
        <f>ROW()-ROW(Table_Dialogs[N])</f>
        <v>41</v>
      </c>
      <c r="B43" s="28" t="s">
        <v>1161</v>
      </c>
      <c r="C43" s="31" t="s">
        <v>73</v>
      </c>
      <c r="D43" s="31" t="s">
        <v>1162</v>
      </c>
    </row>
    <row r="44">
      <c r="A44" s="28">
        <f>ROW()-ROW(Table_Dialogs[N])</f>
        <v>42</v>
      </c>
      <c r="B44" s="28" t="s">
        <v>1170</v>
      </c>
      <c r="C44" s="31" t="s">
        <v>764</v>
      </c>
      <c r="D44" s="31" t="s">
        <v>1173</v>
      </c>
    </row>
    <row r="45">
      <c r="A45" s="28">
        <f>ROW()-ROW(Table_Dialogs[N])</f>
        <v>43</v>
      </c>
      <c r="B45" s="28" t="s">
        <v>1176</v>
      </c>
      <c r="C45" s="31" t="s">
        <v>1178</v>
      </c>
      <c r="D45" s="31" t="s">
        <v>1179</v>
      </c>
    </row>
    <row r="46">
      <c r="A46" s="28">
        <f>ROW()-ROW(Table_Dialogs[N])</f>
        <v>44</v>
      </c>
      <c r="B46" s="28" t="s">
        <v>1186</v>
      </c>
      <c r="C46" s="31" t="s">
        <v>1187</v>
      </c>
      <c r="D46" s="31" t="s">
        <v>1188</v>
      </c>
    </row>
    <row r="47">
      <c r="A47" s="28">
        <f>ROW()-ROW(Table_Dialogs[N])</f>
        <v>45</v>
      </c>
      <c r="B47" s="28" t="s">
        <v>1194</v>
      </c>
      <c r="C47" s="31" t="s">
        <v>1187</v>
      </c>
      <c r="D47" s="31" t="s">
        <v>1200</v>
      </c>
    </row>
    <row r="48">
      <c r="A48" s="28">
        <f>ROW()-ROW(Table_Dialogs[N])</f>
        <v>46</v>
      </c>
      <c r="B48" s="28" t="s">
        <v>1208</v>
      </c>
      <c r="C48" s="31" t="s">
        <v>1209</v>
      </c>
      <c r="D48" s="31" t="s">
        <v>1211</v>
      </c>
    </row>
    <row r="49">
      <c r="A49" s="28">
        <f>ROW()-ROW(Table_Dialogs[N])</f>
        <v>47</v>
      </c>
      <c r="B49" s="28" t="s">
        <v>1219</v>
      </c>
      <c r="C49" s="31" t="s">
        <v>784</v>
      </c>
      <c r="D49" s="31" t="s">
        <v>1222</v>
      </c>
    </row>
    <row r="50">
      <c r="A50" s="28">
        <f>ROW()-ROW(Table_Dialogs[N])</f>
        <v>48</v>
      </c>
      <c r="B50" s="28" t="s">
        <v>1228</v>
      </c>
      <c r="C50" s="31" t="s">
        <v>596</v>
      </c>
      <c r="D50" s="31" t="s">
        <v>1231</v>
      </c>
    </row>
    <row r="51">
      <c r="A51" s="28">
        <f>ROW()-ROW(Table_Dialogs[N])</f>
        <v>49</v>
      </c>
      <c r="B51" s="28" t="s">
        <v>1237</v>
      </c>
      <c r="C51" s="31" t="s">
        <v>769</v>
      </c>
      <c r="D51" s="31" t="s">
        <v>1239</v>
      </c>
    </row>
    <row r="52">
      <c r="A52" s="28">
        <f>ROW()-ROW(Table_Dialogs[N])</f>
        <v>50</v>
      </c>
      <c r="B52" s="28" t="s">
        <v>1242</v>
      </c>
      <c r="C52" s="31" t="s">
        <v>73</v>
      </c>
      <c r="D52" s="31" t="s">
        <v>1244</v>
      </c>
    </row>
    <row r="53">
      <c r="A53" s="28">
        <f>ROW()-ROW(Table_Dialogs[N])</f>
        <v>51</v>
      </c>
      <c r="B53" s="28" t="s">
        <v>1250</v>
      </c>
      <c r="C53" s="31" t="s">
        <v>1252</v>
      </c>
      <c r="D53" s="31" t="s">
        <v>1255</v>
      </c>
    </row>
    <row r="54">
      <c r="A54" s="28">
        <f>ROW()-ROW(Table_Dialogs[N])</f>
        <v>52</v>
      </c>
      <c r="B54" s="28" t="s">
        <v>1258</v>
      </c>
      <c r="C54" s="31" t="s">
        <v>1261</v>
      </c>
      <c r="D54" s="31" t="s">
        <v>1262</v>
      </c>
    </row>
    <row r="55">
      <c r="A55" s="28">
        <f>ROW()-ROW(Table_Dialogs[N])</f>
        <v>53</v>
      </c>
      <c r="B55" s="28" t="s">
        <v>1268</v>
      </c>
      <c r="C55" s="31" t="s">
        <v>1261</v>
      </c>
      <c r="D55" s="31" t="s">
        <v>1269</v>
      </c>
    </row>
    <row r="56">
      <c r="A56" s="28">
        <f>ROW()-ROW(Table_Dialogs[N])</f>
        <v>54</v>
      </c>
      <c r="B56" s="28" t="s">
        <v>95</v>
      </c>
      <c r="C56" s="31" t="s">
        <v>96</v>
      </c>
      <c r="D56" s="31" t="s">
        <v>1275</v>
      </c>
    </row>
    <row r="57">
      <c r="A57" s="28">
        <f>ROW()-ROW(Table_Dialogs[N])</f>
        <v>55</v>
      </c>
      <c r="B57" s="28" t="s">
        <v>1280</v>
      </c>
      <c r="C57" s="31" t="s">
        <v>42</v>
      </c>
      <c r="D57" s="44" t="s">
        <v>891</v>
      </c>
    </row>
    <row r="59">
      <c r="A59" s="1" t="s">
        <v>0</v>
      </c>
      <c r="B59" s="1" t="s">
        <v>1285</v>
      </c>
      <c r="C59" s="1" t="s">
        <v>172</v>
      </c>
      <c r="D59" s="5" t="s">
        <v>1287</v>
      </c>
      <c r="E59" s="5" t="s">
        <v>1073</v>
      </c>
      <c r="F59" s="5" t="s">
        <v>1290</v>
      </c>
      <c r="G59" s="5" t="s">
        <v>1292</v>
      </c>
      <c r="H59" s="5" t="s">
        <v>1294</v>
      </c>
    </row>
    <row r="60">
      <c r="A60" s="28">
        <f>ROW()-ROW(Table_Dialog_Options[N])</f>
        <v>0</v>
      </c>
      <c r="B60" s="28" t="s">
        <v>891</v>
      </c>
      <c r="C60" s="29" t="s">
        <v>183</v>
      </c>
      <c r="D60" s="59" t="s">
        <v>184</v>
      </c>
      <c r="E60" s="32" t="s">
        <v>187</v>
      </c>
      <c r="F60" s="30" t="s">
        <v>889</v>
      </c>
      <c r="G60" s="60" t="b">
        <v>0</v>
      </c>
      <c r="H60" s="29" t="s">
        <v>1075</v>
      </c>
    </row>
    <row r="61">
      <c r="A61" s="28">
        <f>ROW()-ROW(Table_Dialog_Options[N])</f>
        <v>1</v>
      </c>
      <c r="B61" s="28" t="s">
        <v>899</v>
      </c>
      <c r="C61" s="29" t="s">
        <v>183</v>
      </c>
      <c r="D61" s="59" t="s">
        <v>184</v>
      </c>
      <c r="E61" s="32" t="s">
        <v>187</v>
      </c>
      <c r="F61" s="30" t="s">
        <v>889</v>
      </c>
      <c r="G61" s="60" t="b">
        <v>0</v>
      </c>
      <c r="H61" s="29" t="s">
        <v>1075</v>
      </c>
    </row>
    <row r="62">
      <c r="A62" s="28">
        <f>ROW()-ROW(Table_Dialog_Options[N])</f>
        <v>2</v>
      </c>
      <c r="B62" s="28" t="s">
        <v>907</v>
      </c>
      <c r="C62" s="32" t="s">
        <v>183</v>
      </c>
      <c r="D62" s="59" t="s">
        <v>184</v>
      </c>
      <c r="E62" s="32" t="s">
        <v>187</v>
      </c>
      <c r="F62" s="30" t="s">
        <v>912</v>
      </c>
      <c r="G62" s="60" t="b">
        <v>0</v>
      </c>
      <c r="H62" s="32" t="s">
        <v>1328</v>
      </c>
    </row>
    <row r="63">
      <c r="A63" s="28">
        <f>ROW()-ROW(Table_Dialog_Options[N])</f>
        <v>3</v>
      </c>
      <c r="B63" s="28" t="s">
        <v>1337</v>
      </c>
      <c r="C63" s="32" t="s">
        <v>183</v>
      </c>
      <c r="D63" s="59" t="s">
        <v>184</v>
      </c>
      <c r="E63" s="32" t="s">
        <v>187</v>
      </c>
      <c r="F63" s="30" t="s">
        <v>912</v>
      </c>
      <c r="G63" s="60" t="b">
        <v>0</v>
      </c>
      <c r="H63" s="32" t="s">
        <v>1342</v>
      </c>
    </row>
    <row r="64">
      <c r="A64" s="28">
        <f>ROW()-ROW(Table_Dialog_Options[N])</f>
        <v>4</v>
      </c>
      <c r="B64" s="28" t="s">
        <v>1351</v>
      </c>
      <c r="C64" s="32" t="s">
        <v>183</v>
      </c>
      <c r="D64" s="59" t="s">
        <v>184</v>
      </c>
      <c r="E64" s="32" t="s">
        <v>187</v>
      </c>
      <c r="F64" s="30" t="s">
        <v>889</v>
      </c>
      <c r="G64" s="60" t="b">
        <v>0</v>
      </c>
      <c r="H64" s="32" t="s">
        <v>1356</v>
      </c>
    </row>
    <row r="65">
      <c r="A65" s="28">
        <f>ROW()-ROW(Table_Dialog_Options[N])</f>
        <v>5</v>
      </c>
      <c r="B65" s="28" t="s">
        <v>1363</v>
      </c>
      <c r="C65" s="32" t="s">
        <v>183</v>
      </c>
      <c r="D65" s="59" t="s">
        <v>184</v>
      </c>
      <c r="E65" s="32" t="s">
        <v>1367</v>
      </c>
      <c r="F65" s="30" t="s">
        <v>889</v>
      </c>
      <c r="G65" s="60" t="b">
        <v>0</v>
      </c>
      <c r="H65" s="32" t="s">
        <v>1369</v>
      </c>
    </row>
    <row r="66">
      <c r="A66" s="28">
        <f>ROW()-ROW(Table_Dialog_Options[N])</f>
        <v>6</v>
      </c>
      <c r="B66" s="28" t="s">
        <v>921</v>
      </c>
      <c r="C66" s="32" t="s">
        <v>183</v>
      </c>
      <c r="D66" s="59" t="s">
        <v>184</v>
      </c>
      <c r="E66" s="32" t="s">
        <v>187</v>
      </c>
      <c r="F66" s="30" t="s">
        <v>889</v>
      </c>
      <c r="G66" s="60" t="b">
        <v>0</v>
      </c>
      <c r="H66" s="32" t="s">
        <v>1386</v>
      </c>
    </row>
    <row r="67">
      <c r="A67" s="28">
        <f>ROW()-ROW(Table_Dialog_Options[N])</f>
        <v>7</v>
      </c>
      <c r="B67" s="28" t="s">
        <v>927</v>
      </c>
      <c r="C67" s="32" t="s">
        <v>183</v>
      </c>
      <c r="D67" s="59" t="s">
        <v>184</v>
      </c>
      <c r="E67" s="32" t="s">
        <v>187</v>
      </c>
      <c r="F67" s="30" t="s">
        <v>933</v>
      </c>
      <c r="G67" s="60" t="b">
        <v>0</v>
      </c>
      <c r="H67" s="32" t="s">
        <v>1398</v>
      </c>
    </row>
    <row r="68">
      <c r="A68" s="28">
        <f>ROW()-ROW(Table_Dialog_Options[N])</f>
        <v>8</v>
      </c>
      <c r="B68" s="28" t="s">
        <v>935</v>
      </c>
      <c r="C68" s="32" t="s">
        <v>183</v>
      </c>
      <c r="D68" s="59" t="s">
        <v>184</v>
      </c>
      <c r="E68" s="32" t="s">
        <v>187</v>
      </c>
      <c r="F68" s="30" t="s">
        <v>889</v>
      </c>
      <c r="G68" s="60" t="b">
        <v>1</v>
      </c>
      <c r="H68" s="32" t="s">
        <v>1412</v>
      </c>
    </row>
    <row r="69">
      <c r="A69" s="28">
        <f>ROW()-ROW(Table_Dialog_Options[N])</f>
        <v>9</v>
      </c>
      <c r="B69" s="28" t="s">
        <v>941</v>
      </c>
      <c r="C69" s="32" t="s">
        <v>183</v>
      </c>
      <c r="D69" s="59" t="s">
        <v>184</v>
      </c>
      <c r="E69" s="32" t="s">
        <v>187</v>
      </c>
      <c r="F69" s="30" t="s">
        <v>947</v>
      </c>
      <c r="G69" s="60" t="b">
        <v>1</v>
      </c>
      <c r="H69" s="32" t="s">
        <v>1421</v>
      </c>
    </row>
    <row r="70">
      <c r="A70" s="28">
        <f>ROW()-ROW(Table_Dialog_Options[N])</f>
        <v>10</v>
      </c>
      <c r="B70" s="28" t="s">
        <v>1430</v>
      </c>
      <c r="C70" s="32" t="s">
        <v>183</v>
      </c>
      <c r="D70" s="59" t="s">
        <v>461</v>
      </c>
      <c r="E70" s="32" t="s">
        <v>1431</v>
      </c>
      <c r="F70" s="30" t="s">
        <v>947</v>
      </c>
      <c r="G70" s="60" t="b">
        <v>0</v>
      </c>
      <c r="H70" s="32" t="s">
        <v>1435</v>
      </c>
    </row>
    <row r="71">
      <c r="A71" s="28">
        <f>ROW()-ROW(Table_Dialog_Options[N])</f>
        <v>11</v>
      </c>
      <c r="B71" s="28" t="s">
        <v>1440</v>
      </c>
      <c r="C71" s="32" t="s">
        <v>1442</v>
      </c>
      <c r="D71" s="59" t="s">
        <v>461</v>
      </c>
      <c r="E71" s="32" t="s">
        <v>187</v>
      </c>
      <c r="F71" s="30" t="s">
        <v>947</v>
      </c>
      <c r="G71" s="60" t="b">
        <v>0</v>
      </c>
      <c r="H71" s="32" t="s">
        <v>1448</v>
      </c>
    </row>
    <row r="72">
      <c r="A72" s="28">
        <f>ROW()-ROW(Table_Dialog_Options[N])</f>
        <v>12</v>
      </c>
      <c r="B72" s="28" t="s">
        <v>1454</v>
      </c>
      <c r="C72" s="32" t="s">
        <v>183</v>
      </c>
      <c r="D72" s="59" t="s">
        <v>184</v>
      </c>
      <c r="E72" s="32" t="s">
        <v>187</v>
      </c>
      <c r="F72" s="30" t="s">
        <v>947</v>
      </c>
      <c r="G72" s="60" t="b">
        <v>0</v>
      </c>
      <c r="H72" s="32" t="s">
        <v>1460</v>
      </c>
    </row>
    <row r="73">
      <c r="A73" s="28">
        <f>ROW()-ROW(Table_Dialog_Options[N])</f>
        <v>13</v>
      </c>
      <c r="B73" s="28" t="s">
        <v>1471</v>
      </c>
      <c r="C73" s="32" t="s">
        <v>1442</v>
      </c>
      <c r="D73" s="59" t="s">
        <v>473</v>
      </c>
      <c r="E73" s="32" t="s">
        <v>1473</v>
      </c>
      <c r="F73" s="30" t="s">
        <v>947</v>
      </c>
      <c r="G73" s="60" t="b">
        <v>0</v>
      </c>
      <c r="H73" s="32" t="s">
        <v>1477</v>
      </c>
    </row>
    <row r="74">
      <c r="A74" s="28">
        <f>ROW()-ROW(Table_Dialog_Options[N])</f>
        <v>14</v>
      </c>
      <c r="B74" s="28" t="s">
        <v>1482</v>
      </c>
      <c r="C74" s="32" t="s">
        <v>183</v>
      </c>
      <c r="D74" s="59" t="s">
        <v>184</v>
      </c>
      <c r="E74" s="32" t="s">
        <v>187</v>
      </c>
      <c r="F74" s="30" t="s">
        <v>889</v>
      </c>
      <c r="G74" s="60" t="b">
        <v>0</v>
      </c>
      <c r="H74" s="32" t="s">
        <v>1486</v>
      </c>
    </row>
    <row r="75">
      <c r="A75" s="28">
        <f>ROW()-ROW(Table_Dialog_Options[N])</f>
        <v>15</v>
      </c>
      <c r="B75" s="28" t="s">
        <v>953</v>
      </c>
      <c r="C75" s="32" t="s">
        <v>183</v>
      </c>
      <c r="D75" s="59" t="s">
        <v>184</v>
      </c>
      <c r="E75" s="32" t="s">
        <v>187</v>
      </c>
      <c r="F75" s="30" t="s">
        <v>889</v>
      </c>
      <c r="G75" s="60" t="b">
        <v>0</v>
      </c>
      <c r="H75" s="32" t="s">
        <v>1494</v>
      </c>
    </row>
    <row r="76">
      <c r="A76" s="28">
        <f>ROW()-ROW(Table_Dialog_Options[N])</f>
        <v>16</v>
      </c>
      <c r="B76" s="28" t="s">
        <v>960</v>
      </c>
      <c r="C76" s="32" t="s">
        <v>183</v>
      </c>
      <c r="D76" s="59" t="s">
        <v>184</v>
      </c>
      <c r="E76" s="32" t="s">
        <v>187</v>
      </c>
      <c r="F76" s="30" t="s">
        <v>889</v>
      </c>
      <c r="G76" s="60" t="b">
        <v>1</v>
      </c>
      <c r="H76" s="32" t="s">
        <v>1505</v>
      </c>
    </row>
    <row r="77">
      <c r="A77" s="28">
        <f>ROW()-ROW(Table_Dialog_Options[N])</f>
        <v>17</v>
      </c>
      <c r="B77" s="28" t="s">
        <v>966</v>
      </c>
      <c r="C77" s="32" t="s">
        <v>183</v>
      </c>
      <c r="D77" s="59" t="s">
        <v>184</v>
      </c>
      <c r="E77" s="32" t="s">
        <v>187</v>
      </c>
      <c r="F77" s="30" t="s">
        <v>889</v>
      </c>
      <c r="G77" s="60" t="b">
        <v>1</v>
      </c>
      <c r="H77" s="32" t="s">
        <v>1514</v>
      </c>
    </row>
    <row r="78">
      <c r="A78" s="28">
        <f>ROW()-ROW(Table_Dialog_Options[N])</f>
        <v>18</v>
      </c>
      <c r="B78" s="28" t="s">
        <v>1518</v>
      </c>
      <c r="C78" s="32" t="s">
        <v>183</v>
      </c>
      <c r="D78" s="59" t="s">
        <v>184</v>
      </c>
      <c r="E78" s="32" t="s">
        <v>187</v>
      </c>
      <c r="F78" s="30" t="s">
        <v>969</v>
      </c>
      <c r="G78" s="60" t="b">
        <v>0</v>
      </c>
      <c r="H78" s="32" t="s">
        <v>1522</v>
      </c>
    </row>
    <row r="79">
      <c r="A79" s="28">
        <f>ROW()-ROW(Table_Dialog_Options[N])</f>
        <v>19</v>
      </c>
      <c r="B79" s="28" t="s">
        <v>1525</v>
      </c>
      <c r="C79" s="32" t="s">
        <v>183</v>
      </c>
      <c r="D79" s="59" t="s">
        <v>184</v>
      </c>
      <c r="E79" s="32" t="s">
        <v>187</v>
      </c>
      <c r="F79" s="30" t="s">
        <v>969</v>
      </c>
      <c r="G79" s="60" t="b">
        <v>0</v>
      </c>
      <c r="H79" s="32" t="s">
        <v>1529</v>
      </c>
    </row>
    <row r="80">
      <c r="A80" s="28">
        <f>ROW()-ROW(Table_Dialog_Options[N])</f>
        <v>20</v>
      </c>
      <c r="B80" s="28" t="s">
        <v>1534</v>
      </c>
      <c r="C80" s="32" t="s">
        <v>183</v>
      </c>
      <c r="D80" s="59" t="s">
        <v>184</v>
      </c>
      <c r="E80" s="32" t="s">
        <v>1536</v>
      </c>
      <c r="F80" s="30" t="s">
        <v>969</v>
      </c>
      <c r="G80" s="60" t="b">
        <v>0</v>
      </c>
      <c r="H80" s="32" t="s">
        <v>1538</v>
      </c>
    </row>
    <row r="81">
      <c r="A81" s="28">
        <f>ROW()-ROW(Table_Dialog_Options[N])</f>
        <v>21</v>
      </c>
      <c r="B81" s="28" t="s">
        <v>1551</v>
      </c>
      <c r="C81" s="32" t="s">
        <v>183</v>
      </c>
      <c r="D81" s="59" t="s">
        <v>184</v>
      </c>
      <c r="E81" s="32" t="s">
        <v>187</v>
      </c>
      <c r="F81" s="30" t="s">
        <v>889</v>
      </c>
      <c r="G81" s="60" t="b">
        <v>0</v>
      </c>
      <c r="H81" s="32" t="s">
        <v>1553</v>
      </c>
    </row>
    <row r="82">
      <c r="A82" s="28">
        <f>ROW()-ROW(Table_Dialog_Options[N])</f>
        <v>22</v>
      </c>
      <c r="B82" s="28" t="s">
        <v>980</v>
      </c>
      <c r="C82" s="32" t="s">
        <v>183</v>
      </c>
      <c r="D82" s="59" t="s">
        <v>184</v>
      </c>
      <c r="E82" s="32" t="s">
        <v>187</v>
      </c>
      <c r="F82" s="30" t="s">
        <v>969</v>
      </c>
      <c r="G82" s="60" t="b">
        <v>1</v>
      </c>
      <c r="H82" s="32" t="s">
        <v>1562</v>
      </c>
    </row>
    <row r="83">
      <c r="A83" s="28">
        <f>ROW()-ROW(Table_Dialog_Options[N])</f>
        <v>23</v>
      </c>
      <c r="B83" s="28" t="s">
        <v>1569</v>
      </c>
      <c r="C83" s="32" t="s">
        <v>183</v>
      </c>
      <c r="D83" s="59" t="s">
        <v>184</v>
      </c>
      <c r="E83" s="32" t="s">
        <v>1571</v>
      </c>
      <c r="F83" s="30" t="s">
        <v>983</v>
      </c>
      <c r="G83" s="60" t="b">
        <v>0</v>
      </c>
      <c r="H83" s="32" t="s">
        <v>1574</v>
      </c>
    </row>
    <row r="84">
      <c r="A84" s="28">
        <f>ROW()-ROW(Table_Dialog_Options[N])</f>
        <v>24</v>
      </c>
      <c r="B84" s="28" t="s">
        <v>1581</v>
      </c>
      <c r="C84" s="32" t="s">
        <v>1582</v>
      </c>
      <c r="D84" s="59" t="s">
        <v>184</v>
      </c>
      <c r="E84" s="32" t="s">
        <v>1584</v>
      </c>
      <c r="F84" s="30" t="s">
        <v>983</v>
      </c>
      <c r="G84" s="60" t="b">
        <v>0</v>
      </c>
      <c r="H84" s="32" t="s">
        <v>1587</v>
      </c>
    </row>
    <row r="85">
      <c r="A85" s="28">
        <f>ROW()-ROW(Table_Dialog_Options[N])</f>
        <v>25</v>
      </c>
      <c r="B85" s="28" t="s">
        <v>1595</v>
      </c>
      <c r="C85" s="32" t="s">
        <v>183</v>
      </c>
      <c r="D85" s="59" t="s">
        <v>184</v>
      </c>
      <c r="E85" s="32" t="s">
        <v>187</v>
      </c>
      <c r="F85" s="30" t="s">
        <v>889</v>
      </c>
      <c r="G85" s="60" t="b">
        <v>0</v>
      </c>
      <c r="H85" s="32" t="s">
        <v>1598</v>
      </c>
    </row>
    <row r="86">
      <c r="A86" s="28">
        <f>ROW()-ROW(Table_Dialog_Options[N])</f>
        <v>26</v>
      </c>
      <c r="B86" s="28" t="s">
        <v>991</v>
      </c>
      <c r="C86" s="32" t="s">
        <v>183</v>
      </c>
      <c r="D86" s="59" t="s">
        <v>184</v>
      </c>
      <c r="E86" s="32" t="s">
        <v>187</v>
      </c>
      <c r="F86" s="30" t="s">
        <v>983</v>
      </c>
      <c r="G86" s="60" t="b">
        <v>0</v>
      </c>
      <c r="H86" s="32" t="s">
        <v>1609</v>
      </c>
    </row>
    <row r="87">
      <c r="A87" s="28">
        <f>ROW()-ROW(Table_Dialog_Options[N])</f>
        <v>27</v>
      </c>
      <c r="B87" s="28" t="s">
        <v>997</v>
      </c>
      <c r="C87" s="32" t="s">
        <v>183</v>
      </c>
      <c r="D87" s="59" t="s">
        <v>184</v>
      </c>
      <c r="E87" s="32" t="s">
        <v>187</v>
      </c>
      <c r="F87" s="30" t="s">
        <v>889</v>
      </c>
      <c r="G87" s="60" t="b">
        <v>0</v>
      </c>
      <c r="H87" s="32" t="s">
        <v>1618</v>
      </c>
    </row>
    <row r="88">
      <c r="A88" s="28">
        <f>ROW()-ROW(Table_Dialog_Options[N])</f>
        <v>28</v>
      </c>
      <c r="B88" s="28" t="s">
        <v>1000</v>
      </c>
      <c r="C88" s="32" t="s">
        <v>183</v>
      </c>
      <c r="D88" s="59" t="s">
        <v>184</v>
      </c>
      <c r="E88" s="32" t="s">
        <v>1629</v>
      </c>
      <c r="F88" s="30" t="s">
        <v>1004</v>
      </c>
      <c r="G88" s="60" t="b">
        <v>0</v>
      </c>
      <c r="H88" s="32" t="s">
        <v>1632</v>
      </c>
    </row>
    <row r="89">
      <c r="A89" s="28">
        <f>ROW()-ROW(Table_Dialog_Options[N])</f>
        <v>29</v>
      </c>
      <c r="B89" s="28" t="s">
        <v>1006</v>
      </c>
      <c r="C89" s="32" t="s">
        <v>183</v>
      </c>
      <c r="D89" s="59" t="s">
        <v>184</v>
      </c>
      <c r="E89" s="32" t="s">
        <v>187</v>
      </c>
      <c r="F89" s="30" t="s">
        <v>889</v>
      </c>
      <c r="G89" s="60" t="b">
        <v>0</v>
      </c>
      <c r="H89" s="32" t="s">
        <v>1642</v>
      </c>
    </row>
    <row r="90">
      <c r="A90" s="28">
        <f>ROW()-ROW(Table_Dialog_Options[N])</f>
        <v>30</v>
      </c>
      <c r="B90" s="28" t="s">
        <v>1651</v>
      </c>
      <c r="C90" s="32" t="s">
        <v>183</v>
      </c>
      <c r="D90" s="59" t="s">
        <v>184</v>
      </c>
      <c r="E90" s="32" t="s">
        <v>187</v>
      </c>
      <c r="F90" s="30" t="s">
        <v>1008</v>
      </c>
      <c r="G90" s="60" t="b">
        <v>0</v>
      </c>
      <c r="H90" s="32" t="s">
        <v>1654</v>
      </c>
    </row>
    <row r="91">
      <c r="A91" s="28">
        <f>ROW()-ROW(Table_Dialog_Options[N])</f>
        <v>31</v>
      </c>
      <c r="B91" s="28" t="s">
        <v>1664</v>
      </c>
      <c r="C91" s="32" t="s">
        <v>183</v>
      </c>
      <c r="D91" s="59" t="s">
        <v>184</v>
      </c>
      <c r="E91" s="32" t="s">
        <v>187</v>
      </c>
      <c r="F91" s="30" t="s">
        <v>1018</v>
      </c>
      <c r="G91" s="60" t="b">
        <v>0</v>
      </c>
      <c r="H91" s="32" t="s">
        <v>1669</v>
      </c>
    </row>
    <row r="92">
      <c r="A92" s="28">
        <f>ROW()-ROW(Table_Dialog_Options[N])</f>
        <v>32</v>
      </c>
      <c r="B92" s="28" t="s">
        <v>1676</v>
      </c>
      <c r="C92" s="32" t="s">
        <v>183</v>
      </c>
      <c r="D92" s="59" t="s">
        <v>184</v>
      </c>
      <c r="E92" s="32" t="s">
        <v>187</v>
      </c>
      <c r="F92" s="30" t="s">
        <v>889</v>
      </c>
      <c r="G92" s="60" t="b">
        <v>0</v>
      </c>
      <c r="H92" s="32" t="s">
        <v>1680</v>
      </c>
    </row>
    <row r="93">
      <c r="A93" s="28">
        <f>ROW()-ROW(Table_Dialog_Options[N])</f>
        <v>33</v>
      </c>
      <c r="B93" s="28" t="s">
        <v>1686</v>
      </c>
      <c r="C93" s="32" t="s">
        <v>183</v>
      </c>
      <c r="D93" s="59" t="s">
        <v>184</v>
      </c>
      <c r="E93" s="32" t="s">
        <v>187</v>
      </c>
      <c r="F93" s="30" t="s">
        <v>889</v>
      </c>
      <c r="G93" s="60" t="b">
        <v>0</v>
      </c>
      <c r="H93" s="32" t="s">
        <v>1692</v>
      </c>
    </row>
    <row r="94">
      <c r="A94" s="28">
        <f>ROW()-ROW(Table_Dialog_Options[N])</f>
        <v>34</v>
      </c>
      <c r="B94" s="28" t="s">
        <v>1014</v>
      </c>
      <c r="C94" s="32" t="s">
        <v>183</v>
      </c>
      <c r="D94" s="59" t="s">
        <v>184</v>
      </c>
      <c r="E94" s="32" t="s">
        <v>187</v>
      </c>
      <c r="F94" s="30" t="s">
        <v>1008</v>
      </c>
      <c r="G94" s="60" t="b">
        <v>1</v>
      </c>
      <c r="H94" s="32" t="s">
        <v>1703</v>
      </c>
    </row>
    <row r="95">
      <c r="A95" s="28">
        <f>ROW()-ROW(Table_Dialog_Options[N])</f>
        <v>35</v>
      </c>
      <c r="B95" s="28" t="s">
        <v>1708</v>
      </c>
      <c r="C95" s="32" t="s">
        <v>183</v>
      </c>
      <c r="D95" s="59" t="s">
        <v>184</v>
      </c>
      <c r="E95" s="32" t="s">
        <v>187</v>
      </c>
      <c r="F95" s="30" t="s">
        <v>1008</v>
      </c>
      <c r="G95" s="60" t="b">
        <v>0</v>
      </c>
      <c r="H95" s="32" t="s">
        <v>1712</v>
      </c>
    </row>
    <row r="96">
      <c r="A96" s="28">
        <f>ROW()-ROW(Table_Dialog_Options[N])</f>
        <v>36</v>
      </c>
      <c r="B96" s="28" t="s">
        <v>1718</v>
      </c>
      <c r="C96" s="32" t="s">
        <v>183</v>
      </c>
      <c r="D96" s="59" t="s">
        <v>184</v>
      </c>
      <c r="E96" s="32" t="s">
        <v>187</v>
      </c>
      <c r="F96" s="30" t="s">
        <v>1008</v>
      </c>
      <c r="G96" s="60" t="b">
        <v>0</v>
      </c>
      <c r="H96" s="32" t="s">
        <v>1722</v>
      </c>
    </row>
    <row r="97">
      <c r="A97" s="28">
        <f>ROW()-ROW(Table_Dialog_Options[N])</f>
        <v>37</v>
      </c>
      <c r="B97" s="28" t="s">
        <v>1729</v>
      </c>
      <c r="C97" s="32" t="s">
        <v>183</v>
      </c>
      <c r="D97" s="59" t="s">
        <v>184</v>
      </c>
      <c r="E97" s="32" t="s">
        <v>187</v>
      </c>
      <c r="F97" s="30" t="s">
        <v>1008</v>
      </c>
      <c r="G97" s="60" t="b">
        <v>0</v>
      </c>
      <c r="H97" s="32" t="s">
        <v>1735</v>
      </c>
    </row>
    <row r="98">
      <c r="A98" s="28">
        <f>ROW()-ROW(Table_Dialog_Options[N])</f>
        <v>38</v>
      </c>
      <c r="B98" s="28" t="s">
        <v>1740</v>
      </c>
      <c r="C98" s="32" t="s">
        <v>1741</v>
      </c>
      <c r="D98" s="59" t="s">
        <v>184</v>
      </c>
      <c r="E98" s="32" t="s">
        <v>1743</v>
      </c>
      <c r="F98" s="30" t="s">
        <v>889</v>
      </c>
      <c r="G98" s="60" t="b">
        <v>0</v>
      </c>
      <c r="H98" s="32" t="s">
        <v>1748</v>
      </c>
    </row>
    <row r="99">
      <c r="A99" s="28">
        <f>ROW()-ROW(Table_Dialog_Options[N])</f>
        <v>39</v>
      </c>
      <c r="B99" s="28" t="s">
        <v>1026</v>
      </c>
      <c r="C99" s="32" t="s">
        <v>183</v>
      </c>
      <c r="D99" s="59" t="s">
        <v>184</v>
      </c>
      <c r="E99" s="32" t="s">
        <v>187</v>
      </c>
      <c r="F99" s="30" t="s">
        <v>889</v>
      </c>
      <c r="G99" s="60" t="b">
        <v>0</v>
      </c>
      <c r="H99" s="32" t="s">
        <v>1758</v>
      </c>
    </row>
    <row r="100">
      <c r="A100" s="28">
        <f>ROW()-ROW(Table_Dialog_Options[N])</f>
        <v>40</v>
      </c>
      <c r="B100" s="28" t="s">
        <v>1033</v>
      </c>
      <c r="C100" s="32" t="s">
        <v>183</v>
      </c>
      <c r="D100" s="59" t="s">
        <v>184</v>
      </c>
      <c r="E100" s="32" t="s">
        <v>187</v>
      </c>
      <c r="F100" s="30" t="s">
        <v>889</v>
      </c>
      <c r="G100" s="60" t="b">
        <v>0</v>
      </c>
      <c r="H100" s="32" t="s">
        <v>1769</v>
      </c>
    </row>
    <row r="101">
      <c r="A101" s="28">
        <f>ROW()-ROW(Table_Dialog_Options[N])</f>
        <v>41</v>
      </c>
      <c r="B101" s="28" t="s">
        <v>1037</v>
      </c>
      <c r="C101" s="32" t="s">
        <v>183</v>
      </c>
      <c r="D101" s="59" t="s">
        <v>184</v>
      </c>
      <c r="E101" s="32" t="s">
        <v>187</v>
      </c>
      <c r="F101" s="30" t="s">
        <v>889</v>
      </c>
      <c r="G101" s="60" t="b">
        <v>0</v>
      </c>
      <c r="H101" s="32" t="s">
        <v>1075</v>
      </c>
    </row>
    <row r="102">
      <c r="A102" s="28">
        <f>ROW()-ROW(Table_Dialog_Options[N])</f>
        <v>42</v>
      </c>
      <c r="B102" s="28" t="s">
        <v>1044</v>
      </c>
      <c r="C102" s="32" t="s">
        <v>183</v>
      </c>
      <c r="D102" s="59" t="s">
        <v>184</v>
      </c>
      <c r="E102" s="32" t="s">
        <v>1787</v>
      </c>
      <c r="F102" s="30" t="s">
        <v>889</v>
      </c>
      <c r="G102" s="60" t="b">
        <v>0</v>
      </c>
      <c r="H102" s="32" t="s">
        <v>1789</v>
      </c>
    </row>
    <row r="103">
      <c r="A103" s="28">
        <f>ROW()-ROW(Table_Dialog_Options[N])</f>
        <v>43</v>
      </c>
      <c r="B103" s="28" t="s">
        <v>1050</v>
      </c>
      <c r="C103" s="32" t="s">
        <v>183</v>
      </c>
      <c r="D103" s="59" t="s">
        <v>184</v>
      </c>
      <c r="E103" s="32" t="s">
        <v>187</v>
      </c>
      <c r="F103" s="30" t="s">
        <v>889</v>
      </c>
      <c r="G103" s="60" t="b">
        <v>0</v>
      </c>
      <c r="H103" s="32" t="s">
        <v>1799</v>
      </c>
    </row>
    <row r="104">
      <c r="A104" s="28">
        <f>ROW()-ROW(Table_Dialog_Options[N])</f>
        <v>44</v>
      </c>
      <c r="B104" s="28" t="s">
        <v>1061</v>
      </c>
      <c r="C104" s="32" t="s">
        <v>183</v>
      </c>
      <c r="D104" s="59" t="s">
        <v>184</v>
      </c>
      <c r="E104" s="32" t="s">
        <v>187</v>
      </c>
      <c r="F104" s="30" t="s">
        <v>889</v>
      </c>
      <c r="G104" s="60" t="b">
        <v>0</v>
      </c>
      <c r="H104" s="32" t="s">
        <v>1809</v>
      </c>
    </row>
    <row r="105">
      <c r="A105" s="28">
        <f>ROW()-ROW(Table_Dialog_Options[N])</f>
        <v>45</v>
      </c>
      <c r="B105" s="28" t="s">
        <v>1816</v>
      </c>
      <c r="C105" s="32" t="s">
        <v>183</v>
      </c>
      <c r="D105" s="59" t="s">
        <v>184</v>
      </c>
      <c r="E105" s="32" t="s">
        <v>187</v>
      </c>
      <c r="F105" s="30" t="s">
        <v>1067</v>
      </c>
      <c r="G105" s="60" t="b">
        <v>0</v>
      </c>
      <c r="H105" s="32" t="s">
        <v>1821</v>
      </c>
    </row>
    <row r="106">
      <c r="A106" s="28">
        <f>ROW()-ROW(Table_Dialog_Options[N])</f>
        <v>46</v>
      </c>
      <c r="B106" s="28" t="s">
        <v>1829</v>
      </c>
      <c r="C106" s="32" t="s">
        <v>183</v>
      </c>
      <c r="D106" s="59" t="s">
        <v>184</v>
      </c>
      <c r="E106" s="32" t="s">
        <v>1831</v>
      </c>
      <c r="F106" s="30" t="s">
        <v>889</v>
      </c>
      <c r="G106" s="60" t="b">
        <v>0</v>
      </c>
      <c r="H106" s="32" t="s">
        <v>1832</v>
      </c>
    </row>
    <row r="107">
      <c r="A107" s="28">
        <f>ROW()-ROW(Table_Dialog_Options[N])</f>
        <v>47</v>
      </c>
      <c r="B107" s="28" t="s">
        <v>1841</v>
      </c>
      <c r="C107" s="32" t="s">
        <v>1842</v>
      </c>
      <c r="D107" s="59" t="s">
        <v>184</v>
      </c>
      <c r="E107" s="32" t="s">
        <v>187</v>
      </c>
      <c r="F107" s="30" t="s">
        <v>1067</v>
      </c>
      <c r="G107" s="60" t="b">
        <v>0</v>
      </c>
      <c r="H107" s="32" t="s">
        <v>1843</v>
      </c>
    </row>
    <row r="108">
      <c r="A108" s="28">
        <f>ROW()-ROW(Table_Dialog_Options[N])</f>
        <v>48</v>
      </c>
      <c r="B108" s="28" t="s">
        <v>1076</v>
      </c>
      <c r="C108" s="32" t="s">
        <v>183</v>
      </c>
      <c r="D108" s="59" t="s">
        <v>184</v>
      </c>
      <c r="E108" s="32" t="s">
        <v>187</v>
      </c>
      <c r="F108" s="30" t="s">
        <v>1067</v>
      </c>
      <c r="G108" s="60" t="b">
        <v>0</v>
      </c>
      <c r="H108" s="32" t="s">
        <v>1852</v>
      </c>
    </row>
    <row r="109">
      <c r="A109" s="28">
        <f>ROW()-ROW(Table_Dialog_Options[N])</f>
        <v>49</v>
      </c>
      <c r="B109" s="28" t="s">
        <v>1859</v>
      </c>
      <c r="C109" s="32" t="s">
        <v>183</v>
      </c>
      <c r="D109" s="59" t="s">
        <v>184</v>
      </c>
      <c r="E109" s="32" t="s">
        <v>187</v>
      </c>
      <c r="F109" s="30" t="s">
        <v>1082</v>
      </c>
      <c r="G109" s="60" t="b">
        <v>0</v>
      </c>
      <c r="H109" s="32" t="s">
        <v>1865</v>
      </c>
    </row>
    <row r="110">
      <c r="A110" s="28">
        <f>ROW()-ROW(Table_Dialog_Options[N])</f>
        <v>50</v>
      </c>
      <c r="B110" s="28" t="s">
        <v>1872</v>
      </c>
      <c r="C110" s="32" t="s">
        <v>183</v>
      </c>
      <c r="D110" s="59" t="s">
        <v>184</v>
      </c>
      <c r="E110" s="32" t="s">
        <v>187</v>
      </c>
      <c r="F110" s="30" t="s">
        <v>1082</v>
      </c>
      <c r="G110" s="60" t="b">
        <v>0</v>
      </c>
      <c r="H110" s="32" t="s">
        <v>1878</v>
      </c>
    </row>
    <row r="111">
      <c r="A111" s="28">
        <f>ROW()-ROW(Table_Dialog_Options[N])</f>
        <v>51</v>
      </c>
      <c r="B111" s="28" t="s">
        <v>1885</v>
      </c>
      <c r="C111" s="32" t="s">
        <v>183</v>
      </c>
      <c r="D111" s="59" t="s">
        <v>184</v>
      </c>
      <c r="E111" s="32" t="s">
        <v>187</v>
      </c>
      <c r="F111" s="30" t="s">
        <v>1082</v>
      </c>
      <c r="G111" s="60" t="b">
        <v>0</v>
      </c>
      <c r="H111" s="32" t="s">
        <v>1889</v>
      </c>
    </row>
    <row r="112">
      <c r="A112" s="28">
        <f>ROW()-ROW(Table_Dialog_Options[N])</f>
        <v>52</v>
      </c>
      <c r="B112" s="28" t="s">
        <v>1899</v>
      </c>
      <c r="C112" s="32" t="s">
        <v>1901</v>
      </c>
      <c r="D112" s="59" t="s">
        <v>184</v>
      </c>
      <c r="E112" s="32" t="s">
        <v>187</v>
      </c>
      <c r="F112" s="30" t="s">
        <v>1082</v>
      </c>
      <c r="G112" s="60" t="b">
        <v>0</v>
      </c>
      <c r="H112" s="32" t="s">
        <v>1903</v>
      </c>
    </row>
    <row r="113">
      <c r="A113" s="28">
        <f>ROW()-ROW(Table_Dialog_Options[N])</f>
        <v>53</v>
      </c>
      <c r="B113" s="28" t="s">
        <v>1094</v>
      </c>
      <c r="C113" s="32" t="s">
        <v>183</v>
      </c>
      <c r="D113" s="59" t="s">
        <v>184</v>
      </c>
      <c r="E113" s="32" t="s">
        <v>187</v>
      </c>
      <c r="F113" s="30" t="s">
        <v>1082</v>
      </c>
      <c r="G113" s="60" t="b">
        <v>0</v>
      </c>
      <c r="H113" s="32" t="s">
        <v>1914</v>
      </c>
    </row>
    <row r="114">
      <c r="A114" s="28">
        <f>ROW()-ROW(Table_Dialog_Options[N])</f>
        <v>54</v>
      </c>
      <c r="B114" s="28" t="s">
        <v>1919</v>
      </c>
      <c r="C114" s="32" t="s">
        <v>183</v>
      </c>
      <c r="D114" s="59" t="s">
        <v>184</v>
      </c>
      <c r="E114" s="32" t="s">
        <v>1922</v>
      </c>
      <c r="F114" s="30" t="s">
        <v>889</v>
      </c>
      <c r="G114" s="60" t="b">
        <v>0</v>
      </c>
      <c r="H114" s="32" t="s">
        <v>1926</v>
      </c>
    </row>
    <row r="115">
      <c r="A115" s="28">
        <f>ROW()-ROW(Table_Dialog_Options[N])</f>
        <v>55</v>
      </c>
      <c r="B115" s="28" t="s">
        <v>1932</v>
      </c>
      <c r="C115" s="32" t="s">
        <v>183</v>
      </c>
      <c r="D115" s="59" t="s">
        <v>184</v>
      </c>
      <c r="E115" s="32" t="s">
        <v>1937</v>
      </c>
      <c r="F115" s="30" t="s">
        <v>1101</v>
      </c>
      <c r="G115" s="60" t="b">
        <v>0</v>
      </c>
      <c r="H115" s="32" t="s">
        <v>1938</v>
      </c>
    </row>
    <row r="116">
      <c r="A116" s="28">
        <f>ROW()-ROW(Table_Dialog_Options[N])</f>
        <v>56</v>
      </c>
      <c r="B116" s="28" t="s">
        <v>1945</v>
      </c>
      <c r="C116" s="32" t="s">
        <v>183</v>
      </c>
      <c r="D116" s="59" t="s">
        <v>184</v>
      </c>
      <c r="E116" s="32" t="s">
        <v>1949</v>
      </c>
      <c r="F116" s="30" t="s">
        <v>889</v>
      </c>
      <c r="G116" s="60" t="b">
        <v>0</v>
      </c>
      <c r="H116" s="32" t="s">
        <v>1951</v>
      </c>
    </row>
    <row r="117">
      <c r="A117" s="28">
        <f>ROW()-ROW(Table_Dialog_Options[N])</f>
        <v>57</v>
      </c>
      <c r="B117" s="28" t="s">
        <v>1109</v>
      </c>
      <c r="C117" s="32" t="s">
        <v>183</v>
      </c>
      <c r="D117" s="59" t="s">
        <v>184</v>
      </c>
      <c r="E117" s="32" t="s">
        <v>187</v>
      </c>
      <c r="F117" s="30" t="s">
        <v>1101</v>
      </c>
      <c r="G117" s="60" t="b">
        <v>0</v>
      </c>
      <c r="H117" s="32" t="s">
        <v>1963</v>
      </c>
    </row>
    <row r="118">
      <c r="A118" s="28">
        <f>ROW()-ROW(Table_Dialog_Options[N])</f>
        <v>58</v>
      </c>
      <c r="B118" s="28" t="s">
        <v>1973</v>
      </c>
      <c r="C118" s="32" t="s">
        <v>1975</v>
      </c>
      <c r="D118" s="59" t="s">
        <v>184</v>
      </c>
      <c r="E118" s="32" t="s">
        <v>1976</v>
      </c>
      <c r="F118" s="30" t="s">
        <v>889</v>
      </c>
      <c r="G118" s="60" t="b">
        <v>0</v>
      </c>
      <c r="H118" s="32" t="s">
        <v>1977</v>
      </c>
    </row>
    <row r="119">
      <c r="A119" s="28">
        <f>ROW()-ROW(Table_Dialog_Options[N])</f>
        <v>59</v>
      </c>
      <c r="B119" s="28" t="s">
        <v>1987</v>
      </c>
      <c r="C119" s="32" t="s">
        <v>1989</v>
      </c>
      <c r="D119" s="59" t="s">
        <v>184</v>
      </c>
      <c r="E119" s="32" t="s">
        <v>1990</v>
      </c>
      <c r="F119" s="30" t="s">
        <v>889</v>
      </c>
      <c r="G119" s="60" t="b">
        <v>0</v>
      </c>
      <c r="H119" s="32" t="s">
        <v>1991</v>
      </c>
    </row>
    <row r="120">
      <c r="A120" s="28">
        <f>ROW()-ROW(Table_Dialog_Options[N])</f>
        <v>60</v>
      </c>
      <c r="B120" s="28" t="s">
        <v>1996</v>
      </c>
      <c r="C120" s="32" t="s">
        <v>183</v>
      </c>
      <c r="D120" s="59" t="s">
        <v>184</v>
      </c>
      <c r="E120" s="32" t="s">
        <v>187</v>
      </c>
      <c r="F120" s="30" t="s">
        <v>889</v>
      </c>
      <c r="G120" s="60" t="b">
        <v>0</v>
      </c>
      <c r="H120" s="32" t="s">
        <v>2001</v>
      </c>
    </row>
    <row r="121">
      <c r="A121" s="28">
        <f>ROW()-ROW(Table_Dialog_Options[N])</f>
        <v>61</v>
      </c>
      <c r="B121" s="28" t="s">
        <v>1120</v>
      </c>
      <c r="C121" s="32" t="s">
        <v>183</v>
      </c>
      <c r="D121" s="59" t="s">
        <v>184</v>
      </c>
      <c r="E121" s="32" t="s">
        <v>187</v>
      </c>
      <c r="F121" s="30" t="s">
        <v>1112</v>
      </c>
      <c r="G121" s="60" t="b">
        <v>0</v>
      </c>
      <c r="H121" s="32" t="s">
        <v>2009</v>
      </c>
    </row>
    <row r="122">
      <c r="A122" s="28">
        <f>ROW()-ROW(Table_Dialog_Options[N])</f>
        <v>62</v>
      </c>
      <c r="B122" s="28" t="s">
        <v>1124</v>
      </c>
      <c r="C122" s="32" t="s">
        <v>183</v>
      </c>
      <c r="D122" s="59" t="s">
        <v>184</v>
      </c>
      <c r="E122" s="32" t="s">
        <v>187</v>
      </c>
      <c r="F122" s="30" t="s">
        <v>889</v>
      </c>
      <c r="G122" s="60" t="b">
        <v>0</v>
      </c>
      <c r="H122" s="32" t="s">
        <v>2016</v>
      </c>
    </row>
    <row r="123">
      <c r="A123" s="28">
        <f>ROW()-ROW(Table_Dialog_Options[N])</f>
        <v>63</v>
      </c>
      <c r="B123" s="28" t="s">
        <v>1129</v>
      </c>
      <c r="C123" s="32" t="s">
        <v>183</v>
      </c>
      <c r="D123" s="59" t="s">
        <v>184</v>
      </c>
      <c r="E123" s="32" t="s">
        <v>187</v>
      </c>
      <c r="F123" s="30" t="s">
        <v>1137</v>
      </c>
      <c r="G123" s="60" t="b">
        <v>0</v>
      </c>
      <c r="H123" s="32" t="s">
        <v>2024</v>
      </c>
    </row>
    <row r="124">
      <c r="A124" s="28">
        <f>ROW()-ROW(Table_Dialog_Options[N])</f>
        <v>64</v>
      </c>
      <c r="B124" s="28" t="s">
        <v>2031</v>
      </c>
      <c r="C124" s="32" t="s">
        <v>183</v>
      </c>
      <c r="D124" s="59" t="s">
        <v>184</v>
      </c>
      <c r="E124" s="32" t="s">
        <v>2033</v>
      </c>
      <c r="F124" s="30" t="s">
        <v>889</v>
      </c>
      <c r="G124" s="60" t="b">
        <v>0</v>
      </c>
      <c r="H124" s="32" t="s">
        <v>2034</v>
      </c>
    </row>
    <row r="125">
      <c r="A125" s="28">
        <f>ROW()-ROW(Table_Dialog_Options[N])</f>
        <v>65</v>
      </c>
      <c r="B125" s="28" t="s">
        <v>2041</v>
      </c>
      <c r="C125" s="32" t="s">
        <v>183</v>
      </c>
      <c r="D125" s="59" t="s">
        <v>184</v>
      </c>
      <c r="E125" s="32" t="s">
        <v>187</v>
      </c>
      <c r="F125" s="30" t="s">
        <v>889</v>
      </c>
      <c r="G125" s="60" t="b">
        <v>0</v>
      </c>
      <c r="H125" s="32" t="s">
        <v>2045</v>
      </c>
    </row>
    <row r="126">
      <c r="A126" s="28">
        <f>ROW()-ROW(Table_Dialog_Options[N])</f>
        <v>66</v>
      </c>
      <c r="B126" s="28" t="s">
        <v>2052</v>
      </c>
      <c r="C126" s="32" t="s">
        <v>183</v>
      </c>
      <c r="D126" s="59" t="s">
        <v>184</v>
      </c>
      <c r="E126" s="32" t="s">
        <v>187</v>
      </c>
      <c r="F126" s="30" t="s">
        <v>1142</v>
      </c>
      <c r="G126" s="60" t="b">
        <v>0</v>
      </c>
      <c r="H126" s="32" t="s">
        <v>2055</v>
      </c>
    </row>
    <row r="127">
      <c r="A127" s="28">
        <f>ROW()-ROW(Table_Dialog_Options[N])</f>
        <v>67</v>
      </c>
      <c r="B127" s="28" t="s">
        <v>2061</v>
      </c>
      <c r="C127" s="32" t="s">
        <v>183</v>
      </c>
      <c r="D127" s="59" t="s">
        <v>184</v>
      </c>
      <c r="E127" s="32" t="s">
        <v>1949</v>
      </c>
      <c r="F127" s="30" t="s">
        <v>889</v>
      </c>
      <c r="G127" s="60" t="b">
        <v>0</v>
      </c>
      <c r="H127" s="32" t="s">
        <v>2045</v>
      </c>
    </row>
    <row r="128">
      <c r="A128" s="28">
        <f>ROW()-ROW(Table_Dialog_Options[N])</f>
        <v>68</v>
      </c>
      <c r="B128" s="28" t="s">
        <v>1155</v>
      </c>
      <c r="C128" s="32" t="s">
        <v>183</v>
      </c>
      <c r="D128" s="59" t="s">
        <v>184</v>
      </c>
      <c r="E128" s="32" t="s">
        <v>2071</v>
      </c>
      <c r="F128" s="30" t="s">
        <v>889</v>
      </c>
      <c r="G128" s="60" t="b">
        <v>0</v>
      </c>
      <c r="H128" s="32" t="s">
        <v>2074</v>
      </c>
    </row>
    <row r="129">
      <c r="A129" s="28">
        <f>ROW()-ROW(Table_Dialog_Options[N])</f>
        <v>69</v>
      </c>
      <c r="B129" s="28" t="s">
        <v>2080</v>
      </c>
      <c r="C129" s="32" t="s">
        <v>2081</v>
      </c>
      <c r="D129" s="59" t="s">
        <v>184</v>
      </c>
      <c r="E129" s="32" t="s">
        <v>2082</v>
      </c>
      <c r="F129" s="30" t="s">
        <v>889</v>
      </c>
      <c r="G129" s="60" t="b">
        <v>0</v>
      </c>
      <c r="H129" s="32" t="s">
        <v>2087</v>
      </c>
    </row>
    <row r="130">
      <c r="A130" s="28">
        <f>ROW()-ROW(Table_Dialog_Options[N])</f>
        <v>70</v>
      </c>
      <c r="B130" s="28" t="s">
        <v>1162</v>
      </c>
      <c r="C130" s="32" t="s">
        <v>183</v>
      </c>
      <c r="D130" s="59" t="s">
        <v>184</v>
      </c>
      <c r="E130" s="32" t="s">
        <v>2094</v>
      </c>
      <c r="F130" s="30" t="s">
        <v>889</v>
      </c>
      <c r="G130" s="60" t="b">
        <v>0</v>
      </c>
      <c r="H130" s="32" t="s">
        <v>2097</v>
      </c>
    </row>
    <row r="131">
      <c r="A131" s="28">
        <f>ROW()-ROW(Table_Dialog_Options[N])</f>
        <v>71</v>
      </c>
      <c r="B131" s="28" t="s">
        <v>1173</v>
      </c>
      <c r="C131" s="32" t="s">
        <v>183</v>
      </c>
      <c r="D131" s="59" t="s">
        <v>184</v>
      </c>
      <c r="E131" s="32" t="s">
        <v>2106</v>
      </c>
      <c r="F131" s="30" t="s">
        <v>889</v>
      </c>
      <c r="G131" s="60" t="b">
        <v>0</v>
      </c>
      <c r="H131" s="32" t="s">
        <v>2107</v>
      </c>
    </row>
    <row r="132">
      <c r="A132" s="28">
        <f>ROW()-ROW(Table_Dialog_Options[N])</f>
        <v>72</v>
      </c>
      <c r="B132" s="28" t="s">
        <v>1179</v>
      </c>
      <c r="C132" s="32" t="s">
        <v>183</v>
      </c>
      <c r="D132" s="59" t="s">
        <v>184</v>
      </c>
      <c r="E132" s="32" t="s">
        <v>2117</v>
      </c>
      <c r="F132" s="30" t="s">
        <v>889</v>
      </c>
      <c r="G132" s="60" t="b">
        <v>0</v>
      </c>
      <c r="H132" s="32" t="s">
        <v>2121</v>
      </c>
    </row>
    <row r="133">
      <c r="A133" s="28">
        <f>ROW()-ROW(Table_Dialog_Options[N])</f>
        <v>73</v>
      </c>
      <c r="B133" s="28" t="s">
        <v>2129</v>
      </c>
      <c r="C133" s="32" t="s">
        <v>183</v>
      </c>
      <c r="D133" s="59" t="s">
        <v>184</v>
      </c>
      <c r="E133" s="32" t="s">
        <v>187</v>
      </c>
      <c r="F133" s="30" t="s">
        <v>1186</v>
      </c>
      <c r="G133" s="60" t="b">
        <v>0</v>
      </c>
      <c r="H133" s="32" t="s">
        <v>2133</v>
      </c>
    </row>
    <row r="134">
      <c r="A134" s="28">
        <f>ROW()-ROW(Table_Dialog_Options[N])</f>
        <v>74</v>
      </c>
      <c r="B134" s="28" t="s">
        <v>2142</v>
      </c>
      <c r="C134" s="32" t="s">
        <v>183</v>
      </c>
      <c r="D134" s="59" t="s">
        <v>184</v>
      </c>
      <c r="E134" s="32" t="s">
        <v>187</v>
      </c>
      <c r="F134" s="30" t="s">
        <v>1186</v>
      </c>
      <c r="G134" s="60" t="b">
        <v>0</v>
      </c>
      <c r="H134" s="32" t="s">
        <v>2146</v>
      </c>
    </row>
    <row r="135">
      <c r="A135" s="28">
        <f>ROW()-ROW(Table_Dialog_Options[N])</f>
        <v>75</v>
      </c>
      <c r="B135" s="28" t="s">
        <v>2152</v>
      </c>
      <c r="C135" s="32" t="s">
        <v>183</v>
      </c>
      <c r="D135" s="59" t="s">
        <v>184</v>
      </c>
      <c r="E135" s="32" t="s">
        <v>187</v>
      </c>
      <c r="F135" s="30" t="s">
        <v>1186</v>
      </c>
      <c r="G135" s="60" t="b">
        <v>0</v>
      </c>
      <c r="H135" s="32" t="s">
        <v>2155</v>
      </c>
    </row>
    <row r="136">
      <c r="A136" s="28">
        <f>ROW()-ROW(Table_Dialog_Options[N])</f>
        <v>76</v>
      </c>
      <c r="B136" s="28" t="s">
        <v>2163</v>
      </c>
      <c r="C136" s="32" t="s">
        <v>183</v>
      </c>
      <c r="D136" s="59" t="s">
        <v>184</v>
      </c>
      <c r="E136" s="32" t="s">
        <v>187</v>
      </c>
      <c r="F136" s="30" t="s">
        <v>1186</v>
      </c>
      <c r="G136" s="60" t="b">
        <v>0</v>
      </c>
      <c r="H136" s="32" t="s">
        <v>2169</v>
      </c>
    </row>
    <row r="137" ht="165.0" customHeight="1">
      <c r="A137" s="28">
        <f>ROW()-ROW(Table_Dialog_Options[N])</f>
        <v>77</v>
      </c>
      <c r="B137" s="28" t="s">
        <v>2175</v>
      </c>
      <c r="C137" s="32" t="s">
        <v>183</v>
      </c>
      <c r="D137" s="59" t="s">
        <v>184</v>
      </c>
      <c r="E137" s="32" t="s">
        <v>2179</v>
      </c>
      <c r="F137" s="30" t="s">
        <v>889</v>
      </c>
      <c r="G137" s="60" t="b">
        <v>0</v>
      </c>
      <c r="H137" s="32" t="s">
        <v>2181</v>
      </c>
    </row>
    <row r="138">
      <c r="A138" s="28">
        <f>ROW()-ROW(Table_Dialog_Options[N])</f>
        <v>78</v>
      </c>
      <c r="B138" s="28" t="s">
        <v>1200</v>
      </c>
      <c r="C138" s="32" t="s">
        <v>183</v>
      </c>
      <c r="D138" s="59" t="s">
        <v>184</v>
      </c>
      <c r="E138" s="32" t="s">
        <v>187</v>
      </c>
      <c r="F138" s="30" t="s">
        <v>1186</v>
      </c>
      <c r="G138" s="60" t="b">
        <v>0</v>
      </c>
      <c r="H138" s="32" t="s">
        <v>2194</v>
      </c>
    </row>
    <row r="139">
      <c r="A139" s="28">
        <f>ROW()-ROW(Table_Dialog_Options[N])</f>
        <v>79</v>
      </c>
      <c r="B139" s="28" t="s">
        <v>1211</v>
      </c>
      <c r="C139" s="32" t="s">
        <v>183</v>
      </c>
      <c r="D139" s="59" t="s">
        <v>184</v>
      </c>
      <c r="E139" s="32" t="s">
        <v>2203</v>
      </c>
      <c r="F139" s="30" t="s">
        <v>889</v>
      </c>
      <c r="G139" s="60" t="b">
        <v>0</v>
      </c>
      <c r="H139" s="32" t="s">
        <v>2206</v>
      </c>
    </row>
    <row r="140">
      <c r="A140" s="28">
        <f>ROW()-ROW(Table_Dialog_Options[N])</f>
        <v>80</v>
      </c>
      <c r="B140" s="28" t="s">
        <v>1222</v>
      </c>
      <c r="C140" s="32" t="s">
        <v>183</v>
      </c>
      <c r="D140" s="59" t="s">
        <v>184</v>
      </c>
      <c r="E140" s="32" t="s">
        <v>2214</v>
      </c>
      <c r="F140" s="30" t="s">
        <v>889</v>
      </c>
      <c r="G140" s="60" t="b">
        <v>0</v>
      </c>
      <c r="H140" s="32" t="s">
        <v>2216</v>
      </c>
    </row>
    <row r="141">
      <c r="A141" s="28">
        <f>ROW()-ROW(Table_Dialog_Options[N])</f>
        <v>81</v>
      </c>
      <c r="B141" s="28" t="s">
        <v>1231</v>
      </c>
      <c r="C141" s="32" t="s">
        <v>183</v>
      </c>
      <c r="D141" s="59" t="s">
        <v>184</v>
      </c>
      <c r="E141" s="32" t="s">
        <v>2225</v>
      </c>
      <c r="F141" s="30" t="s">
        <v>889</v>
      </c>
      <c r="G141" s="60" t="b">
        <v>0</v>
      </c>
      <c r="H141" s="32" t="s">
        <v>2227</v>
      </c>
    </row>
    <row r="142">
      <c r="A142" s="28">
        <f>ROW()-ROW(Table_Dialog_Options[N])</f>
        <v>82</v>
      </c>
      <c r="B142" s="28" t="s">
        <v>1239</v>
      </c>
      <c r="C142" s="32" t="s">
        <v>183</v>
      </c>
      <c r="D142" s="59" t="s">
        <v>184</v>
      </c>
      <c r="E142" s="32" t="s">
        <v>2238</v>
      </c>
      <c r="F142" s="30" t="s">
        <v>889</v>
      </c>
      <c r="G142" s="60" t="b">
        <v>0</v>
      </c>
      <c r="H142" s="32" t="s">
        <v>2240</v>
      </c>
    </row>
    <row r="143">
      <c r="A143" s="28">
        <f>ROW()-ROW(Table_Dialog_Options[N])</f>
        <v>83</v>
      </c>
      <c r="B143" s="28" t="s">
        <v>1244</v>
      </c>
      <c r="C143" s="32" t="s">
        <v>183</v>
      </c>
      <c r="D143" s="59" t="s">
        <v>184</v>
      </c>
      <c r="E143" s="32" t="s">
        <v>187</v>
      </c>
      <c r="F143" s="30" t="s">
        <v>889</v>
      </c>
      <c r="G143" s="60" t="b">
        <v>0</v>
      </c>
      <c r="H143" s="32" t="s">
        <v>2253</v>
      </c>
    </row>
    <row r="144">
      <c r="A144" s="28">
        <f>ROW()-ROW(Table_Dialog_Options[N])</f>
        <v>84</v>
      </c>
      <c r="B144" s="28" t="s">
        <v>1255</v>
      </c>
      <c r="C144" s="32" t="s">
        <v>183</v>
      </c>
      <c r="D144" s="59" t="s">
        <v>184</v>
      </c>
      <c r="E144" s="32" t="s">
        <v>187</v>
      </c>
      <c r="F144" s="30" t="s">
        <v>889</v>
      </c>
      <c r="G144" s="60" t="b">
        <v>0</v>
      </c>
      <c r="H144" s="32" t="s">
        <v>2266</v>
      </c>
    </row>
    <row r="145">
      <c r="A145" s="28">
        <f>ROW()-ROW(Table_Dialog_Options[N])</f>
        <v>85</v>
      </c>
      <c r="B145" s="28" t="s">
        <v>1262</v>
      </c>
      <c r="C145" s="32" t="s">
        <v>183</v>
      </c>
      <c r="D145" s="59" t="s">
        <v>184</v>
      </c>
      <c r="E145" s="32" t="s">
        <v>2275</v>
      </c>
      <c r="F145" s="30" t="s">
        <v>889</v>
      </c>
      <c r="G145" s="60" t="b">
        <v>0</v>
      </c>
      <c r="H145" s="32" t="s">
        <v>2281</v>
      </c>
    </row>
    <row r="146">
      <c r="A146" s="28">
        <f>ROW()-ROW(Table_Dialog_Options[N])</f>
        <v>86</v>
      </c>
      <c r="B146" s="28" t="s">
        <v>1269</v>
      </c>
      <c r="C146" s="32" t="s">
        <v>183</v>
      </c>
      <c r="D146" s="59" t="s">
        <v>184</v>
      </c>
      <c r="E146" s="32" t="s">
        <v>2288</v>
      </c>
      <c r="F146" s="30" t="s">
        <v>889</v>
      </c>
      <c r="G146" s="60" t="b">
        <v>0</v>
      </c>
      <c r="H146" s="32" t="s">
        <v>2292</v>
      </c>
    </row>
    <row r="147">
      <c r="A147" s="28">
        <f>ROW()-ROW(Table_Dialog_Options[N])</f>
        <v>87</v>
      </c>
      <c r="B147" s="28" t="s">
        <v>1275</v>
      </c>
      <c r="C147" s="32" t="s">
        <v>183</v>
      </c>
      <c r="D147" s="59" t="s">
        <v>184</v>
      </c>
      <c r="E147" s="32" t="s">
        <v>2300</v>
      </c>
      <c r="F147" s="30" t="s">
        <v>889</v>
      </c>
      <c r="G147" s="60" t="b">
        <v>0</v>
      </c>
      <c r="H147" s="32" t="s">
        <v>2302</v>
      </c>
    </row>
    <row r="148">
      <c r="A148" s="28">
        <f>ROW()-ROW(Table_Dialog_Options[N])</f>
        <v>88</v>
      </c>
      <c r="B148" s="28" t="s">
        <v>2310</v>
      </c>
      <c r="C148" s="29" t="s">
        <v>183</v>
      </c>
      <c r="D148" s="59" t="s">
        <v>184</v>
      </c>
      <c r="E148" s="32" t="s">
        <v>187</v>
      </c>
      <c r="F148" s="30" t="s">
        <v>889</v>
      </c>
      <c r="G148" s="60" t="b">
        <v>0</v>
      </c>
      <c r="H148" s="29" t="s">
        <v>1075</v>
      </c>
    </row>
  </sheetData>
  <dataValidations>
    <dataValidation type="list" allowBlank="1" sqref="C2:C57 E60:E148">
      <formula1>#REF!</formula1>
    </dataValidation>
    <dataValidation type="list" allowBlank="1" sqref="C60:C148">
      <formula1>#REF!</formula1>
    </dataValidation>
    <dataValidation type="list" allowBlank="1" sqref="D2:D57">
      <formula1>#REF!</formula1>
    </dataValidation>
    <dataValidation type="list" allowBlank="1" sqref="F60:F148">
      <formula1>Table_Dialogs[DIALOG_ID]</formula1>
    </dataValidation>
    <dataValidation type="list" allowBlank="1" sqref="H60:H148">
      <formula1>#REF!</formula1>
    </dataValidation>
    <dataValidation type="list" allowBlank="1" sqref="D60:D148">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1042</v>
      </c>
      <c r="C1" s="52" t="s">
        <v>1043</v>
      </c>
    </row>
    <row r="2">
      <c r="A2" s="28">
        <f>ROW()-ROW(Table_Decisions[N])</f>
        <v>0</v>
      </c>
      <c r="B2" s="28" t="s">
        <v>1048</v>
      </c>
      <c r="C2" s="32" t="s">
        <v>1049</v>
      </c>
    </row>
    <row r="3">
      <c r="A3" s="28">
        <f>ROW()-ROW(Table_Decisions[N])</f>
        <v>1</v>
      </c>
      <c r="B3" s="28" t="s">
        <v>1055</v>
      </c>
      <c r="C3" s="32" t="s">
        <v>1058</v>
      </c>
    </row>
    <row r="4">
      <c r="A4" s="28">
        <f>ROW()-ROW(Table_Decisions[N])</f>
        <v>2</v>
      </c>
      <c r="B4" s="28" t="s">
        <v>1064</v>
      </c>
      <c r="C4" s="32" t="s">
        <v>1065</v>
      </c>
    </row>
    <row r="6">
      <c r="A6" s="1" t="s">
        <v>0</v>
      </c>
      <c r="B6" s="1" t="s">
        <v>1070</v>
      </c>
      <c r="C6" s="1" t="s">
        <v>1071</v>
      </c>
      <c r="D6" s="42" t="s">
        <v>1073</v>
      </c>
    </row>
    <row r="7">
      <c r="A7" s="43">
        <f>ROW()-ROW(Table_Decision_Options[N])</f>
        <v>0</v>
      </c>
      <c r="B7" s="28" t="s">
        <v>1049</v>
      </c>
      <c r="C7" s="30" t="s">
        <v>1075</v>
      </c>
      <c r="D7" s="53" t="s">
        <v>187</v>
      </c>
    </row>
    <row r="8">
      <c r="A8" s="43">
        <f>ROW()-ROW(Table_Decision_Options[N])</f>
        <v>1</v>
      </c>
      <c r="B8" s="28" t="s">
        <v>1081</v>
      </c>
      <c r="C8" s="30" t="s">
        <v>1084</v>
      </c>
      <c r="D8" s="53" t="s">
        <v>187</v>
      </c>
    </row>
    <row r="9">
      <c r="A9" s="43">
        <f>ROW()-ROW(Table_Decision_Options[N])</f>
        <v>2</v>
      </c>
      <c r="B9" s="28" t="s">
        <v>1088</v>
      </c>
      <c r="C9" s="30" t="s">
        <v>1089</v>
      </c>
      <c r="D9" s="53" t="s">
        <v>1091</v>
      </c>
    </row>
    <row r="10">
      <c r="A10" s="43">
        <f>ROW()-ROW(Table_Decision_Options[N])</f>
        <v>3</v>
      </c>
      <c r="B10" s="28" t="s">
        <v>1095</v>
      </c>
      <c r="C10" s="30" t="s">
        <v>1096</v>
      </c>
      <c r="D10" s="53" t="s">
        <v>1097</v>
      </c>
    </row>
    <row r="11">
      <c r="A11" s="43">
        <f>ROW()-ROW(Table_Decision_Options[N])</f>
        <v>4</v>
      </c>
      <c r="B11" s="28" t="s">
        <v>1065</v>
      </c>
      <c r="C11" s="30" t="s">
        <v>1075</v>
      </c>
      <c r="D11" s="53" t="s">
        <v>187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4" t="s">
        <v>0</v>
      </c>
      <c r="B1" s="55" t="s">
        <v>1133</v>
      </c>
      <c r="C1" s="54" t="s">
        <v>1135</v>
      </c>
      <c r="D1" s="54" t="s">
        <v>1136</v>
      </c>
    </row>
    <row r="2">
      <c r="A2" s="7">
        <f>ROW()-ROW(Table_Name[NAME_ID])</f>
        <v>0</v>
      </c>
      <c r="B2" s="7" t="s">
        <v>45</v>
      </c>
      <c r="C2" s="56"/>
      <c r="D2" s="56"/>
    </row>
    <row r="3">
      <c r="A3" s="7">
        <f>ROW()-ROW(Table_Name[NAME_ID])</f>
        <v>1</v>
      </c>
      <c r="B3" s="7" t="s">
        <v>75</v>
      </c>
      <c r="C3" s="7" t="s">
        <v>1147</v>
      </c>
      <c r="D3" s="7" t="s">
        <v>1147</v>
      </c>
    </row>
    <row r="4">
      <c r="A4" s="7">
        <f>ROW()-ROW(Table_Name[NAME_ID])</f>
        <v>2</v>
      </c>
      <c r="B4" s="7" t="s">
        <v>1150</v>
      </c>
      <c r="C4" s="7" t="s">
        <v>1152</v>
      </c>
      <c r="D4" s="7" t="s">
        <v>1154</v>
      </c>
    </row>
    <row r="5">
      <c r="A5" s="7">
        <f>ROW()-ROW(Table_Name[NAME_ID])</f>
        <v>3</v>
      </c>
      <c r="B5" s="7" t="s">
        <v>1156</v>
      </c>
      <c r="C5" s="7" t="s">
        <v>1157</v>
      </c>
      <c r="D5" s="7" t="s">
        <v>1159</v>
      </c>
    </row>
    <row r="6">
      <c r="A6" s="7">
        <f>ROW()-ROW(Table_Name[NAME_ID])</f>
        <v>4</v>
      </c>
      <c r="B6" s="7" t="s">
        <v>1163</v>
      </c>
      <c r="C6" s="7" t="s">
        <v>1165</v>
      </c>
      <c r="D6" s="7" t="s">
        <v>1166</v>
      </c>
    </row>
    <row r="7">
      <c r="A7" s="7">
        <f>ROW()-ROW(Table_Name[NAME_ID])</f>
        <v>5</v>
      </c>
      <c r="B7" s="7" t="s">
        <v>99</v>
      </c>
      <c r="C7" s="7" t="s">
        <v>1171</v>
      </c>
      <c r="D7" s="7" t="s">
        <v>1172</v>
      </c>
    </row>
    <row r="8">
      <c r="A8" s="7">
        <f>ROW()-ROW(Table_Name[NAME_ID])</f>
        <v>6</v>
      </c>
      <c r="B8" s="7" t="s">
        <v>157</v>
      </c>
      <c r="C8" s="7" t="s">
        <v>1177</v>
      </c>
      <c r="D8" s="7" t="s">
        <v>1177</v>
      </c>
    </row>
    <row r="9">
      <c r="A9" s="7">
        <f>ROW()-ROW(Table_Name[NAME_ID])</f>
        <v>7</v>
      </c>
      <c r="B9" s="7" t="s">
        <v>189</v>
      </c>
      <c r="C9" s="7" t="s">
        <v>1183</v>
      </c>
      <c r="D9" s="7" t="s">
        <v>1185</v>
      </c>
    </row>
    <row r="10">
      <c r="A10" s="7">
        <f>ROW()-ROW(Table_Name[NAME_ID])</f>
        <v>8</v>
      </c>
      <c r="B10" s="7" t="s">
        <v>119</v>
      </c>
      <c r="C10" s="7" t="s">
        <v>1191</v>
      </c>
      <c r="D10" s="7" t="s">
        <v>1192</v>
      </c>
    </row>
    <row r="11">
      <c r="A11" s="7">
        <f>ROW()-ROW(Table_Name[NAME_ID])</f>
        <v>9</v>
      </c>
      <c r="B11" s="7" t="s">
        <v>1196</v>
      </c>
      <c r="C11" s="7" t="s">
        <v>1197</v>
      </c>
      <c r="D11" s="7" t="s">
        <v>1199</v>
      </c>
    </row>
    <row r="12">
      <c r="A12" s="7">
        <f>ROW()-ROW(Table_Name[NAME_ID])</f>
        <v>10</v>
      </c>
      <c r="B12" s="7" t="s">
        <v>1201</v>
      </c>
      <c r="C12" s="7" t="s">
        <v>1202</v>
      </c>
      <c r="D12" s="7" t="s">
        <v>1204</v>
      </c>
    </row>
    <row r="13">
      <c r="A13" s="7">
        <f>ROW()-ROW(Table_Name[NAME_ID])</f>
        <v>11</v>
      </c>
      <c r="B13" s="7" t="s">
        <v>134</v>
      </c>
      <c r="C13" s="7" t="s">
        <v>1212</v>
      </c>
      <c r="D13" s="7" t="s">
        <v>1214</v>
      </c>
    </row>
    <row r="14">
      <c r="A14" s="7">
        <f>ROW()-ROW(Table_Name[NAME_ID])</f>
        <v>12</v>
      </c>
      <c r="B14" s="7" t="s">
        <v>149</v>
      </c>
      <c r="C14" s="7" t="s">
        <v>1218</v>
      </c>
      <c r="D14" s="7" t="s">
        <v>1220</v>
      </c>
    </row>
    <row r="15">
      <c r="A15" s="7">
        <f>ROW()-ROW(Table_Name[NAME_ID])</f>
        <v>13</v>
      </c>
      <c r="B15" s="7" t="s">
        <v>1224</v>
      </c>
      <c r="C15" s="7" t="s">
        <v>1225</v>
      </c>
      <c r="D15" s="7" t="s">
        <v>1226</v>
      </c>
    </row>
    <row r="16">
      <c r="A16" s="7">
        <f>ROW()-ROW(Table_Name[NAME_ID])</f>
        <v>14</v>
      </c>
      <c r="B16" s="7" t="s">
        <v>202</v>
      </c>
      <c r="C16" s="7" t="s">
        <v>1233</v>
      </c>
      <c r="D16" s="7" t="s">
        <v>1234</v>
      </c>
    </row>
    <row r="17">
      <c r="A17" s="7">
        <f>ROW()-ROW(Table_Name[NAME_ID])</f>
        <v>15</v>
      </c>
      <c r="B17" s="7" t="s">
        <v>225</v>
      </c>
      <c r="C17" s="7" t="s">
        <v>1238</v>
      </c>
      <c r="D17" s="7" t="s">
        <v>1240</v>
      </c>
    </row>
    <row r="18">
      <c r="A18" s="7">
        <f>ROW()-ROW(Table_Name[NAME_ID])</f>
        <v>16</v>
      </c>
      <c r="B18" s="7" t="s">
        <v>233</v>
      </c>
      <c r="C18" s="7" t="s">
        <v>1243</v>
      </c>
      <c r="D18" s="7" t="s">
        <v>1245</v>
      </c>
    </row>
    <row r="19">
      <c r="A19" s="7">
        <f>ROW()-ROW(Table_Name[NAME_ID])</f>
        <v>17</v>
      </c>
      <c r="B19" s="7" t="s">
        <v>244</v>
      </c>
      <c r="C19" s="7" t="s">
        <v>1249</v>
      </c>
      <c r="D19" s="7" t="s">
        <v>1253</v>
      </c>
    </row>
    <row r="20">
      <c r="A20" s="7">
        <f>ROW()-ROW(Table_Name[NAME_ID])</f>
        <v>18</v>
      </c>
      <c r="B20" s="7" t="s">
        <v>256</v>
      </c>
      <c r="C20" s="7" t="s">
        <v>1257</v>
      </c>
      <c r="D20" s="7" t="s">
        <v>1260</v>
      </c>
    </row>
    <row r="21">
      <c r="A21" s="7">
        <f>ROW()-ROW(Table_Name[NAME_ID])</f>
        <v>19</v>
      </c>
      <c r="B21" s="7" t="s">
        <v>269</v>
      </c>
      <c r="C21" s="7" t="s">
        <v>1264</v>
      </c>
      <c r="D21" s="7" t="s">
        <v>1266</v>
      </c>
    </row>
    <row r="22">
      <c r="A22" s="7">
        <f>ROW()-ROW(Table_Name[NAME_ID])</f>
        <v>20</v>
      </c>
      <c r="B22" s="7" t="s">
        <v>277</v>
      </c>
      <c r="C22" s="7" t="s">
        <v>1273</v>
      </c>
      <c r="D22" s="7" t="s">
        <v>1274</v>
      </c>
    </row>
    <row r="23">
      <c r="A23" s="7">
        <f>ROW()-ROW(Table_Name[NAME_ID])</f>
        <v>21</v>
      </c>
      <c r="B23" s="7" t="s">
        <v>290</v>
      </c>
      <c r="C23" s="7" t="s">
        <v>1278</v>
      </c>
      <c r="D23" s="7" t="s">
        <v>1279</v>
      </c>
    </row>
    <row r="24">
      <c r="A24" s="7">
        <f>ROW()-ROW(Table_Name[NAME_ID])</f>
        <v>22</v>
      </c>
      <c r="B24" s="7" t="s">
        <v>301</v>
      </c>
      <c r="C24" s="7" t="s">
        <v>1283</v>
      </c>
      <c r="D24" s="7" t="s">
        <v>1284</v>
      </c>
    </row>
    <row r="25">
      <c r="A25" s="7">
        <f>ROW()-ROW(Table_Name[NAME_ID])</f>
        <v>23</v>
      </c>
      <c r="B25" s="7" t="s">
        <v>309</v>
      </c>
      <c r="C25" s="7" t="s">
        <v>1289</v>
      </c>
      <c r="D25" s="7" t="s">
        <v>1291</v>
      </c>
    </row>
    <row r="26">
      <c r="A26" s="7">
        <f>ROW()-ROW(Table_Name[NAME_ID])</f>
        <v>24</v>
      </c>
      <c r="B26" s="7" t="s">
        <v>319</v>
      </c>
      <c r="C26" s="7" t="s">
        <v>1297</v>
      </c>
      <c r="D26" s="7" t="s">
        <v>1298</v>
      </c>
    </row>
    <row r="27">
      <c r="A27" s="7">
        <f>ROW()-ROW(Table_Name[NAME_ID])</f>
        <v>25</v>
      </c>
      <c r="B27" s="7" t="s">
        <v>332</v>
      </c>
      <c r="C27" s="7" t="s">
        <v>1301</v>
      </c>
      <c r="D27" s="7" t="s">
        <v>1302</v>
      </c>
    </row>
    <row r="28">
      <c r="A28" s="7">
        <f>ROW()-ROW(Table_Name[NAME_ID])</f>
        <v>26</v>
      </c>
      <c r="B28" s="7" t="s">
        <v>344</v>
      </c>
      <c r="C28" s="7" t="s">
        <v>1307</v>
      </c>
      <c r="D28" s="7" t="s">
        <v>1308</v>
      </c>
    </row>
    <row r="29">
      <c r="A29" s="7">
        <f>ROW()-ROW(Table_Name[NAME_ID])</f>
        <v>27</v>
      </c>
      <c r="B29" s="7" t="s">
        <v>357</v>
      </c>
      <c r="C29" s="7" t="s">
        <v>1312</v>
      </c>
      <c r="D29" s="7" t="s">
        <v>1314</v>
      </c>
    </row>
    <row r="30">
      <c r="A30" s="7">
        <f>ROW()-ROW(Table_Name[NAME_ID])</f>
        <v>28</v>
      </c>
      <c r="B30" s="7" t="s">
        <v>1316</v>
      </c>
      <c r="C30" s="7" t="s">
        <v>1317</v>
      </c>
      <c r="D30" s="7" t="s">
        <v>1318</v>
      </c>
    </row>
    <row r="31">
      <c r="A31" s="7">
        <f>ROW()-ROW(Table_Name[NAME_ID])</f>
        <v>29</v>
      </c>
      <c r="B31" s="7" t="s">
        <v>379</v>
      </c>
      <c r="C31" s="7" t="s">
        <v>1321</v>
      </c>
      <c r="D31" s="7" t="s">
        <v>1322</v>
      </c>
    </row>
    <row r="32">
      <c r="A32" s="7">
        <f>ROW()-ROW(Table_Name[NAME_ID])</f>
        <v>30</v>
      </c>
      <c r="B32" s="7" t="s">
        <v>389</v>
      </c>
      <c r="C32" s="7" t="s">
        <v>1326</v>
      </c>
      <c r="D32" s="7" t="s">
        <v>1327</v>
      </c>
    </row>
    <row r="33">
      <c r="A33" s="7">
        <f>ROW()-ROW(Table_Name[NAME_ID])</f>
        <v>31</v>
      </c>
      <c r="B33" s="7" t="s">
        <v>1330</v>
      </c>
      <c r="C33" s="7" t="s">
        <v>121</v>
      </c>
      <c r="D33" s="7" t="s">
        <v>1332</v>
      </c>
    </row>
    <row r="34">
      <c r="A34" s="7">
        <f>ROW()-ROW(Table_Name[NAME_ID])</f>
        <v>32</v>
      </c>
      <c r="B34" s="7" t="s">
        <v>399</v>
      </c>
      <c r="C34" s="7" t="s">
        <v>1334</v>
      </c>
      <c r="D34" s="7" t="s">
        <v>1336</v>
      </c>
    </row>
    <row r="35">
      <c r="A35" s="7">
        <f>ROW()-ROW(Table_Name[NAME_ID])</f>
        <v>33</v>
      </c>
      <c r="B35" s="7" t="s">
        <v>409</v>
      </c>
      <c r="C35" s="7" t="s">
        <v>1340</v>
      </c>
      <c r="D35" s="7" t="s">
        <v>1343</v>
      </c>
    </row>
    <row r="36">
      <c r="A36" s="7">
        <f>ROW()-ROW(Table_Name[NAME_ID])</f>
        <v>34</v>
      </c>
      <c r="B36" s="7" t="s">
        <v>417</v>
      </c>
      <c r="C36" s="7" t="s">
        <v>1345</v>
      </c>
      <c r="D36" s="7" t="s">
        <v>1346</v>
      </c>
    </row>
    <row r="37">
      <c r="A37" s="7">
        <f>ROW()-ROW(Table_Name[NAME_ID])</f>
        <v>35</v>
      </c>
      <c r="B37" s="7" t="s">
        <v>438</v>
      </c>
      <c r="C37" s="7" t="s">
        <v>1349</v>
      </c>
      <c r="D37" s="7" t="s">
        <v>1350</v>
      </c>
    </row>
    <row r="38">
      <c r="A38" s="7">
        <f>ROW()-ROW(Table_Name[NAME_ID])</f>
        <v>36</v>
      </c>
      <c r="B38" s="7" t="s">
        <v>448</v>
      </c>
      <c r="C38" s="7" t="s">
        <v>1354</v>
      </c>
      <c r="D38" s="7" t="s">
        <v>1355</v>
      </c>
    </row>
    <row r="39">
      <c r="A39" s="7">
        <f>ROW()-ROW(Table_Name[NAME_ID])</f>
        <v>37</v>
      </c>
      <c r="B39" s="7" t="s">
        <v>457</v>
      </c>
      <c r="C39" s="7" t="s">
        <v>1360</v>
      </c>
      <c r="D39" s="7" t="s">
        <v>1360</v>
      </c>
    </row>
    <row r="40">
      <c r="A40" s="7">
        <f>ROW()-ROW(Table_Name[NAME_ID])</f>
        <v>38</v>
      </c>
      <c r="B40" s="7" t="s">
        <v>469</v>
      </c>
      <c r="C40" s="7" t="s">
        <v>1364</v>
      </c>
      <c r="D40" s="7" t="s">
        <v>1365</v>
      </c>
    </row>
    <row r="41">
      <c r="A41" s="7">
        <f>ROW()-ROW(Table_Name[NAME_ID])</f>
        <v>39</v>
      </c>
      <c r="B41" s="7" t="s">
        <v>483</v>
      </c>
      <c r="C41" s="7" t="s">
        <v>1370</v>
      </c>
      <c r="D41" s="7" t="s">
        <v>1372</v>
      </c>
    </row>
    <row r="42">
      <c r="A42" s="7">
        <f>ROW()-ROW(Table_Name[NAME_ID])</f>
        <v>40</v>
      </c>
      <c r="B42" s="7" t="s">
        <v>493</v>
      </c>
      <c r="C42" s="7" t="s">
        <v>1375</v>
      </c>
      <c r="D42" s="7" t="s">
        <v>1377</v>
      </c>
    </row>
    <row r="43">
      <c r="A43" s="7">
        <f>ROW()-ROW(Table_Name[NAME_ID])</f>
        <v>41</v>
      </c>
      <c r="B43" s="7" t="s">
        <v>507</v>
      </c>
      <c r="C43" s="7" t="s">
        <v>1375</v>
      </c>
      <c r="D43" s="7" t="s">
        <v>1381</v>
      </c>
    </row>
    <row r="44">
      <c r="A44" s="7">
        <f>ROW()-ROW(Table_Name[NAME_ID])</f>
        <v>42</v>
      </c>
      <c r="B44" s="7" t="s">
        <v>524</v>
      </c>
      <c r="C44" s="7" t="s">
        <v>1384</v>
      </c>
      <c r="D44" s="7" t="s">
        <v>1384</v>
      </c>
    </row>
    <row r="45">
      <c r="A45" s="7">
        <f>ROW()-ROW(Table_Name[NAME_ID])</f>
        <v>43</v>
      </c>
      <c r="B45" s="7" t="s">
        <v>570</v>
      </c>
      <c r="C45" s="7" t="s">
        <v>1388</v>
      </c>
      <c r="D45" s="7" t="s">
        <v>1390</v>
      </c>
    </row>
    <row r="46">
      <c r="A46" s="7">
        <f>ROW()-ROW(Table_Name[NAME_ID])</f>
        <v>44</v>
      </c>
      <c r="B46" s="7" t="s">
        <v>597</v>
      </c>
      <c r="C46" s="7" t="s">
        <v>1394</v>
      </c>
      <c r="D46" s="7" t="s">
        <v>1395</v>
      </c>
    </row>
    <row r="47">
      <c r="A47" s="7">
        <f>ROW()-ROW(Table_Name[NAME_ID])</f>
        <v>45</v>
      </c>
      <c r="B47" s="7" t="s">
        <v>615</v>
      </c>
      <c r="C47" s="7" t="s">
        <v>1400</v>
      </c>
      <c r="D47" s="7" t="s">
        <v>1401</v>
      </c>
    </row>
    <row r="48">
      <c r="A48" s="7">
        <f>ROW()-ROW(Table_Name[NAME_ID])</f>
        <v>46</v>
      </c>
      <c r="B48" s="7" t="s">
        <v>632</v>
      </c>
      <c r="C48" s="7" t="s">
        <v>1404</v>
      </c>
      <c r="D48" s="7" t="s">
        <v>1405</v>
      </c>
    </row>
    <row r="49">
      <c r="A49" s="7">
        <f>ROW()-ROW(Table_Name[NAME_ID])</f>
        <v>47</v>
      </c>
      <c r="B49" s="7" t="s">
        <v>654</v>
      </c>
      <c r="C49" s="7" t="s">
        <v>1407</v>
      </c>
      <c r="D49" s="7" t="s">
        <v>1409</v>
      </c>
    </row>
    <row r="50">
      <c r="A50" s="7">
        <f>ROW()-ROW(Table_Name[NAME_ID])</f>
        <v>48</v>
      </c>
      <c r="B50" s="7" t="s">
        <v>670</v>
      </c>
      <c r="C50" s="7" t="s">
        <v>1416</v>
      </c>
      <c r="D50" s="7" t="s">
        <v>1416</v>
      </c>
    </row>
    <row r="51">
      <c r="A51" s="7">
        <f>ROW()-ROW(Table_Name[NAME_ID])</f>
        <v>49</v>
      </c>
      <c r="B51" s="7" t="s">
        <v>688</v>
      </c>
      <c r="C51" s="7" t="s">
        <v>1419</v>
      </c>
      <c r="D51" s="7" t="s">
        <v>1420</v>
      </c>
    </row>
    <row r="52">
      <c r="A52" s="7">
        <f>ROW()-ROW(Table_Name[NAME_ID])</f>
        <v>50</v>
      </c>
      <c r="B52" s="7" t="s">
        <v>704</v>
      </c>
      <c r="C52" s="7" t="s">
        <v>1425</v>
      </c>
      <c r="D52" s="7" t="s">
        <v>1426</v>
      </c>
    </row>
    <row r="53">
      <c r="A53" s="7">
        <f>ROW()-ROW(Table_Name[NAME_ID])</f>
        <v>51</v>
      </c>
      <c r="B53" s="7" t="s">
        <v>718</v>
      </c>
      <c r="C53" s="7" t="s">
        <v>1432</v>
      </c>
      <c r="D53" s="7" t="s">
        <v>1433</v>
      </c>
    </row>
    <row r="54">
      <c r="A54" s="7">
        <f>ROW()-ROW(Table_Name[NAME_ID])</f>
        <v>52</v>
      </c>
      <c r="B54" s="7" t="s">
        <v>729</v>
      </c>
      <c r="C54" s="7" t="s">
        <v>1425</v>
      </c>
      <c r="D54" s="7" t="s">
        <v>1437</v>
      </c>
    </row>
    <row r="55">
      <c r="A55" s="7">
        <f>ROW()-ROW(Table_Name[NAME_ID])</f>
        <v>53</v>
      </c>
      <c r="B55" s="7" t="s">
        <v>742</v>
      </c>
      <c r="C55" s="7" t="s">
        <v>1444</v>
      </c>
      <c r="D55" s="7" t="s">
        <v>1446</v>
      </c>
    </row>
    <row r="56">
      <c r="A56" s="7">
        <f>ROW()-ROW(Table_Name[NAME_ID])</f>
        <v>54</v>
      </c>
      <c r="B56" s="7" t="s">
        <v>753</v>
      </c>
      <c r="C56" s="7" t="s">
        <v>1451</v>
      </c>
      <c r="D56" s="7" t="s">
        <v>1452</v>
      </c>
    </row>
    <row r="57">
      <c r="A57" s="7">
        <f>ROW()-ROW(Table_Name[NAME_ID])</f>
        <v>55</v>
      </c>
      <c r="B57" s="7" t="s">
        <v>778</v>
      </c>
      <c r="C57" s="7" t="s">
        <v>1456</v>
      </c>
      <c r="D57" s="7" t="s">
        <v>1458</v>
      </c>
    </row>
    <row r="58">
      <c r="A58" s="7">
        <f>ROW()-ROW(Table_Name[NAME_ID])</f>
        <v>56</v>
      </c>
      <c r="B58" s="7" t="s">
        <v>807</v>
      </c>
      <c r="C58" s="7" t="s">
        <v>1463</v>
      </c>
      <c r="D58" s="7" t="s">
        <v>1463</v>
      </c>
    </row>
    <row r="59">
      <c r="A59" s="7">
        <f>ROW()-ROW(Table_Name[NAME_ID])</f>
        <v>57</v>
      </c>
      <c r="B59" s="7" t="s">
        <v>1467</v>
      </c>
      <c r="C59" s="7" t="s">
        <v>1468</v>
      </c>
      <c r="D59" s="7" t="s">
        <v>1470</v>
      </c>
    </row>
    <row r="60">
      <c r="A60" s="7">
        <f>ROW()-ROW(Table_Name[NAME_ID])</f>
        <v>58</v>
      </c>
      <c r="B60" s="7" t="s">
        <v>820</v>
      </c>
      <c r="C60" s="7" t="s">
        <v>1475</v>
      </c>
      <c r="D60" s="7" t="s">
        <v>1476</v>
      </c>
    </row>
    <row r="61">
      <c r="A61" s="7">
        <f>ROW()-ROW(Table_Name[NAME_ID])</f>
        <v>59</v>
      </c>
      <c r="B61" s="7" t="s">
        <v>834</v>
      </c>
      <c r="C61" s="7" t="s">
        <v>1479</v>
      </c>
      <c r="D61" s="7" t="s">
        <v>1480</v>
      </c>
    </row>
    <row r="62">
      <c r="A62" s="7">
        <f>ROW()-ROW(Table_Name[NAME_ID])</f>
        <v>60</v>
      </c>
      <c r="B62" s="7" t="s">
        <v>850</v>
      </c>
      <c r="C62" s="7" t="s">
        <v>1485</v>
      </c>
      <c r="D62" s="7" t="s">
        <v>1485</v>
      </c>
    </row>
    <row r="63">
      <c r="A63" s="7">
        <f>ROW()-ROW(Table_Name[NAME_ID])</f>
        <v>61</v>
      </c>
      <c r="B63" s="7" t="s">
        <v>859</v>
      </c>
      <c r="C63" s="7" t="s">
        <v>1489</v>
      </c>
      <c r="D63" s="7" t="s">
        <v>1489</v>
      </c>
    </row>
    <row r="64">
      <c r="A64" s="7">
        <f>ROW()-ROW(Table_Name[NAME_ID])</f>
        <v>62</v>
      </c>
      <c r="B64" s="7" t="s">
        <v>867</v>
      </c>
      <c r="C64" s="7" t="s">
        <v>1492</v>
      </c>
      <c r="D64" s="7" t="s">
        <v>1492</v>
      </c>
    </row>
    <row r="65">
      <c r="A65" s="7">
        <f>ROW()-ROW(Table_Name[NAME_ID])</f>
        <v>63</v>
      </c>
      <c r="B65" s="7" t="s">
        <v>44</v>
      </c>
      <c r="C65" s="7" t="s">
        <v>1497</v>
      </c>
      <c r="D65" s="7" t="s">
        <v>1498</v>
      </c>
    </row>
    <row r="66">
      <c r="A66" s="7">
        <f>ROW()-ROW(Table_Name[NAME_ID])</f>
        <v>64</v>
      </c>
      <c r="B66" s="7" t="s">
        <v>911</v>
      </c>
      <c r="C66" s="7" t="s">
        <v>1501</v>
      </c>
      <c r="D66" s="7" t="s">
        <v>1502</v>
      </c>
    </row>
    <row r="67">
      <c r="A67" s="7">
        <f>ROW()-ROW(Table_Name[NAME_ID])</f>
        <v>65</v>
      </c>
      <c r="B67" s="7" t="s">
        <v>976</v>
      </c>
      <c r="C67" s="7" t="s">
        <v>1507</v>
      </c>
      <c r="D67" s="7" t="s">
        <v>1508</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1539</v>
      </c>
      <c r="C1" s="3" t="s">
        <v>1541</v>
      </c>
      <c r="D1" s="1" t="s">
        <v>1542</v>
      </c>
      <c r="E1" s="5" t="s">
        <v>1544</v>
      </c>
      <c r="F1" s="3" t="s">
        <v>1545</v>
      </c>
      <c r="G1" s="3" t="s">
        <v>1547</v>
      </c>
      <c r="H1" s="1" t="s">
        <v>1548</v>
      </c>
      <c r="I1" s="61" t="s">
        <v>1549</v>
      </c>
    </row>
    <row r="2">
      <c r="A2" s="28">
        <f>ROW()-ROW(Table_Phrases[N])</f>
        <v>0</v>
      </c>
      <c r="B2" s="28" t="s">
        <v>1075</v>
      </c>
      <c r="C2" s="28">
        <v>0.0</v>
      </c>
      <c r="D2" s="30" t="s">
        <v>825</v>
      </c>
      <c r="E2" s="62" t="s">
        <v>1556</v>
      </c>
      <c r="F2" s="30" t="s">
        <v>1556</v>
      </c>
      <c r="G2" s="30" t="s">
        <v>1556</v>
      </c>
      <c r="H2" s="63"/>
      <c r="I2" s="29"/>
    </row>
    <row r="3">
      <c r="A3" s="28">
        <f>ROW()-ROW(Table_Phrases[N])</f>
        <v>1</v>
      </c>
      <c r="B3" s="28" t="s">
        <v>1561</v>
      </c>
      <c r="C3" s="28">
        <v>0.0</v>
      </c>
      <c r="D3" s="30" t="s">
        <v>972</v>
      </c>
      <c r="E3" s="62" t="s">
        <v>1564</v>
      </c>
      <c r="F3" s="30" t="s">
        <v>1556</v>
      </c>
      <c r="G3" s="30" t="s">
        <v>1556</v>
      </c>
      <c r="H3" s="29" t="s">
        <v>1565</v>
      </c>
      <c r="I3" s="29" t="s">
        <v>1566</v>
      </c>
    </row>
    <row r="4">
      <c r="A4" s="28">
        <f>ROW()-ROW(Table_Phrases[N])</f>
        <v>2</v>
      </c>
      <c r="B4" s="28" t="s">
        <v>1572</v>
      </c>
      <c r="C4" s="28">
        <v>0.0</v>
      </c>
      <c r="D4" s="30" t="s">
        <v>978</v>
      </c>
      <c r="E4" s="62" t="s">
        <v>1564</v>
      </c>
      <c r="F4" s="30" t="s">
        <v>1556</v>
      </c>
      <c r="G4" s="30" t="s">
        <v>1556</v>
      </c>
      <c r="H4" s="29" t="s">
        <v>1577</v>
      </c>
      <c r="I4" s="29" t="s">
        <v>1578</v>
      </c>
    </row>
    <row r="5">
      <c r="A5" s="28">
        <f>ROW()-ROW(Table_Phrases[N])</f>
        <v>3</v>
      </c>
      <c r="B5" s="28" t="s">
        <v>1583</v>
      </c>
      <c r="C5" s="28">
        <v>0.0</v>
      </c>
      <c r="D5" s="30" t="s">
        <v>982</v>
      </c>
      <c r="E5" s="62" t="s">
        <v>1564</v>
      </c>
      <c r="F5" s="30" t="s">
        <v>1556</v>
      </c>
      <c r="G5" s="30" t="s">
        <v>1556</v>
      </c>
      <c r="H5" s="29" t="s">
        <v>1589</v>
      </c>
      <c r="I5" s="29" t="s">
        <v>1590</v>
      </c>
    </row>
    <row r="6">
      <c r="A6" s="28">
        <f>ROW()-ROW(Table_Phrases[N])</f>
        <v>4</v>
      </c>
      <c r="B6" s="28" t="s">
        <v>1594</v>
      </c>
      <c r="C6" s="28">
        <v>0.0</v>
      </c>
      <c r="D6" s="30" t="s">
        <v>825</v>
      </c>
      <c r="E6" s="62" t="s">
        <v>1596</v>
      </c>
      <c r="F6" s="30" t="s">
        <v>1556</v>
      </c>
      <c r="G6" s="30" t="s">
        <v>1556</v>
      </c>
      <c r="H6" s="29" t="s">
        <v>1599</v>
      </c>
      <c r="I6" s="29" t="s">
        <v>1601</v>
      </c>
    </row>
    <row r="7">
      <c r="A7" s="28">
        <f>ROW()-ROW(Table_Phrases[N])</f>
        <v>5</v>
      </c>
      <c r="B7" s="28" t="s">
        <v>1605</v>
      </c>
      <c r="C7" s="28">
        <v>0.0</v>
      </c>
      <c r="D7" s="30" t="s">
        <v>825</v>
      </c>
      <c r="E7" s="62" t="s">
        <v>1596</v>
      </c>
      <c r="F7" s="30" t="s">
        <v>1556</v>
      </c>
      <c r="G7" s="30" t="s">
        <v>1556</v>
      </c>
      <c r="H7" s="29" t="s">
        <v>1608</v>
      </c>
      <c r="I7" s="29" t="s">
        <v>1610</v>
      </c>
    </row>
    <row r="8">
      <c r="A8" s="28">
        <f>ROW()-ROW(Table_Phrases[N])</f>
        <v>6</v>
      </c>
      <c r="B8" s="28" t="s">
        <v>1614</v>
      </c>
      <c r="C8" s="28">
        <v>0.0</v>
      </c>
      <c r="D8" s="30" t="s">
        <v>825</v>
      </c>
      <c r="E8" s="62" t="s">
        <v>1596</v>
      </c>
      <c r="F8" s="30" t="s">
        <v>1556</v>
      </c>
      <c r="G8" s="30" t="s">
        <v>1556</v>
      </c>
      <c r="H8" s="29" t="s">
        <v>1619</v>
      </c>
      <c r="I8" s="29" t="s">
        <v>1620</v>
      </c>
    </row>
    <row r="9">
      <c r="A9" s="28">
        <f>ROW()-ROW(Table_Phrases[N])</f>
        <v>7</v>
      </c>
      <c r="B9" s="28" t="s">
        <v>1624</v>
      </c>
      <c r="C9" s="28">
        <v>0.0</v>
      </c>
      <c r="D9" s="30" t="s">
        <v>825</v>
      </c>
      <c r="E9" s="62" t="s">
        <v>1596</v>
      </c>
      <c r="F9" s="30" t="s">
        <v>1556</v>
      </c>
      <c r="G9" s="30" t="s">
        <v>1556</v>
      </c>
      <c r="H9" s="29" t="s">
        <v>1626</v>
      </c>
      <c r="I9" s="29" t="s">
        <v>1628</v>
      </c>
    </row>
    <row r="10">
      <c r="A10" s="28">
        <f>ROW()-ROW(Table_Phrases[N])</f>
        <v>8</v>
      </c>
      <c r="B10" s="28" t="s">
        <v>1634</v>
      </c>
      <c r="C10" s="28">
        <v>0.0</v>
      </c>
      <c r="D10" s="30" t="s">
        <v>825</v>
      </c>
      <c r="E10" s="62" t="s">
        <v>1596</v>
      </c>
      <c r="F10" s="30" t="s">
        <v>1556</v>
      </c>
      <c r="G10" s="30" t="s">
        <v>1556</v>
      </c>
      <c r="H10" s="29" t="s">
        <v>1637</v>
      </c>
      <c r="I10" s="29" t="s">
        <v>1639</v>
      </c>
    </row>
    <row r="11">
      <c r="A11" s="28">
        <f>ROW()-ROW(Table_Phrases[N])</f>
        <v>9</v>
      </c>
      <c r="B11" s="28" t="s">
        <v>1643</v>
      </c>
      <c r="C11" s="28">
        <v>1.0</v>
      </c>
      <c r="D11" s="30" t="s">
        <v>825</v>
      </c>
      <c r="E11" s="62" t="s">
        <v>1644</v>
      </c>
      <c r="F11" s="30" t="s">
        <v>1596</v>
      </c>
      <c r="G11" s="30" t="s">
        <v>1556</v>
      </c>
      <c r="H11" s="29" t="s">
        <v>1648</v>
      </c>
      <c r="I11" s="29" t="s">
        <v>1649</v>
      </c>
    </row>
    <row r="12">
      <c r="A12" s="28">
        <f>ROW()-ROW(Table_Phrases[N])</f>
        <v>10</v>
      </c>
      <c r="B12" s="28" t="s">
        <v>1653</v>
      </c>
      <c r="C12" s="28">
        <v>0.0</v>
      </c>
      <c r="D12" s="30" t="s">
        <v>825</v>
      </c>
      <c r="E12" s="62" t="s">
        <v>1596</v>
      </c>
      <c r="F12" s="30" t="s">
        <v>1556</v>
      </c>
      <c r="G12" s="30" t="s">
        <v>1556</v>
      </c>
      <c r="H12" s="29" t="s">
        <v>1657</v>
      </c>
      <c r="I12" s="29" t="s">
        <v>1658</v>
      </c>
    </row>
    <row r="13">
      <c r="A13" s="28">
        <f>ROW()-ROW(Table_Phrases[N])</f>
        <v>11</v>
      </c>
      <c r="B13" s="28" t="s">
        <v>1667</v>
      </c>
      <c r="C13" s="28">
        <v>0.0</v>
      </c>
      <c r="D13" s="30" t="s">
        <v>825</v>
      </c>
      <c r="E13" s="62" t="s">
        <v>1596</v>
      </c>
      <c r="F13" s="30" t="s">
        <v>1556</v>
      </c>
      <c r="G13" s="30" t="s">
        <v>1556</v>
      </c>
      <c r="H13" s="29" t="s">
        <v>1672</v>
      </c>
      <c r="I13" s="29" t="s">
        <v>1673</v>
      </c>
    </row>
    <row r="14">
      <c r="A14" s="28">
        <f>ROW()-ROW(Table_Phrases[N])</f>
        <v>12</v>
      </c>
      <c r="B14" s="28" t="s">
        <v>1678</v>
      </c>
      <c r="C14" s="28">
        <v>1.0</v>
      </c>
      <c r="D14" s="30" t="s">
        <v>825</v>
      </c>
      <c r="E14" s="62" t="s">
        <v>1644</v>
      </c>
      <c r="F14" s="30" t="s">
        <v>1596</v>
      </c>
      <c r="G14" s="30" t="s">
        <v>1556</v>
      </c>
      <c r="H14" s="29" t="s">
        <v>1681</v>
      </c>
      <c r="I14" s="29" t="s">
        <v>1683</v>
      </c>
    </row>
    <row r="15">
      <c r="A15" s="28">
        <f>ROW()-ROW(Table_Phrases[N])</f>
        <v>13</v>
      </c>
      <c r="B15" s="28" t="s">
        <v>1688</v>
      </c>
      <c r="C15" s="28">
        <v>1.0</v>
      </c>
      <c r="D15" s="30" t="s">
        <v>825</v>
      </c>
      <c r="E15" s="62" t="s">
        <v>1644</v>
      </c>
      <c r="F15" s="30" t="s">
        <v>1596</v>
      </c>
      <c r="G15" s="30" t="s">
        <v>1556</v>
      </c>
      <c r="H15" s="29" t="s">
        <v>1691</v>
      </c>
      <c r="I15" s="29" t="s">
        <v>1694</v>
      </c>
    </row>
    <row r="16">
      <c r="A16" s="28">
        <f>ROW()-ROW(Table_Phrases[N])</f>
        <v>14</v>
      </c>
      <c r="B16" s="28" t="s">
        <v>1356</v>
      </c>
      <c r="C16" s="28">
        <v>0.0</v>
      </c>
      <c r="D16" s="30" t="s">
        <v>825</v>
      </c>
      <c r="E16" s="62" t="s">
        <v>1596</v>
      </c>
      <c r="F16" s="30" t="s">
        <v>1556</v>
      </c>
      <c r="G16" s="30" t="s">
        <v>1556</v>
      </c>
      <c r="H16" s="29" t="s">
        <v>1700</v>
      </c>
      <c r="I16" s="29" t="s">
        <v>1702</v>
      </c>
    </row>
    <row r="17">
      <c r="A17" s="28">
        <f>ROW()-ROW(Table_Phrases[N])</f>
        <v>15</v>
      </c>
      <c r="B17" s="28" t="s">
        <v>1369</v>
      </c>
      <c r="C17" s="28">
        <v>0.0</v>
      </c>
      <c r="D17" s="30" t="s">
        <v>825</v>
      </c>
      <c r="E17" s="62" t="s">
        <v>1596</v>
      </c>
      <c r="F17" s="30" t="s">
        <v>1556</v>
      </c>
      <c r="G17" s="30" t="s">
        <v>1556</v>
      </c>
      <c r="H17" s="29" t="s">
        <v>1709</v>
      </c>
      <c r="I17" s="29" t="s">
        <v>1710</v>
      </c>
    </row>
    <row r="18">
      <c r="A18" s="28">
        <f>ROW()-ROW(Table_Phrases[N])</f>
        <v>16</v>
      </c>
      <c r="B18" s="28" t="s">
        <v>1715</v>
      </c>
      <c r="C18" s="28">
        <v>0.0</v>
      </c>
      <c r="D18" s="30" t="s">
        <v>825</v>
      </c>
      <c r="E18" s="62" t="s">
        <v>1596</v>
      </c>
      <c r="F18" s="30" t="s">
        <v>1556</v>
      </c>
      <c r="G18" s="30" t="s">
        <v>1556</v>
      </c>
      <c r="H18" s="29" t="s">
        <v>1719</v>
      </c>
      <c r="I18" s="29" t="s">
        <v>1721</v>
      </c>
    </row>
    <row r="19">
      <c r="A19" s="28">
        <f>ROW()-ROW(Table_Phrases[N])</f>
        <v>17</v>
      </c>
      <c r="B19" s="28" t="s">
        <v>1727</v>
      </c>
      <c r="C19" s="28">
        <v>0.0</v>
      </c>
      <c r="D19" s="30" t="s">
        <v>825</v>
      </c>
      <c r="E19" s="62" t="s">
        <v>1564</v>
      </c>
      <c r="F19" s="30" t="s">
        <v>1556</v>
      </c>
      <c r="G19" s="30" t="s">
        <v>1556</v>
      </c>
      <c r="H19" s="29" t="s">
        <v>1732</v>
      </c>
      <c r="I19" s="29" t="s">
        <v>1733</v>
      </c>
    </row>
    <row r="20">
      <c r="A20" s="28">
        <f>ROW()-ROW(Table_Phrases[N])</f>
        <v>18</v>
      </c>
      <c r="B20" s="28" t="s">
        <v>1738</v>
      </c>
      <c r="C20" s="28">
        <v>0.0</v>
      </c>
      <c r="D20" s="30" t="s">
        <v>825</v>
      </c>
      <c r="E20" s="62" t="s">
        <v>1596</v>
      </c>
      <c r="F20" s="30" t="s">
        <v>1556</v>
      </c>
      <c r="G20" s="30" t="s">
        <v>1556</v>
      </c>
      <c r="H20" s="29" t="s">
        <v>1744</v>
      </c>
      <c r="I20" s="29" t="s">
        <v>1745</v>
      </c>
    </row>
    <row r="21">
      <c r="A21" s="28">
        <f>ROW()-ROW(Table_Phrases[N])</f>
        <v>19</v>
      </c>
      <c r="B21" s="28" t="s">
        <v>1751</v>
      </c>
      <c r="C21" s="28">
        <v>0.0</v>
      </c>
      <c r="D21" s="30" t="s">
        <v>825</v>
      </c>
      <c r="E21" s="62" t="s">
        <v>1596</v>
      </c>
      <c r="F21" s="30" t="s">
        <v>1556</v>
      </c>
      <c r="G21" s="30" t="s">
        <v>1556</v>
      </c>
      <c r="H21" s="29" t="s">
        <v>1754</v>
      </c>
      <c r="I21" s="29" t="s">
        <v>1756</v>
      </c>
    </row>
    <row r="22">
      <c r="A22" s="28">
        <f>ROW()-ROW(Table_Phrases[N])</f>
        <v>20</v>
      </c>
      <c r="B22" s="28" t="s">
        <v>1762</v>
      </c>
      <c r="C22" s="28">
        <v>0.0</v>
      </c>
      <c r="D22" s="30" t="s">
        <v>825</v>
      </c>
      <c r="E22" s="62" t="s">
        <v>1596</v>
      </c>
      <c r="F22" s="30" t="s">
        <v>1556</v>
      </c>
      <c r="G22" s="30" t="s">
        <v>1556</v>
      </c>
      <c r="H22" s="29" t="s">
        <v>1765</v>
      </c>
      <c r="I22" s="29" t="s">
        <v>1766</v>
      </c>
    </row>
    <row r="23">
      <c r="A23" s="28">
        <f>ROW()-ROW(Table_Phrases[N])</f>
        <v>21</v>
      </c>
      <c r="B23" s="28" t="s">
        <v>1771</v>
      </c>
      <c r="C23" s="28">
        <v>0.0</v>
      </c>
      <c r="D23" s="30" t="s">
        <v>825</v>
      </c>
      <c r="E23" s="62" t="s">
        <v>1596</v>
      </c>
      <c r="F23" s="30" t="s">
        <v>1556</v>
      </c>
      <c r="G23" s="30" t="s">
        <v>1556</v>
      </c>
      <c r="H23" s="29" t="s">
        <v>1775</v>
      </c>
      <c r="I23" s="29" t="s">
        <v>1776</v>
      </c>
    </row>
    <row r="24">
      <c r="A24" s="28">
        <f>ROW()-ROW(Table_Phrases[N])</f>
        <v>22</v>
      </c>
      <c r="B24" s="28" t="s">
        <v>1780</v>
      </c>
      <c r="C24" s="28">
        <v>0.0</v>
      </c>
      <c r="D24" s="30" t="s">
        <v>825</v>
      </c>
      <c r="E24" s="62" t="s">
        <v>1596</v>
      </c>
      <c r="F24" s="30" t="s">
        <v>1556</v>
      </c>
      <c r="G24" s="30" t="s">
        <v>1556</v>
      </c>
      <c r="H24" s="29" t="s">
        <v>1784</v>
      </c>
      <c r="I24" s="29" t="s">
        <v>1786</v>
      </c>
    </row>
    <row r="25">
      <c r="A25" s="28">
        <f>ROW()-ROW(Table_Phrases[N])</f>
        <v>23</v>
      </c>
      <c r="B25" s="28" t="s">
        <v>1791</v>
      </c>
      <c r="C25" s="28">
        <v>0.0</v>
      </c>
      <c r="D25" s="30" t="s">
        <v>825</v>
      </c>
      <c r="E25" s="62" t="s">
        <v>1596</v>
      </c>
      <c r="F25" s="30" t="s">
        <v>1556</v>
      </c>
      <c r="G25" s="30" t="s">
        <v>1556</v>
      </c>
      <c r="H25" s="29" t="s">
        <v>1795</v>
      </c>
      <c r="I25" s="29" t="s">
        <v>1797</v>
      </c>
    </row>
    <row r="26">
      <c r="A26" s="28">
        <f>ROW()-ROW(Table_Phrases[N])</f>
        <v>24</v>
      </c>
      <c r="B26" s="28" t="s">
        <v>1802</v>
      </c>
      <c r="C26" s="28">
        <v>0.0</v>
      </c>
      <c r="D26" s="30" t="s">
        <v>825</v>
      </c>
      <c r="E26" s="62" t="s">
        <v>1596</v>
      </c>
      <c r="F26" s="30" t="s">
        <v>1556</v>
      </c>
      <c r="G26" s="30" t="s">
        <v>1556</v>
      </c>
      <c r="H26" s="29" t="s">
        <v>1806</v>
      </c>
      <c r="I26" s="29" t="s">
        <v>1807</v>
      </c>
    </row>
    <row r="27">
      <c r="A27" s="28">
        <f>ROW()-ROW(Table_Phrases[N])</f>
        <v>25</v>
      </c>
      <c r="B27" s="28" t="s">
        <v>1812</v>
      </c>
      <c r="C27" s="28">
        <v>0.0</v>
      </c>
      <c r="D27" s="30" t="s">
        <v>825</v>
      </c>
      <c r="E27" s="62" t="s">
        <v>1596</v>
      </c>
      <c r="F27" s="30" t="s">
        <v>1556</v>
      </c>
      <c r="G27" s="30" t="s">
        <v>1556</v>
      </c>
      <c r="H27" s="29" t="s">
        <v>1815</v>
      </c>
      <c r="I27" s="29" t="s">
        <v>1817</v>
      </c>
    </row>
    <row r="28">
      <c r="A28" s="28">
        <f>ROW()-ROW(Table_Phrases[N])</f>
        <v>26</v>
      </c>
      <c r="B28" s="28" t="s">
        <v>1822</v>
      </c>
      <c r="C28" s="28">
        <v>1.0</v>
      </c>
      <c r="D28" s="30" t="s">
        <v>825</v>
      </c>
      <c r="E28" s="62" t="s">
        <v>1644</v>
      </c>
      <c r="F28" s="30" t="s">
        <v>1596</v>
      </c>
      <c r="G28" s="30" t="s">
        <v>1556</v>
      </c>
      <c r="H28" s="29" t="s">
        <v>1826</v>
      </c>
      <c r="I28" s="29" t="s">
        <v>1827</v>
      </c>
    </row>
    <row r="29">
      <c r="A29" s="28">
        <f>ROW()-ROW(Table_Phrases[N])</f>
        <v>27</v>
      </c>
      <c r="B29" s="28" t="s">
        <v>1084</v>
      </c>
      <c r="C29" s="28">
        <v>0.0</v>
      </c>
      <c r="D29" s="30" t="s">
        <v>825</v>
      </c>
      <c r="E29" s="62" t="s">
        <v>1596</v>
      </c>
      <c r="F29" s="30" t="s">
        <v>1556</v>
      </c>
      <c r="G29" s="30" t="s">
        <v>1556</v>
      </c>
      <c r="H29" s="29" t="s">
        <v>1836</v>
      </c>
      <c r="I29" s="29" t="s">
        <v>1838</v>
      </c>
    </row>
    <row r="30">
      <c r="A30" s="28">
        <f>ROW()-ROW(Table_Phrases[N])</f>
        <v>28</v>
      </c>
      <c r="B30" s="28" t="s">
        <v>1089</v>
      </c>
      <c r="C30" s="28">
        <v>0.0</v>
      </c>
      <c r="D30" s="30" t="s">
        <v>825</v>
      </c>
      <c r="E30" s="62" t="s">
        <v>1596</v>
      </c>
      <c r="F30" s="30" t="s">
        <v>1556</v>
      </c>
      <c r="G30" s="30" t="s">
        <v>1556</v>
      </c>
      <c r="H30" s="29" t="s">
        <v>1846</v>
      </c>
      <c r="I30" s="29" t="s">
        <v>1848</v>
      </c>
    </row>
    <row r="31">
      <c r="A31" s="28">
        <f>ROW()-ROW(Table_Phrases[N])</f>
        <v>29</v>
      </c>
      <c r="B31" s="28" t="s">
        <v>1096</v>
      </c>
      <c r="C31" s="28">
        <v>0.0</v>
      </c>
      <c r="D31" s="30" t="s">
        <v>825</v>
      </c>
      <c r="E31" s="62" t="s">
        <v>1596</v>
      </c>
      <c r="F31" s="30" t="s">
        <v>1556</v>
      </c>
      <c r="G31" s="30" t="s">
        <v>1556</v>
      </c>
      <c r="H31" s="29" t="s">
        <v>1855</v>
      </c>
      <c r="I31" s="29" t="s">
        <v>1856</v>
      </c>
    </row>
    <row r="32">
      <c r="A32" s="28">
        <f>ROW()-ROW(Table_Phrases[N])</f>
        <v>30</v>
      </c>
      <c r="B32" s="28" t="s">
        <v>1860</v>
      </c>
      <c r="C32" s="28">
        <v>0.0</v>
      </c>
      <c r="D32" s="30" t="s">
        <v>825</v>
      </c>
      <c r="E32" s="62" t="s">
        <v>1596</v>
      </c>
      <c r="F32" s="30" t="s">
        <v>1556</v>
      </c>
      <c r="G32" s="30" t="s">
        <v>1556</v>
      </c>
      <c r="H32" s="29" t="s">
        <v>1864</v>
      </c>
      <c r="I32" s="29" t="s">
        <v>1867</v>
      </c>
    </row>
    <row r="33">
      <c r="A33" s="28">
        <f>ROW()-ROW(Table_Phrases[N])</f>
        <v>31</v>
      </c>
      <c r="B33" s="28" t="s">
        <v>1398</v>
      </c>
      <c r="C33" s="28">
        <v>0.0</v>
      </c>
      <c r="D33" s="30" t="s">
        <v>825</v>
      </c>
      <c r="E33" s="62" t="s">
        <v>1596</v>
      </c>
      <c r="F33" s="30" t="s">
        <v>1556</v>
      </c>
      <c r="G33" s="30" t="s">
        <v>1556</v>
      </c>
      <c r="H33" s="29" t="s">
        <v>1874</v>
      </c>
      <c r="I33" s="29" t="s">
        <v>1876</v>
      </c>
    </row>
    <row r="34">
      <c r="A34" s="28">
        <f>ROW()-ROW(Table_Phrases[N])</f>
        <v>32</v>
      </c>
      <c r="B34" s="28" t="s">
        <v>1882</v>
      </c>
      <c r="C34" s="28">
        <v>1.0</v>
      </c>
      <c r="D34" s="30" t="s">
        <v>825</v>
      </c>
      <c r="E34" s="62" t="s">
        <v>1644</v>
      </c>
      <c r="F34" s="30" t="s">
        <v>1596</v>
      </c>
      <c r="G34" s="30" t="s">
        <v>1556</v>
      </c>
      <c r="H34" s="29" t="s">
        <v>1886</v>
      </c>
      <c r="I34" s="29" t="s">
        <v>1887</v>
      </c>
    </row>
    <row r="35">
      <c r="A35" s="28">
        <f>ROW()-ROW(Table_Phrases[N])</f>
        <v>33</v>
      </c>
      <c r="B35" s="28" t="s">
        <v>1892</v>
      </c>
      <c r="C35" s="28">
        <v>1.0</v>
      </c>
      <c r="D35" s="30" t="s">
        <v>825</v>
      </c>
      <c r="E35" s="62" t="s">
        <v>1644</v>
      </c>
      <c r="F35" s="30" t="s">
        <v>1596</v>
      </c>
      <c r="G35" s="30" t="s">
        <v>1556</v>
      </c>
      <c r="H35" s="29" t="s">
        <v>1898</v>
      </c>
      <c r="I35" s="29" t="s">
        <v>1900</v>
      </c>
    </row>
    <row r="36">
      <c r="A36" s="28">
        <f>ROW()-ROW(Table_Phrases[N])</f>
        <v>34</v>
      </c>
      <c r="B36" s="28" t="s">
        <v>1907</v>
      </c>
      <c r="C36" s="28">
        <v>0.0</v>
      </c>
      <c r="D36" s="30" t="s">
        <v>825</v>
      </c>
      <c r="E36" s="62" t="s">
        <v>1596</v>
      </c>
      <c r="F36" s="30" t="s">
        <v>1556</v>
      </c>
      <c r="G36" s="30" t="s">
        <v>1556</v>
      </c>
      <c r="H36" s="29" t="s">
        <v>1910</v>
      </c>
      <c r="I36" s="29" t="s">
        <v>1912</v>
      </c>
    </row>
    <row r="37">
      <c r="A37" s="28">
        <f>ROW()-ROW(Table_Phrases[N])</f>
        <v>35</v>
      </c>
      <c r="B37" s="28" t="s">
        <v>1917</v>
      </c>
      <c r="C37" s="28">
        <v>0.0</v>
      </c>
      <c r="D37" s="30" t="s">
        <v>825</v>
      </c>
      <c r="E37" s="62" t="s">
        <v>1596</v>
      </c>
      <c r="F37" s="30" t="s">
        <v>1556</v>
      </c>
      <c r="G37" s="30" t="s">
        <v>1556</v>
      </c>
      <c r="H37" s="29" t="s">
        <v>1921</v>
      </c>
      <c r="I37" s="29" t="s">
        <v>1924</v>
      </c>
    </row>
    <row r="38">
      <c r="A38" s="28">
        <f>ROW()-ROW(Table_Phrases[N])</f>
        <v>36</v>
      </c>
      <c r="B38" s="28" t="s">
        <v>1930</v>
      </c>
      <c r="C38" s="28">
        <v>1.0</v>
      </c>
      <c r="D38" s="30" t="s">
        <v>825</v>
      </c>
      <c r="E38" s="62" t="s">
        <v>1644</v>
      </c>
      <c r="F38" s="30" t="s">
        <v>1596</v>
      </c>
      <c r="G38" s="30" t="s">
        <v>1556</v>
      </c>
      <c r="H38" s="29" t="s">
        <v>1933</v>
      </c>
      <c r="I38" s="29" t="s">
        <v>1935</v>
      </c>
    </row>
    <row r="39">
      <c r="A39" s="28">
        <f>ROW()-ROW(Table_Phrases[N])</f>
        <v>37</v>
      </c>
      <c r="B39" s="28" t="s">
        <v>1943</v>
      </c>
      <c r="C39" s="28">
        <v>0.0</v>
      </c>
      <c r="D39" s="30" t="s">
        <v>825</v>
      </c>
      <c r="E39" s="62" t="s">
        <v>1596</v>
      </c>
      <c r="F39" s="30" t="s">
        <v>1556</v>
      </c>
      <c r="G39" s="30" t="s">
        <v>1556</v>
      </c>
      <c r="H39" s="29" t="s">
        <v>1947</v>
      </c>
      <c r="I39" s="29" t="s">
        <v>1948</v>
      </c>
    </row>
    <row r="40">
      <c r="A40" s="28">
        <f>ROW()-ROW(Table_Phrases[N])</f>
        <v>38</v>
      </c>
      <c r="B40" s="28" t="s">
        <v>1955</v>
      </c>
      <c r="C40" s="28">
        <v>1.0</v>
      </c>
      <c r="D40" s="30" t="s">
        <v>825</v>
      </c>
      <c r="E40" s="62" t="s">
        <v>1644</v>
      </c>
      <c r="F40" s="30" t="s">
        <v>1596</v>
      </c>
      <c r="G40" s="30" t="s">
        <v>1556</v>
      </c>
      <c r="H40" s="29" t="s">
        <v>1959</v>
      </c>
      <c r="I40" s="29" t="s">
        <v>1960</v>
      </c>
    </row>
    <row r="41">
      <c r="A41" s="28">
        <f>ROW()-ROW(Table_Phrases[N])</f>
        <v>39</v>
      </c>
      <c r="B41" s="28" t="s">
        <v>1966</v>
      </c>
      <c r="C41" s="28">
        <v>0.0</v>
      </c>
      <c r="D41" s="30" t="s">
        <v>825</v>
      </c>
      <c r="E41" s="62" t="s">
        <v>1596</v>
      </c>
      <c r="F41" s="30" t="s">
        <v>1556</v>
      </c>
      <c r="G41" s="30" t="s">
        <v>1556</v>
      </c>
      <c r="H41" s="29" t="s">
        <v>1970</v>
      </c>
      <c r="I41" s="29" t="s">
        <v>1972</v>
      </c>
    </row>
    <row r="42">
      <c r="A42" s="28">
        <f>ROW()-ROW(Table_Phrases[N])</f>
        <v>40</v>
      </c>
      <c r="B42" s="28" t="s">
        <v>1980</v>
      </c>
      <c r="C42" s="28">
        <v>1.0</v>
      </c>
      <c r="D42" s="30" t="s">
        <v>825</v>
      </c>
      <c r="E42" s="62" t="s">
        <v>1644</v>
      </c>
      <c r="F42" s="30" t="s">
        <v>1596</v>
      </c>
      <c r="G42" s="30" t="s">
        <v>1556</v>
      </c>
      <c r="H42" s="29" t="s">
        <v>1984</v>
      </c>
      <c r="I42" s="29" t="s">
        <v>1985</v>
      </c>
    </row>
    <row r="43">
      <c r="A43" s="28">
        <f>ROW()-ROW(Table_Phrases[N])</f>
        <v>41</v>
      </c>
      <c r="B43" s="28" t="s">
        <v>1994</v>
      </c>
      <c r="C43" s="28">
        <v>0.0</v>
      </c>
      <c r="D43" s="30" t="s">
        <v>825</v>
      </c>
      <c r="E43" s="62" t="s">
        <v>1596</v>
      </c>
      <c r="F43" s="30" t="s">
        <v>1556</v>
      </c>
      <c r="G43" s="30" t="s">
        <v>1556</v>
      </c>
      <c r="H43" s="29" t="s">
        <v>1998</v>
      </c>
      <c r="I43" s="29" t="s">
        <v>1999</v>
      </c>
    </row>
    <row r="44">
      <c r="A44" s="28">
        <f>ROW()-ROW(Table_Phrases[N])</f>
        <v>42</v>
      </c>
      <c r="B44" s="28" t="s">
        <v>2004</v>
      </c>
      <c r="C44" s="28">
        <v>1.0</v>
      </c>
      <c r="D44" s="30" t="s">
        <v>825</v>
      </c>
      <c r="E44" s="62" t="s">
        <v>1644</v>
      </c>
      <c r="F44" s="30" t="s">
        <v>1596</v>
      </c>
      <c r="G44" s="30" t="s">
        <v>1556</v>
      </c>
      <c r="H44" s="29" t="s">
        <v>2006</v>
      </c>
      <c r="I44" s="29" t="s">
        <v>2007</v>
      </c>
    </row>
    <row r="45">
      <c r="A45" s="28">
        <f>ROW()-ROW(Table_Phrases[N])</f>
        <v>43</v>
      </c>
      <c r="B45" s="28" t="s">
        <v>2012</v>
      </c>
      <c r="C45" s="28">
        <v>0.0</v>
      </c>
      <c r="D45" s="30" t="s">
        <v>825</v>
      </c>
      <c r="E45" s="62" t="s">
        <v>1596</v>
      </c>
      <c r="F45" s="30" t="s">
        <v>1556</v>
      </c>
      <c r="G45" s="30" t="s">
        <v>1556</v>
      </c>
      <c r="H45" s="29" t="s">
        <v>2017</v>
      </c>
      <c r="I45" s="29" t="s">
        <v>2018</v>
      </c>
    </row>
    <row r="46">
      <c r="A46" s="28">
        <f>ROW()-ROW(Table_Phrases[N])</f>
        <v>44</v>
      </c>
      <c r="B46" s="28" t="s">
        <v>2021</v>
      </c>
      <c r="C46" s="28">
        <v>1.0</v>
      </c>
      <c r="D46" s="30" t="s">
        <v>825</v>
      </c>
      <c r="E46" s="62" t="s">
        <v>1644</v>
      </c>
      <c r="F46" s="30" t="s">
        <v>1596</v>
      </c>
      <c r="G46" s="30" t="s">
        <v>1556</v>
      </c>
      <c r="H46" s="29" t="s">
        <v>2026</v>
      </c>
      <c r="I46" s="29" t="s">
        <v>2027</v>
      </c>
    </row>
    <row r="47">
      <c r="A47" s="28">
        <f>ROW()-ROW(Table_Phrases[N])</f>
        <v>45</v>
      </c>
      <c r="B47" s="28" t="s">
        <v>2032</v>
      </c>
      <c r="C47" s="28">
        <v>1.0</v>
      </c>
      <c r="D47" s="30" t="s">
        <v>825</v>
      </c>
      <c r="E47" s="62" t="s">
        <v>1644</v>
      </c>
      <c r="F47" s="30" t="s">
        <v>1596</v>
      </c>
      <c r="G47" s="30" t="s">
        <v>1556</v>
      </c>
      <c r="H47" s="29" t="s">
        <v>2036</v>
      </c>
      <c r="I47" s="29" t="s">
        <v>2039</v>
      </c>
    </row>
    <row r="48">
      <c r="A48" s="28">
        <f>ROW()-ROW(Table_Phrases[N])</f>
        <v>46</v>
      </c>
      <c r="B48" s="28" t="s">
        <v>2044</v>
      </c>
      <c r="C48" s="28">
        <v>0.0</v>
      </c>
      <c r="D48" s="30" t="s">
        <v>825</v>
      </c>
      <c r="E48" s="62" t="s">
        <v>1596</v>
      </c>
      <c r="F48" s="30" t="s">
        <v>1556</v>
      </c>
      <c r="G48" s="30" t="s">
        <v>1556</v>
      </c>
      <c r="H48" s="29" t="s">
        <v>2048</v>
      </c>
      <c r="I48" s="29" t="s">
        <v>2049</v>
      </c>
    </row>
    <row r="49">
      <c r="A49" s="28">
        <f>ROW()-ROW(Table_Phrases[N])</f>
        <v>47</v>
      </c>
      <c r="B49" s="28" t="s">
        <v>2053</v>
      </c>
      <c r="C49" s="28">
        <v>1.0</v>
      </c>
      <c r="D49" s="30" t="s">
        <v>825</v>
      </c>
      <c r="E49" s="62" t="s">
        <v>1644</v>
      </c>
      <c r="F49" s="30" t="s">
        <v>1596</v>
      </c>
      <c r="G49" s="30" t="s">
        <v>1556</v>
      </c>
      <c r="H49" s="29" t="s">
        <v>2058</v>
      </c>
      <c r="I49" s="29" t="s">
        <v>2059</v>
      </c>
    </row>
    <row r="50">
      <c r="A50" s="28">
        <f>ROW()-ROW(Table_Phrases[N])</f>
        <v>48</v>
      </c>
      <c r="B50" s="28" t="s">
        <v>2063</v>
      </c>
      <c r="C50" s="28">
        <v>0.0</v>
      </c>
      <c r="D50" s="30" t="s">
        <v>825</v>
      </c>
      <c r="E50" s="62" t="s">
        <v>1596</v>
      </c>
      <c r="F50" s="30" t="s">
        <v>1556</v>
      </c>
      <c r="G50" s="30" t="s">
        <v>1556</v>
      </c>
      <c r="H50" s="29" t="s">
        <v>2066</v>
      </c>
      <c r="I50" s="29" t="s">
        <v>2067</v>
      </c>
    </row>
    <row r="51">
      <c r="A51" s="28">
        <f>ROW()-ROW(Table_Phrases[N])</f>
        <v>49</v>
      </c>
      <c r="B51" s="28" t="s">
        <v>2073</v>
      </c>
      <c r="C51" s="28">
        <v>0.0</v>
      </c>
      <c r="D51" s="30" t="s">
        <v>825</v>
      </c>
      <c r="E51" s="62" t="s">
        <v>1596</v>
      </c>
      <c r="F51" s="30" t="s">
        <v>1556</v>
      </c>
      <c r="G51" s="30" t="s">
        <v>1556</v>
      </c>
      <c r="H51" s="29" t="s">
        <v>2075</v>
      </c>
      <c r="I51" s="29" t="s">
        <v>2077</v>
      </c>
    </row>
    <row r="52">
      <c r="A52" s="28">
        <f>ROW()-ROW(Table_Phrases[N])</f>
        <v>50</v>
      </c>
      <c r="B52" s="28" t="s">
        <v>2085</v>
      </c>
      <c r="C52" s="28">
        <v>1.0</v>
      </c>
      <c r="D52" s="30" t="s">
        <v>825</v>
      </c>
      <c r="E52" s="62" t="s">
        <v>1644</v>
      </c>
      <c r="F52" s="30" t="s">
        <v>1596</v>
      </c>
      <c r="G52" s="30" t="s">
        <v>1556</v>
      </c>
      <c r="H52" s="29" t="s">
        <v>2088</v>
      </c>
      <c r="I52" s="29" t="s">
        <v>2090</v>
      </c>
    </row>
    <row r="53">
      <c r="A53" s="28">
        <f>ROW()-ROW(Table_Phrases[N])</f>
        <v>51</v>
      </c>
      <c r="B53" s="28" t="s">
        <v>2093</v>
      </c>
      <c r="C53" s="28">
        <v>1.0</v>
      </c>
      <c r="D53" s="30" t="s">
        <v>825</v>
      </c>
      <c r="E53" s="62" t="s">
        <v>1644</v>
      </c>
      <c r="F53" s="30" t="s">
        <v>1596</v>
      </c>
      <c r="G53" s="30" t="s">
        <v>1556</v>
      </c>
      <c r="H53" s="29" t="s">
        <v>2098</v>
      </c>
      <c r="I53" s="29" t="s">
        <v>2099</v>
      </c>
    </row>
    <row r="54">
      <c r="A54" s="28">
        <f>ROW()-ROW(Table_Phrases[N])</f>
        <v>52</v>
      </c>
      <c r="B54" s="28" t="s">
        <v>2103</v>
      </c>
      <c r="C54" s="28">
        <v>1.0</v>
      </c>
      <c r="D54" s="30" t="s">
        <v>825</v>
      </c>
      <c r="E54" s="62" t="s">
        <v>1644</v>
      </c>
      <c r="F54" s="30" t="s">
        <v>1596</v>
      </c>
      <c r="G54" s="30" t="s">
        <v>1556</v>
      </c>
      <c r="H54" s="29" t="s">
        <v>2108</v>
      </c>
      <c r="I54" s="29" t="s">
        <v>2110</v>
      </c>
    </row>
    <row r="55">
      <c r="A55" s="28">
        <f>ROW()-ROW(Table_Phrases[N])</f>
        <v>53</v>
      </c>
      <c r="B55" s="28" t="s">
        <v>2114</v>
      </c>
      <c r="C55" s="28">
        <v>0.0</v>
      </c>
      <c r="D55" s="30" t="s">
        <v>825</v>
      </c>
      <c r="E55" s="62" t="s">
        <v>1596</v>
      </c>
      <c r="F55" s="30" t="s">
        <v>1556</v>
      </c>
      <c r="G55" s="30" t="s">
        <v>1556</v>
      </c>
      <c r="H55" s="29" t="s">
        <v>2118</v>
      </c>
      <c r="I55" s="29" t="s">
        <v>2119</v>
      </c>
    </row>
    <row r="56">
      <c r="A56" s="28">
        <f>ROW()-ROW(Table_Phrases[N])</f>
        <v>54</v>
      </c>
      <c r="B56" s="28" t="s">
        <v>1486</v>
      </c>
      <c r="C56" s="28">
        <v>0.0</v>
      </c>
      <c r="D56" s="30" t="s">
        <v>825</v>
      </c>
      <c r="E56" s="62" t="s">
        <v>1596</v>
      </c>
      <c r="F56" s="30" t="s">
        <v>1556</v>
      </c>
      <c r="G56" s="30" t="s">
        <v>1556</v>
      </c>
      <c r="H56" s="29" t="s">
        <v>2130</v>
      </c>
      <c r="I56" s="29" t="s">
        <v>2131</v>
      </c>
    </row>
    <row r="57">
      <c r="A57" s="28">
        <f>ROW()-ROW(Table_Phrases[N])</f>
        <v>55</v>
      </c>
      <c r="B57" s="28" t="s">
        <v>2136</v>
      </c>
      <c r="C57" s="28">
        <v>0.0</v>
      </c>
      <c r="D57" s="30" t="s">
        <v>825</v>
      </c>
      <c r="E57" s="62" t="s">
        <v>1596</v>
      </c>
      <c r="F57" s="30" t="s">
        <v>1556</v>
      </c>
      <c r="G57" s="30" t="s">
        <v>1556</v>
      </c>
      <c r="H57" s="29" t="s">
        <v>2141</v>
      </c>
      <c r="I57" s="29" t="s">
        <v>2143</v>
      </c>
    </row>
    <row r="58">
      <c r="A58" s="28">
        <f>ROW()-ROW(Table_Phrases[N])</f>
        <v>56</v>
      </c>
      <c r="B58" s="28" t="s">
        <v>1494</v>
      </c>
      <c r="C58" s="28">
        <v>1.0</v>
      </c>
      <c r="D58" s="30" t="s">
        <v>825</v>
      </c>
      <c r="E58" s="62" t="s">
        <v>1644</v>
      </c>
      <c r="F58" s="30" t="s">
        <v>1596</v>
      </c>
      <c r="G58" s="30" t="s">
        <v>1556</v>
      </c>
      <c r="H58" s="29" t="s">
        <v>2150</v>
      </c>
      <c r="I58" s="29" t="s">
        <v>2151</v>
      </c>
    </row>
    <row r="59">
      <c r="A59" s="28">
        <f>ROW()-ROW(Table_Phrases[N])</f>
        <v>57</v>
      </c>
      <c r="B59" s="28" t="s">
        <v>2156</v>
      </c>
      <c r="C59" s="28">
        <v>0.0</v>
      </c>
      <c r="D59" s="30" t="s">
        <v>825</v>
      </c>
      <c r="E59" s="62" t="s">
        <v>1596</v>
      </c>
      <c r="F59" s="30" t="s">
        <v>1556</v>
      </c>
      <c r="G59" s="30" t="s">
        <v>1556</v>
      </c>
      <c r="H59" s="29" t="s">
        <v>2159</v>
      </c>
      <c r="I59" s="29" t="s">
        <v>2161</v>
      </c>
    </row>
    <row r="60">
      <c r="A60" s="28">
        <f>ROW()-ROW(Table_Phrases[N])</f>
        <v>58</v>
      </c>
      <c r="B60" s="28" t="s">
        <v>2168</v>
      </c>
      <c r="C60" s="28">
        <v>0.0</v>
      </c>
      <c r="D60" s="30" t="s">
        <v>987</v>
      </c>
      <c r="E60" s="62" t="s">
        <v>1556</v>
      </c>
      <c r="F60" s="30" t="s">
        <v>1556</v>
      </c>
      <c r="G60" s="30" t="s">
        <v>1556</v>
      </c>
      <c r="H60" s="29" t="s">
        <v>2172</v>
      </c>
      <c r="I60" s="29" t="s">
        <v>2173</v>
      </c>
    </row>
    <row r="61">
      <c r="A61" s="28">
        <f>ROW()-ROW(Table_Phrases[N])</f>
        <v>59</v>
      </c>
      <c r="B61" s="28" t="s">
        <v>2178</v>
      </c>
      <c r="C61" s="28">
        <v>0.0</v>
      </c>
      <c r="D61" s="30" t="s">
        <v>992</v>
      </c>
      <c r="E61" s="62" t="s">
        <v>1556</v>
      </c>
      <c r="F61" s="30" t="s">
        <v>1556</v>
      </c>
      <c r="G61" s="30" t="s">
        <v>1556</v>
      </c>
      <c r="H61" s="29" t="s">
        <v>2184</v>
      </c>
      <c r="I61" s="29" t="s">
        <v>2185</v>
      </c>
    </row>
    <row r="62">
      <c r="A62" s="28">
        <f>ROW()-ROW(Table_Phrases[N])</f>
        <v>60</v>
      </c>
      <c r="B62" s="28" t="s">
        <v>2188</v>
      </c>
      <c r="C62" s="28">
        <v>0.0</v>
      </c>
      <c r="D62" s="30" t="s">
        <v>996</v>
      </c>
      <c r="E62" s="62" t="s">
        <v>1556</v>
      </c>
      <c r="F62" s="30" t="s">
        <v>1556</v>
      </c>
      <c r="G62" s="30" t="s">
        <v>1556</v>
      </c>
      <c r="H62" s="29" t="s">
        <v>2192</v>
      </c>
      <c r="I62" s="29" t="s">
        <v>2193</v>
      </c>
    </row>
    <row r="63">
      <c r="A63" s="28">
        <f>ROW()-ROW(Table_Phrases[N])</f>
        <v>61</v>
      </c>
      <c r="B63" s="28" t="s">
        <v>2198</v>
      </c>
      <c r="C63" s="28">
        <v>0.0</v>
      </c>
      <c r="D63" s="30" t="s">
        <v>825</v>
      </c>
      <c r="E63" s="62" t="s">
        <v>1564</v>
      </c>
      <c r="F63" s="30" t="s">
        <v>1556</v>
      </c>
      <c r="G63" s="30" t="s">
        <v>1556</v>
      </c>
      <c r="H63" s="29" t="s">
        <v>2201</v>
      </c>
      <c r="I63" s="29" t="s">
        <v>2202</v>
      </c>
    </row>
    <row r="64">
      <c r="A64" s="28">
        <f>ROW()-ROW(Table_Phrases[N])</f>
        <v>62</v>
      </c>
      <c r="B64" s="28" t="s">
        <v>2208</v>
      </c>
      <c r="C64" s="28">
        <v>0.0</v>
      </c>
      <c r="D64" s="30" t="s">
        <v>845</v>
      </c>
      <c r="E64" s="62" t="s">
        <v>1596</v>
      </c>
      <c r="F64" s="30" t="s">
        <v>1556</v>
      </c>
      <c r="G64" s="30" t="s">
        <v>1556</v>
      </c>
      <c r="H64" s="29" t="s">
        <v>2212</v>
      </c>
      <c r="I64" s="29" t="s">
        <v>2212</v>
      </c>
    </row>
    <row r="65">
      <c r="A65" s="28">
        <f>ROW()-ROW(Table_Phrases[N])</f>
        <v>63</v>
      </c>
      <c r="B65" s="28" t="s">
        <v>2217</v>
      </c>
      <c r="C65" s="28">
        <v>0.0</v>
      </c>
      <c r="D65" s="30" t="s">
        <v>852</v>
      </c>
      <c r="E65" s="62" t="s">
        <v>1596</v>
      </c>
      <c r="F65" s="30" t="s">
        <v>1556</v>
      </c>
      <c r="G65" s="30" t="s">
        <v>1556</v>
      </c>
      <c r="H65" s="29" t="s">
        <v>2222</v>
      </c>
      <c r="I65" s="29" t="s">
        <v>2223</v>
      </c>
    </row>
    <row r="66">
      <c r="A66" s="28">
        <f>ROW()-ROW(Table_Phrases[N])</f>
        <v>64</v>
      </c>
      <c r="B66" s="28" t="s">
        <v>2228</v>
      </c>
      <c r="C66" s="28">
        <v>0.0</v>
      </c>
      <c r="D66" s="30" t="s">
        <v>855</v>
      </c>
      <c r="E66" s="62" t="s">
        <v>1596</v>
      </c>
      <c r="F66" s="30" t="s">
        <v>1556</v>
      </c>
      <c r="G66" s="30" t="s">
        <v>1556</v>
      </c>
      <c r="H66" s="29" t="s">
        <v>2232</v>
      </c>
      <c r="I66" s="29" t="s">
        <v>2233</v>
      </c>
    </row>
    <row r="67">
      <c r="A67" s="28">
        <f>ROW()-ROW(Table_Phrases[N])</f>
        <v>65</v>
      </c>
      <c r="B67" s="28" t="s">
        <v>2237</v>
      </c>
      <c r="C67" s="28">
        <v>0.0</v>
      </c>
      <c r="D67" s="30" t="s">
        <v>856</v>
      </c>
      <c r="E67" s="62" t="s">
        <v>1596</v>
      </c>
      <c r="F67" s="30" t="s">
        <v>1556</v>
      </c>
      <c r="G67" s="30" t="s">
        <v>1556</v>
      </c>
      <c r="H67" s="29" t="s">
        <v>2241</v>
      </c>
      <c r="I67" s="29" t="s">
        <v>2242</v>
      </c>
    </row>
    <row r="68">
      <c r="A68" s="28">
        <f>ROW()-ROW(Table_Phrases[N])</f>
        <v>66</v>
      </c>
      <c r="B68" s="28" t="s">
        <v>2246</v>
      </c>
      <c r="C68" s="28">
        <v>0.0</v>
      </c>
      <c r="D68" s="30" t="s">
        <v>825</v>
      </c>
      <c r="E68" s="62" t="s">
        <v>1596</v>
      </c>
      <c r="F68" s="30" t="s">
        <v>1556</v>
      </c>
      <c r="G68" s="30" t="s">
        <v>1556</v>
      </c>
      <c r="H68" s="29" t="s">
        <v>2249</v>
      </c>
      <c r="I68" s="29" t="s">
        <v>2250</v>
      </c>
    </row>
    <row r="69">
      <c r="A69" s="28">
        <f>ROW()-ROW(Table_Phrases[N])</f>
        <v>67</v>
      </c>
      <c r="B69" s="28" t="s">
        <v>2254</v>
      </c>
      <c r="C69" s="28">
        <v>1.0</v>
      </c>
      <c r="D69" s="30" t="s">
        <v>825</v>
      </c>
      <c r="E69" s="62" t="s">
        <v>1644</v>
      </c>
      <c r="F69" s="30" t="s">
        <v>1596</v>
      </c>
      <c r="G69" s="30" t="s">
        <v>1556</v>
      </c>
      <c r="H69" s="29" t="s">
        <v>2257</v>
      </c>
      <c r="I69" s="29" t="s">
        <v>2258</v>
      </c>
    </row>
    <row r="70">
      <c r="A70" s="28">
        <f>ROW()-ROW(Table_Phrases[N])</f>
        <v>68</v>
      </c>
      <c r="B70" s="28" t="s">
        <v>2263</v>
      </c>
      <c r="C70" s="28">
        <v>0.0</v>
      </c>
      <c r="D70" s="30" t="s">
        <v>825</v>
      </c>
      <c r="E70" s="62" t="s">
        <v>1596</v>
      </c>
      <c r="F70" s="30" t="s">
        <v>1556</v>
      </c>
      <c r="G70" s="30" t="s">
        <v>1556</v>
      </c>
      <c r="H70" s="29" t="s">
        <v>2268</v>
      </c>
      <c r="I70" s="29" t="s">
        <v>2269</v>
      </c>
    </row>
    <row r="71">
      <c r="A71" s="28">
        <f>ROW()-ROW(Table_Phrases[N])</f>
        <v>69</v>
      </c>
      <c r="B71" s="28" t="s">
        <v>2273</v>
      </c>
      <c r="C71" s="28">
        <v>1.0</v>
      </c>
      <c r="D71" s="30" t="s">
        <v>825</v>
      </c>
      <c r="E71" s="62" t="s">
        <v>1644</v>
      </c>
      <c r="F71" s="30" t="s">
        <v>1596</v>
      </c>
      <c r="G71" s="30" t="s">
        <v>1556</v>
      </c>
      <c r="H71" s="29" t="s">
        <v>2278</v>
      </c>
      <c r="I71" s="29" t="s">
        <v>2279</v>
      </c>
    </row>
    <row r="72">
      <c r="A72" s="28">
        <f>ROW()-ROW(Table_Phrases[N])</f>
        <v>70</v>
      </c>
      <c r="B72" s="28" t="s">
        <v>2283</v>
      </c>
      <c r="C72" s="28">
        <v>0.0</v>
      </c>
      <c r="D72" s="30" t="s">
        <v>825</v>
      </c>
      <c r="E72" s="62" t="s">
        <v>1596</v>
      </c>
      <c r="F72" s="30" t="s">
        <v>1556</v>
      </c>
      <c r="G72" s="30" t="s">
        <v>1556</v>
      </c>
      <c r="H72" s="29" t="s">
        <v>2285</v>
      </c>
      <c r="I72" s="29" t="s">
        <v>2287</v>
      </c>
    </row>
    <row r="73">
      <c r="A73" s="28">
        <f>ROW()-ROW(Table_Phrases[N])</f>
        <v>71</v>
      </c>
      <c r="B73" s="28" t="s">
        <v>2295</v>
      </c>
      <c r="C73" s="28">
        <v>1.0</v>
      </c>
      <c r="D73" s="30" t="s">
        <v>825</v>
      </c>
      <c r="E73" s="62" t="s">
        <v>1644</v>
      </c>
      <c r="F73" s="30" t="s">
        <v>1596</v>
      </c>
      <c r="G73" s="30" t="s">
        <v>1556</v>
      </c>
      <c r="H73" s="29" t="s">
        <v>2297</v>
      </c>
      <c r="I73" s="29" t="s">
        <v>2298</v>
      </c>
    </row>
    <row r="74">
      <c r="A74" s="28">
        <f>ROW()-ROW(Table_Phrases[N])</f>
        <v>72</v>
      </c>
      <c r="B74" s="28" t="s">
        <v>2304</v>
      </c>
      <c r="C74" s="28">
        <v>0.0</v>
      </c>
      <c r="D74" s="30" t="s">
        <v>825</v>
      </c>
      <c r="E74" s="62" t="s">
        <v>1596</v>
      </c>
      <c r="F74" s="30" t="s">
        <v>1556</v>
      </c>
      <c r="G74" s="30" t="s">
        <v>1556</v>
      </c>
      <c r="H74" s="29" t="s">
        <v>2306</v>
      </c>
      <c r="I74" s="29" t="s">
        <v>2307</v>
      </c>
    </row>
    <row r="75">
      <c r="A75" s="28">
        <f>ROW()-ROW(Table_Phrases[N])</f>
        <v>73</v>
      </c>
      <c r="B75" s="28" t="s">
        <v>2311</v>
      </c>
      <c r="C75" s="28">
        <v>1.0</v>
      </c>
      <c r="D75" s="30" t="s">
        <v>825</v>
      </c>
      <c r="E75" s="62" t="s">
        <v>1644</v>
      </c>
      <c r="F75" s="30" t="s">
        <v>1596</v>
      </c>
      <c r="G75" s="30" t="s">
        <v>1556</v>
      </c>
      <c r="H75" s="29" t="s">
        <v>2314</v>
      </c>
      <c r="I75" s="29" t="s">
        <v>2316</v>
      </c>
    </row>
    <row r="76">
      <c r="A76" s="28">
        <f>ROW()-ROW(Table_Phrases[N])</f>
        <v>74</v>
      </c>
      <c r="B76" s="28" t="s">
        <v>2326</v>
      </c>
      <c r="C76" s="28">
        <v>0.0</v>
      </c>
      <c r="D76" s="30" t="s">
        <v>825</v>
      </c>
      <c r="E76" s="62" t="s">
        <v>1596</v>
      </c>
      <c r="F76" s="30" t="s">
        <v>1556</v>
      </c>
      <c r="G76" s="30" t="s">
        <v>1556</v>
      </c>
      <c r="H76" s="29" t="s">
        <v>2332</v>
      </c>
      <c r="I76" s="29" t="s">
        <v>2334</v>
      </c>
    </row>
    <row r="77">
      <c r="A77" s="28">
        <f>ROW()-ROW(Table_Phrases[N])</f>
        <v>75</v>
      </c>
      <c r="B77" s="28" t="s">
        <v>2342</v>
      </c>
      <c r="C77" s="28">
        <v>1.0</v>
      </c>
      <c r="D77" s="30" t="s">
        <v>825</v>
      </c>
      <c r="E77" s="62" t="s">
        <v>1644</v>
      </c>
      <c r="F77" s="30" t="s">
        <v>1596</v>
      </c>
      <c r="G77" s="30" t="s">
        <v>1556</v>
      </c>
      <c r="H77" s="29" t="s">
        <v>2343</v>
      </c>
      <c r="I77" s="29" t="s">
        <v>2344</v>
      </c>
    </row>
    <row r="78">
      <c r="A78" s="28">
        <f>ROW()-ROW(Table_Phrases[N])</f>
        <v>76</v>
      </c>
      <c r="B78" s="28" t="s">
        <v>2347</v>
      </c>
      <c r="C78" s="28">
        <v>0.0</v>
      </c>
      <c r="D78" s="30" t="s">
        <v>825</v>
      </c>
      <c r="E78" s="62" t="s">
        <v>1596</v>
      </c>
      <c r="F78" s="30" t="s">
        <v>1556</v>
      </c>
      <c r="G78" s="30" t="s">
        <v>1556</v>
      </c>
      <c r="H78" s="29" t="s">
        <v>2348</v>
      </c>
      <c r="I78" s="29" t="s">
        <v>2350</v>
      </c>
    </row>
    <row r="79">
      <c r="A79" s="28">
        <f>ROW()-ROW(Table_Phrases[N])</f>
        <v>77</v>
      </c>
      <c r="B79" s="28" t="s">
        <v>1553</v>
      </c>
      <c r="C79" s="28">
        <v>0.0</v>
      </c>
      <c r="D79" s="30" t="s">
        <v>825</v>
      </c>
      <c r="E79" s="62" t="s">
        <v>1596</v>
      </c>
      <c r="F79" s="30" t="s">
        <v>1556</v>
      </c>
      <c r="G79" s="30" t="s">
        <v>1556</v>
      </c>
      <c r="H79" s="29" t="s">
        <v>2354</v>
      </c>
      <c r="I79" s="29" t="s">
        <v>2355</v>
      </c>
    </row>
    <row r="80">
      <c r="A80" s="28">
        <f>ROW()-ROW(Table_Phrases[N])</f>
        <v>78</v>
      </c>
      <c r="B80" s="28" t="s">
        <v>2356</v>
      </c>
      <c r="C80" s="28">
        <v>1.0</v>
      </c>
      <c r="D80" s="30" t="s">
        <v>825</v>
      </c>
      <c r="E80" s="62" t="s">
        <v>1644</v>
      </c>
      <c r="F80" s="30" t="s">
        <v>1596</v>
      </c>
      <c r="G80" s="30" t="s">
        <v>1556</v>
      </c>
      <c r="H80" s="29" t="s">
        <v>2363</v>
      </c>
      <c r="I80" s="29" t="s">
        <v>2365</v>
      </c>
    </row>
    <row r="81">
      <c r="A81" s="28">
        <f>ROW()-ROW(Table_Phrases[N])</f>
        <v>79</v>
      </c>
      <c r="B81" s="28" t="s">
        <v>2370</v>
      </c>
      <c r="C81" s="28">
        <v>1.0</v>
      </c>
      <c r="D81" s="30" t="s">
        <v>825</v>
      </c>
      <c r="E81" s="62" t="s">
        <v>1644</v>
      </c>
      <c r="F81" s="30" t="s">
        <v>1596</v>
      </c>
      <c r="G81" s="30" t="s">
        <v>1556</v>
      </c>
      <c r="H81" s="29" t="s">
        <v>2371</v>
      </c>
      <c r="I81" s="29" t="s">
        <v>2372</v>
      </c>
    </row>
    <row r="82">
      <c r="A82" s="28">
        <f>ROW()-ROW(Table_Phrases[N])</f>
        <v>80</v>
      </c>
      <c r="B82" s="28" t="s">
        <v>2373</v>
      </c>
      <c r="C82" s="28">
        <v>1.0</v>
      </c>
      <c r="D82" s="30" t="s">
        <v>825</v>
      </c>
      <c r="E82" s="62" t="s">
        <v>1644</v>
      </c>
      <c r="F82" s="30" t="s">
        <v>1596</v>
      </c>
      <c r="G82" s="30" t="s">
        <v>1556</v>
      </c>
      <c r="H82" s="29" t="s">
        <v>2374</v>
      </c>
      <c r="I82" s="29" t="s">
        <v>2375</v>
      </c>
    </row>
    <row r="83">
      <c r="A83" s="28">
        <f>ROW()-ROW(Table_Phrases[N])</f>
        <v>81</v>
      </c>
      <c r="B83" s="28" t="s">
        <v>2376</v>
      </c>
      <c r="C83" s="28">
        <v>0.0</v>
      </c>
      <c r="D83" s="30" t="s">
        <v>825</v>
      </c>
      <c r="E83" s="62" t="s">
        <v>1596</v>
      </c>
      <c r="F83" s="30" t="s">
        <v>1556</v>
      </c>
      <c r="G83" s="30" t="s">
        <v>1556</v>
      </c>
      <c r="H83" s="29" t="s">
        <v>2377</v>
      </c>
      <c r="I83" s="29" t="s">
        <v>2379</v>
      </c>
    </row>
    <row r="84">
      <c r="A84" s="28">
        <f>ROW()-ROW(Table_Phrases[N])</f>
        <v>82</v>
      </c>
      <c r="B84" s="28" t="s">
        <v>2384</v>
      </c>
      <c r="C84" s="28">
        <v>0.0</v>
      </c>
      <c r="D84" s="30" t="s">
        <v>825</v>
      </c>
      <c r="E84" s="62" t="s">
        <v>1596</v>
      </c>
      <c r="F84" s="30" t="s">
        <v>1556</v>
      </c>
      <c r="G84" s="30" t="s">
        <v>1556</v>
      </c>
      <c r="H84" s="29" t="s">
        <v>2387</v>
      </c>
      <c r="I84" s="29" t="s">
        <v>2388</v>
      </c>
    </row>
    <row r="85">
      <c r="A85" s="28">
        <f>ROW()-ROW(Table_Phrases[N])</f>
        <v>83</v>
      </c>
      <c r="B85" s="28" t="s">
        <v>2391</v>
      </c>
      <c r="C85" s="28">
        <v>0.0</v>
      </c>
      <c r="D85" s="30" t="s">
        <v>825</v>
      </c>
      <c r="E85" s="62" t="s">
        <v>1596</v>
      </c>
      <c r="F85" s="30" t="s">
        <v>1556</v>
      </c>
      <c r="G85" s="30" t="s">
        <v>1556</v>
      </c>
      <c r="H85" s="29" t="s">
        <v>2393</v>
      </c>
      <c r="I85" s="29" t="s">
        <v>2395</v>
      </c>
    </row>
    <row r="86">
      <c r="A86" s="28">
        <f>ROW()-ROW(Table_Phrases[N])</f>
        <v>84</v>
      </c>
      <c r="B86" s="28" t="s">
        <v>2398</v>
      </c>
      <c r="C86" s="28">
        <v>0.0</v>
      </c>
      <c r="D86" s="30" t="s">
        <v>825</v>
      </c>
      <c r="E86" s="62" t="s">
        <v>1564</v>
      </c>
      <c r="F86" s="30" t="s">
        <v>1556</v>
      </c>
      <c r="G86" s="30" t="s">
        <v>1556</v>
      </c>
      <c r="H86" s="29" t="s">
        <v>2402</v>
      </c>
      <c r="I86" s="29" t="s">
        <v>2403</v>
      </c>
    </row>
    <row r="87">
      <c r="A87" s="28">
        <f>ROW()-ROW(Table_Phrases[N])</f>
        <v>85</v>
      </c>
      <c r="B87" s="28" t="s">
        <v>2410</v>
      </c>
      <c r="C87" s="28">
        <v>0.0</v>
      </c>
      <c r="D87" s="30" t="s">
        <v>825</v>
      </c>
      <c r="E87" s="62" t="s">
        <v>1564</v>
      </c>
      <c r="F87" s="30" t="s">
        <v>1556</v>
      </c>
      <c r="G87" s="30" t="s">
        <v>1556</v>
      </c>
      <c r="H87" s="29" t="s">
        <v>2413</v>
      </c>
      <c r="I87" s="29" t="s">
        <v>2413</v>
      </c>
    </row>
    <row r="88">
      <c r="A88" s="28">
        <f>ROW()-ROW(Table_Phrases[N])</f>
        <v>86</v>
      </c>
      <c r="B88" s="28" t="s">
        <v>2416</v>
      </c>
      <c r="C88" s="28">
        <v>0.0</v>
      </c>
      <c r="D88" s="30" t="s">
        <v>825</v>
      </c>
      <c r="E88" s="62" t="s">
        <v>1596</v>
      </c>
      <c r="F88" s="30" t="s">
        <v>1556</v>
      </c>
      <c r="G88" s="30" t="s">
        <v>1556</v>
      </c>
      <c r="H88" s="29" t="s">
        <v>2419</v>
      </c>
      <c r="I88" s="29" t="s">
        <v>2420</v>
      </c>
    </row>
    <row r="89">
      <c r="A89" s="28">
        <f>ROW()-ROW(Table_Phrases[N])</f>
        <v>87</v>
      </c>
      <c r="B89" s="28" t="s">
        <v>2426</v>
      </c>
      <c r="C89" s="28">
        <v>0.0</v>
      </c>
      <c r="D89" s="30" t="s">
        <v>825</v>
      </c>
      <c r="E89" s="62" t="s">
        <v>1564</v>
      </c>
      <c r="F89" s="30" t="s">
        <v>1556</v>
      </c>
      <c r="G89" s="30" t="s">
        <v>1556</v>
      </c>
      <c r="H89" s="29" t="s">
        <v>2427</v>
      </c>
      <c r="I89" s="29" t="s">
        <v>2428</v>
      </c>
    </row>
    <row r="90">
      <c r="A90" s="28">
        <f>ROW()-ROW(Table_Phrases[N])</f>
        <v>88</v>
      </c>
      <c r="B90" s="28" t="s">
        <v>2433</v>
      </c>
      <c r="C90" s="28">
        <v>0.0</v>
      </c>
      <c r="D90" s="30" t="s">
        <v>825</v>
      </c>
      <c r="E90" s="62" t="s">
        <v>1564</v>
      </c>
      <c r="F90" s="30" t="s">
        <v>1556</v>
      </c>
      <c r="G90" s="30" t="s">
        <v>1556</v>
      </c>
      <c r="H90" s="29" t="s">
        <v>2435</v>
      </c>
      <c r="I90" s="29" t="s">
        <v>2436</v>
      </c>
    </row>
    <row r="91">
      <c r="A91" s="28">
        <f>ROW()-ROW(Table_Phrases[N])</f>
        <v>89</v>
      </c>
      <c r="B91" s="28" t="s">
        <v>2439</v>
      </c>
      <c r="C91" s="28">
        <v>0.0</v>
      </c>
      <c r="D91" s="30" t="s">
        <v>825</v>
      </c>
      <c r="E91" s="62" t="s">
        <v>1564</v>
      </c>
      <c r="F91" s="30" t="s">
        <v>1556</v>
      </c>
      <c r="G91" s="30" t="s">
        <v>1556</v>
      </c>
      <c r="H91" s="29" t="s">
        <v>2444</v>
      </c>
      <c r="I91" s="29" t="s">
        <v>2445</v>
      </c>
    </row>
    <row r="92">
      <c r="A92" s="28">
        <f>ROW()-ROW(Table_Phrases[N])</f>
        <v>90</v>
      </c>
      <c r="B92" s="28" t="s">
        <v>2448</v>
      </c>
      <c r="C92" s="28">
        <v>0.0</v>
      </c>
      <c r="D92" s="30" t="s">
        <v>825</v>
      </c>
      <c r="E92" s="62" t="s">
        <v>1564</v>
      </c>
      <c r="F92" s="30" t="s">
        <v>1556</v>
      </c>
      <c r="G92" s="30" t="s">
        <v>1556</v>
      </c>
      <c r="H92" s="29" t="s">
        <v>2452</v>
      </c>
      <c r="I92" s="29" t="s">
        <v>2453</v>
      </c>
    </row>
    <row r="93">
      <c r="A93" s="28">
        <f>ROW()-ROW(Table_Phrases[N])</f>
        <v>91</v>
      </c>
      <c r="B93" s="28" t="s">
        <v>2457</v>
      </c>
      <c r="C93" s="28">
        <v>0.0</v>
      </c>
      <c r="D93" s="30" t="s">
        <v>825</v>
      </c>
      <c r="E93" s="62" t="s">
        <v>1596</v>
      </c>
      <c r="F93" s="30" t="s">
        <v>1556</v>
      </c>
      <c r="G93" s="30" t="s">
        <v>1556</v>
      </c>
      <c r="H93" s="29" t="s">
        <v>2458</v>
      </c>
      <c r="I93" s="29" t="s">
        <v>2460</v>
      </c>
    </row>
    <row r="94">
      <c r="A94" s="28">
        <f>ROW()-ROW(Table_Phrases[N])</f>
        <v>92</v>
      </c>
      <c r="B94" s="28" t="s">
        <v>2468</v>
      </c>
      <c r="C94" s="28">
        <v>0.0</v>
      </c>
      <c r="D94" s="30" t="s">
        <v>825</v>
      </c>
      <c r="E94" s="62" t="s">
        <v>1596</v>
      </c>
      <c r="F94" s="30" t="s">
        <v>1556</v>
      </c>
      <c r="G94" s="30" t="s">
        <v>1556</v>
      </c>
      <c r="H94" s="29" t="s">
        <v>2470</v>
      </c>
      <c r="I94" s="29" t="s">
        <v>2471</v>
      </c>
    </row>
    <row r="95">
      <c r="A95" s="28">
        <f>ROW()-ROW(Table_Phrases[N])</f>
        <v>93</v>
      </c>
      <c r="B95" s="28" t="s">
        <v>2475</v>
      </c>
      <c r="C95" s="28">
        <v>0.0</v>
      </c>
      <c r="D95" s="30" t="s">
        <v>841</v>
      </c>
      <c r="E95" s="62" t="s">
        <v>1564</v>
      </c>
      <c r="F95" s="30" t="s">
        <v>1556</v>
      </c>
      <c r="G95" s="30" t="s">
        <v>1556</v>
      </c>
      <c r="H95" s="29" t="s">
        <v>2479</v>
      </c>
      <c r="I95" s="29" t="s">
        <v>2481</v>
      </c>
    </row>
    <row r="96">
      <c r="A96" s="28">
        <f>ROW()-ROW(Table_Phrases[N])</f>
        <v>94</v>
      </c>
      <c r="B96" s="28" t="s">
        <v>2485</v>
      </c>
      <c r="C96" s="28">
        <v>0.0</v>
      </c>
      <c r="D96" s="30" t="s">
        <v>825</v>
      </c>
      <c r="E96" s="62" t="s">
        <v>1596</v>
      </c>
      <c r="F96" s="30" t="s">
        <v>1556</v>
      </c>
      <c r="G96" s="30" t="s">
        <v>1556</v>
      </c>
      <c r="H96" s="29" t="s">
        <v>2490</v>
      </c>
      <c r="I96" s="29" t="s">
        <v>2491</v>
      </c>
    </row>
    <row r="97">
      <c r="A97" s="28">
        <f>ROW()-ROW(Table_Phrases[N])</f>
        <v>95</v>
      </c>
      <c r="B97" s="28" t="s">
        <v>2494</v>
      </c>
      <c r="C97" s="28">
        <v>0.0</v>
      </c>
      <c r="D97" s="30" t="s">
        <v>825</v>
      </c>
      <c r="E97" s="62" t="s">
        <v>1596</v>
      </c>
      <c r="F97" s="30" t="s">
        <v>1556</v>
      </c>
      <c r="G97" s="30" t="s">
        <v>1556</v>
      </c>
      <c r="H97" s="29" t="s">
        <v>2498</v>
      </c>
      <c r="I97" s="29" t="s">
        <v>2500</v>
      </c>
    </row>
    <row r="98">
      <c r="A98" s="28">
        <f>ROW()-ROW(Table_Phrases[N])</f>
        <v>96</v>
      </c>
      <c r="B98" s="28" t="s">
        <v>2507</v>
      </c>
      <c r="C98" s="28">
        <v>0.0</v>
      </c>
      <c r="D98" s="30" t="s">
        <v>825</v>
      </c>
      <c r="E98" s="62" t="s">
        <v>1564</v>
      </c>
      <c r="F98" s="30" t="s">
        <v>1556</v>
      </c>
      <c r="G98" s="30" t="s">
        <v>1556</v>
      </c>
      <c r="H98" s="29" t="s">
        <v>2509</v>
      </c>
      <c r="I98" s="29" t="s">
        <v>2510</v>
      </c>
    </row>
    <row r="99">
      <c r="A99" s="28">
        <f>ROW()-ROW(Table_Phrases[N])</f>
        <v>97</v>
      </c>
      <c r="B99" s="28" t="s">
        <v>2516</v>
      </c>
      <c r="C99" s="28">
        <v>0.0</v>
      </c>
      <c r="D99" s="30" t="s">
        <v>825</v>
      </c>
      <c r="E99" s="62" t="s">
        <v>1556</v>
      </c>
      <c r="F99" s="30" t="s">
        <v>1556</v>
      </c>
      <c r="G99" s="30" t="s">
        <v>1556</v>
      </c>
      <c r="H99" s="29" t="s">
        <v>2518</v>
      </c>
      <c r="I99" s="29" t="s">
        <v>2519</v>
      </c>
    </row>
    <row r="100">
      <c r="A100" s="28">
        <f>ROW()-ROW(Table_Phrases[N])</f>
        <v>98</v>
      </c>
      <c r="B100" s="28" t="s">
        <v>2524</v>
      </c>
      <c r="C100" s="28">
        <v>0.0</v>
      </c>
      <c r="D100" s="30" t="s">
        <v>825</v>
      </c>
      <c r="E100" s="62" t="s">
        <v>1596</v>
      </c>
      <c r="F100" s="30" t="s">
        <v>1556</v>
      </c>
      <c r="G100" s="30" t="s">
        <v>1556</v>
      </c>
      <c r="H100" s="29" t="s">
        <v>2529</v>
      </c>
      <c r="I100" s="29" t="s">
        <v>2532</v>
      </c>
    </row>
    <row r="101">
      <c r="A101" s="28">
        <f>ROW()-ROW(Table_Phrases[N])</f>
        <v>99</v>
      </c>
      <c r="B101" s="28" t="s">
        <v>2535</v>
      </c>
      <c r="C101" s="28">
        <v>0.0</v>
      </c>
      <c r="D101" s="30" t="s">
        <v>825</v>
      </c>
      <c r="E101" s="62" t="s">
        <v>1596</v>
      </c>
      <c r="F101" s="30" t="s">
        <v>1556</v>
      </c>
      <c r="G101" s="30" t="s">
        <v>1556</v>
      </c>
      <c r="H101" s="29" t="s">
        <v>2538</v>
      </c>
      <c r="I101" s="29" t="s">
        <v>2539</v>
      </c>
    </row>
    <row r="102">
      <c r="A102" s="28">
        <f>ROW()-ROW(Table_Phrases[N])</f>
        <v>100</v>
      </c>
      <c r="B102" s="28" t="s">
        <v>2543</v>
      </c>
      <c r="C102" s="28">
        <v>0.0</v>
      </c>
      <c r="D102" s="30" t="s">
        <v>825</v>
      </c>
      <c r="E102" s="62" t="s">
        <v>1564</v>
      </c>
      <c r="F102" s="30" t="s">
        <v>1556</v>
      </c>
      <c r="G102" s="30" t="s">
        <v>1556</v>
      </c>
      <c r="H102" s="29" t="s">
        <v>2545</v>
      </c>
      <c r="I102" s="29" t="s">
        <v>2547</v>
      </c>
    </row>
    <row r="103">
      <c r="A103" s="28">
        <f>ROW()-ROW(Table_Phrases[N])</f>
        <v>101</v>
      </c>
      <c r="B103" s="28" t="s">
        <v>2554</v>
      </c>
      <c r="C103" s="28">
        <v>0.0</v>
      </c>
      <c r="D103" s="30" t="s">
        <v>825</v>
      </c>
      <c r="E103" s="62" t="s">
        <v>1596</v>
      </c>
      <c r="F103" s="30" t="s">
        <v>1556</v>
      </c>
      <c r="G103" s="30" t="s">
        <v>1556</v>
      </c>
      <c r="H103" s="29" t="s">
        <v>2556</v>
      </c>
      <c r="I103" s="29" t="s">
        <v>2557</v>
      </c>
    </row>
    <row r="104">
      <c r="A104" s="28">
        <f>ROW()-ROW(Table_Phrases[N])</f>
        <v>102</v>
      </c>
      <c r="B104" s="28" t="s">
        <v>2561</v>
      </c>
      <c r="C104" s="28">
        <v>1.0</v>
      </c>
      <c r="D104" s="30" t="s">
        <v>825</v>
      </c>
      <c r="E104" s="62" t="s">
        <v>1644</v>
      </c>
      <c r="F104" s="30" t="s">
        <v>1596</v>
      </c>
      <c r="G104" s="30" t="s">
        <v>1556</v>
      </c>
      <c r="H104" s="29" t="s">
        <v>2563</v>
      </c>
      <c r="I104" s="29" t="s">
        <v>2564</v>
      </c>
    </row>
    <row r="105">
      <c r="A105" s="28">
        <f>ROW()-ROW(Table_Phrases[N])</f>
        <v>103</v>
      </c>
      <c r="B105" s="28" t="s">
        <v>2569</v>
      </c>
      <c r="C105" s="28">
        <v>0.0</v>
      </c>
      <c r="D105" s="30" t="s">
        <v>825</v>
      </c>
      <c r="E105" s="62" t="s">
        <v>1596</v>
      </c>
      <c r="F105" s="30" t="s">
        <v>1556</v>
      </c>
      <c r="G105" s="30" t="s">
        <v>1556</v>
      </c>
      <c r="H105" s="29" t="s">
        <v>2572</v>
      </c>
      <c r="I105" s="29" t="s">
        <v>2575</v>
      </c>
    </row>
    <row r="106">
      <c r="A106" s="28">
        <f>ROW()-ROW(Table_Phrases[N])</f>
        <v>104</v>
      </c>
      <c r="B106" s="28" t="s">
        <v>2577</v>
      </c>
      <c r="C106" s="28">
        <v>1.0</v>
      </c>
      <c r="D106" s="30" t="s">
        <v>825</v>
      </c>
      <c r="E106" s="62" t="s">
        <v>1644</v>
      </c>
      <c r="F106" s="30" t="s">
        <v>1596</v>
      </c>
      <c r="G106" s="30" t="s">
        <v>1556</v>
      </c>
      <c r="H106" s="29" t="s">
        <v>2580</v>
      </c>
      <c r="I106" s="29" t="s">
        <v>2582</v>
      </c>
    </row>
    <row r="107">
      <c r="A107" s="28">
        <f>ROW()-ROW(Table_Phrases[N])</f>
        <v>105</v>
      </c>
      <c r="B107" s="28" t="s">
        <v>2587</v>
      </c>
      <c r="C107" s="28">
        <v>0.0</v>
      </c>
      <c r="D107" s="30" t="s">
        <v>825</v>
      </c>
      <c r="E107" s="62" t="s">
        <v>1596</v>
      </c>
      <c r="F107" s="30" t="s">
        <v>1556</v>
      </c>
      <c r="G107" s="30" t="s">
        <v>1556</v>
      </c>
      <c r="H107" s="29" t="s">
        <v>2590</v>
      </c>
      <c r="I107" s="29" t="s">
        <v>2591</v>
      </c>
    </row>
    <row r="108">
      <c r="A108" s="28">
        <f>ROW()-ROW(Table_Phrases[N])</f>
        <v>106</v>
      </c>
      <c r="B108" s="28" t="s">
        <v>2595</v>
      </c>
      <c r="C108" s="28">
        <v>1.0</v>
      </c>
      <c r="D108" s="30" t="s">
        <v>825</v>
      </c>
      <c r="E108" s="62" t="s">
        <v>1644</v>
      </c>
      <c r="F108" s="30" t="s">
        <v>1596</v>
      </c>
      <c r="G108" s="30" t="s">
        <v>1556</v>
      </c>
      <c r="H108" s="29" t="s">
        <v>2597</v>
      </c>
      <c r="I108" s="29" t="s">
        <v>2597</v>
      </c>
    </row>
    <row r="109">
      <c r="A109" s="28">
        <f>ROW()-ROW(Table_Phrases[N])</f>
        <v>107</v>
      </c>
      <c r="B109" s="28" t="s">
        <v>2602</v>
      </c>
      <c r="C109" s="28">
        <v>0.0</v>
      </c>
      <c r="D109" s="30" t="s">
        <v>825</v>
      </c>
      <c r="E109" s="62" t="s">
        <v>1596</v>
      </c>
      <c r="F109" s="30" t="s">
        <v>1556</v>
      </c>
      <c r="G109" s="30" t="s">
        <v>1556</v>
      </c>
      <c r="H109" s="29" t="s">
        <v>2605</v>
      </c>
      <c r="I109" s="29" t="s">
        <v>2606</v>
      </c>
    </row>
    <row r="110">
      <c r="A110" s="28">
        <f>ROW()-ROW(Table_Phrases[N])</f>
        <v>108</v>
      </c>
      <c r="B110" s="28" t="s">
        <v>2609</v>
      </c>
      <c r="C110" s="28">
        <v>1.0</v>
      </c>
      <c r="D110" s="30" t="s">
        <v>825</v>
      </c>
      <c r="E110" s="62" t="s">
        <v>1644</v>
      </c>
      <c r="F110" s="30" t="s">
        <v>1596</v>
      </c>
      <c r="G110" s="30" t="s">
        <v>1556</v>
      </c>
      <c r="H110" s="29" t="s">
        <v>2614</v>
      </c>
      <c r="I110" s="29" t="s">
        <v>2616</v>
      </c>
    </row>
    <row r="111">
      <c r="A111" s="28">
        <f>ROW()-ROW(Table_Phrases[N])</f>
        <v>109</v>
      </c>
      <c r="B111" s="28" t="s">
        <v>2618</v>
      </c>
      <c r="C111" s="28">
        <v>0.0</v>
      </c>
      <c r="D111" s="30" t="s">
        <v>825</v>
      </c>
      <c r="E111" s="62" t="s">
        <v>1596</v>
      </c>
      <c r="F111" s="30" t="s">
        <v>1556</v>
      </c>
      <c r="G111" s="30" t="s">
        <v>1556</v>
      </c>
      <c r="H111" s="29" t="s">
        <v>2620</v>
      </c>
      <c r="I111" s="29" t="s">
        <v>2621</v>
      </c>
    </row>
    <row r="112">
      <c r="A112" s="28">
        <f>ROW()-ROW(Table_Phrases[N])</f>
        <v>110</v>
      </c>
      <c r="B112" s="28" t="s">
        <v>2626</v>
      </c>
      <c r="C112" s="28">
        <v>1.0</v>
      </c>
      <c r="D112" s="30" t="s">
        <v>825</v>
      </c>
      <c r="E112" s="62" t="s">
        <v>1644</v>
      </c>
      <c r="F112" s="30" t="s">
        <v>1596</v>
      </c>
      <c r="G112" s="30" t="s">
        <v>1556</v>
      </c>
      <c r="H112" s="29" t="s">
        <v>2628</v>
      </c>
      <c r="I112" s="29" t="s">
        <v>2629</v>
      </c>
    </row>
    <row r="113">
      <c r="A113" s="28">
        <f>ROW()-ROW(Table_Phrases[N])</f>
        <v>111</v>
      </c>
      <c r="B113" s="28" t="s">
        <v>2631</v>
      </c>
      <c r="C113" s="28">
        <v>0.0</v>
      </c>
      <c r="D113" s="30" t="s">
        <v>825</v>
      </c>
      <c r="E113" s="62" t="s">
        <v>1596</v>
      </c>
      <c r="F113" s="30" t="s">
        <v>1556</v>
      </c>
      <c r="G113" s="30" t="s">
        <v>1556</v>
      </c>
      <c r="H113" s="29" t="s">
        <v>2634</v>
      </c>
      <c r="I113" s="29" t="s">
        <v>2635</v>
      </c>
    </row>
    <row r="114">
      <c r="A114" s="28">
        <f>ROW()-ROW(Table_Phrases[N])</f>
        <v>112</v>
      </c>
      <c r="B114" s="28" t="s">
        <v>1598</v>
      </c>
      <c r="C114" s="28">
        <v>0.0</v>
      </c>
      <c r="D114" s="30" t="s">
        <v>825</v>
      </c>
      <c r="E114" s="62" t="s">
        <v>1596</v>
      </c>
      <c r="F114" s="30" t="s">
        <v>1556</v>
      </c>
      <c r="G114" s="30" t="s">
        <v>1556</v>
      </c>
      <c r="H114" s="29" t="s">
        <v>2641</v>
      </c>
      <c r="I114" s="29" t="s">
        <v>2642</v>
      </c>
    </row>
    <row r="115">
      <c r="A115" s="28">
        <f>ROW()-ROW(Table_Phrases[N])</f>
        <v>113</v>
      </c>
      <c r="B115" s="28" t="s">
        <v>2647</v>
      </c>
      <c r="C115" s="28">
        <v>0.0</v>
      </c>
      <c r="D115" s="30" t="s">
        <v>825</v>
      </c>
      <c r="E115" s="62" t="s">
        <v>1596</v>
      </c>
      <c r="F115" s="30" t="s">
        <v>1556</v>
      </c>
      <c r="G115" s="30" t="s">
        <v>1556</v>
      </c>
      <c r="H115" s="29" t="s">
        <v>2650</v>
      </c>
      <c r="I115" s="29" t="s">
        <v>2652</v>
      </c>
    </row>
    <row r="116">
      <c r="A116" s="28">
        <f>ROW()-ROW(Table_Phrases[N])</f>
        <v>114</v>
      </c>
      <c r="B116" s="28" t="s">
        <v>2656</v>
      </c>
      <c r="C116" s="28">
        <v>1.0</v>
      </c>
      <c r="D116" s="30" t="s">
        <v>825</v>
      </c>
      <c r="E116" s="62" t="s">
        <v>1644</v>
      </c>
      <c r="F116" s="30" t="s">
        <v>1596</v>
      </c>
      <c r="G116" s="30" t="s">
        <v>1556</v>
      </c>
      <c r="H116" s="29" t="s">
        <v>2659</v>
      </c>
      <c r="I116" s="29" t="s">
        <v>2660</v>
      </c>
    </row>
    <row r="117">
      <c r="A117" s="28">
        <f>ROW()-ROW(Table_Phrases[N])</f>
        <v>115</v>
      </c>
      <c r="B117" s="28" t="s">
        <v>2662</v>
      </c>
      <c r="C117" s="28">
        <v>0.0</v>
      </c>
      <c r="D117" s="30" t="s">
        <v>825</v>
      </c>
      <c r="E117" s="62" t="s">
        <v>1564</v>
      </c>
      <c r="F117" s="30" t="s">
        <v>1556</v>
      </c>
      <c r="G117" s="30" t="s">
        <v>1556</v>
      </c>
      <c r="H117" s="29" t="s">
        <v>2663</v>
      </c>
      <c r="I117" s="29" t="s">
        <v>2664</v>
      </c>
    </row>
    <row r="118">
      <c r="A118" s="28">
        <f>ROW()-ROW(Table_Phrases[N])</f>
        <v>116</v>
      </c>
      <c r="B118" s="28" t="s">
        <v>2665</v>
      </c>
      <c r="C118" s="28">
        <v>0.0</v>
      </c>
      <c r="D118" s="30" t="s">
        <v>837</v>
      </c>
      <c r="E118" s="62" t="s">
        <v>1564</v>
      </c>
      <c r="F118" s="30" t="s">
        <v>1556</v>
      </c>
      <c r="G118" s="30" t="s">
        <v>1556</v>
      </c>
      <c r="H118" s="29" t="s">
        <v>2668</v>
      </c>
      <c r="I118" s="29" t="s">
        <v>2669</v>
      </c>
    </row>
    <row r="119">
      <c r="A119" s="28">
        <f>ROW()-ROW(Table_Phrases[N])</f>
        <v>117</v>
      </c>
      <c r="B119" s="28" t="s">
        <v>2670</v>
      </c>
      <c r="C119" s="28">
        <v>0.0</v>
      </c>
      <c r="D119" s="30" t="s">
        <v>825</v>
      </c>
      <c r="E119" s="62" t="s">
        <v>1564</v>
      </c>
      <c r="F119" s="30" t="s">
        <v>1556</v>
      </c>
      <c r="G119" s="30" t="s">
        <v>1556</v>
      </c>
      <c r="H119" s="29" t="s">
        <v>2671</v>
      </c>
      <c r="I119" s="29" t="s">
        <v>2672</v>
      </c>
    </row>
    <row r="120">
      <c r="A120" s="28">
        <f>ROW()-ROW(Table_Phrases[N])</f>
        <v>118</v>
      </c>
      <c r="B120" s="28" t="s">
        <v>2673</v>
      </c>
      <c r="C120" s="28">
        <v>0.0</v>
      </c>
      <c r="D120" s="30" t="s">
        <v>825</v>
      </c>
      <c r="E120" s="62" t="s">
        <v>1564</v>
      </c>
      <c r="F120" s="30" t="s">
        <v>1556</v>
      </c>
      <c r="G120" s="30" t="s">
        <v>1556</v>
      </c>
      <c r="H120" s="29" t="s">
        <v>2674</v>
      </c>
      <c r="I120" s="29" t="s">
        <v>2675</v>
      </c>
    </row>
    <row r="121">
      <c r="A121" s="28">
        <f>ROW()-ROW(Table_Phrases[N])</f>
        <v>119</v>
      </c>
      <c r="B121" s="28" t="s">
        <v>1618</v>
      </c>
      <c r="C121" s="28">
        <v>0.0</v>
      </c>
      <c r="D121" s="30" t="s">
        <v>825</v>
      </c>
      <c r="E121" s="62" t="s">
        <v>1596</v>
      </c>
      <c r="F121" s="30" t="s">
        <v>1556</v>
      </c>
      <c r="G121" s="30" t="s">
        <v>1556</v>
      </c>
      <c r="H121" s="29" t="s">
        <v>2676</v>
      </c>
      <c r="I121" s="29" t="s">
        <v>2677</v>
      </c>
    </row>
    <row r="122">
      <c r="A122" s="28">
        <f>ROW()-ROW(Table_Phrases[N])</f>
        <v>120</v>
      </c>
      <c r="B122" s="28" t="s">
        <v>1632</v>
      </c>
      <c r="C122" s="28">
        <v>0.0</v>
      </c>
      <c r="D122" s="30" t="s">
        <v>825</v>
      </c>
      <c r="E122" s="62" t="s">
        <v>1596</v>
      </c>
      <c r="F122" s="30" t="s">
        <v>1556</v>
      </c>
      <c r="G122" s="30" t="s">
        <v>1556</v>
      </c>
      <c r="H122" s="29" t="s">
        <v>2678</v>
      </c>
      <c r="I122" s="29" t="s">
        <v>2679</v>
      </c>
    </row>
    <row r="123">
      <c r="A123" s="28">
        <f>ROW()-ROW(Table_Phrases[N])</f>
        <v>121</v>
      </c>
      <c r="B123" s="28" t="s">
        <v>2681</v>
      </c>
      <c r="C123" s="28">
        <v>0.0</v>
      </c>
      <c r="D123" s="30" t="s">
        <v>825</v>
      </c>
      <c r="E123" s="62" t="s">
        <v>1596</v>
      </c>
      <c r="F123" s="30" t="s">
        <v>1556</v>
      </c>
      <c r="G123" s="30" t="s">
        <v>1556</v>
      </c>
      <c r="H123" s="29" t="s">
        <v>2683</v>
      </c>
      <c r="I123" s="29" t="s">
        <v>2684</v>
      </c>
    </row>
    <row r="124">
      <c r="A124" s="28">
        <f>ROW()-ROW(Table_Phrases[N])</f>
        <v>122</v>
      </c>
      <c r="B124" s="28" t="s">
        <v>2685</v>
      </c>
      <c r="C124" s="28">
        <v>0.0</v>
      </c>
      <c r="D124" s="30" t="s">
        <v>825</v>
      </c>
      <c r="E124" s="62" t="s">
        <v>1596</v>
      </c>
      <c r="F124" s="30" t="s">
        <v>1556</v>
      </c>
      <c r="G124" s="30" t="s">
        <v>1556</v>
      </c>
      <c r="H124" s="29" t="s">
        <v>2686</v>
      </c>
      <c r="I124" s="29" t="s">
        <v>2687</v>
      </c>
    </row>
    <row r="125">
      <c r="A125" s="28">
        <f>ROW()-ROW(Table_Phrases[N])</f>
        <v>123</v>
      </c>
      <c r="B125" s="28" t="s">
        <v>2688</v>
      </c>
      <c r="C125" s="28">
        <v>0.0</v>
      </c>
      <c r="D125" s="30" t="s">
        <v>825</v>
      </c>
      <c r="E125" s="62" t="s">
        <v>1596</v>
      </c>
      <c r="F125" s="30" t="s">
        <v>1556</v>
      </c>
      <c r="G125" s="30" t="s">
        <v>1556</v>
      </c>
      <c r="H125" s="29" t="s">
        <v>2690</v>
      </c>
      <c r="I125" s="29" t="s">
        <v>2691</v>
      </c>
    </row>
    <row r="126">
      <c r="A126" s="28">
        <f>ROW()-ROW(Table_Phrases[N])</f>
        <v>124</v>
      </c>
      <c r="B126" s="28" t="s">
        <v>2696</v>
      </c>
      <c r="C126" s="28">
        <v>0.0</v>
      </c>
      <c r="D126" s="30" t="s">
        <v>825</v>
      </c>
      <c r="E126" s="62" t="s">
        <v>1596</v>
      </c>
      <c r="F126" s="30" t="s">
        <v>1556</v>
      </c>
      <c r="G126" s="30" t="s">
        <v>1556</v>
      </c>
      <c r="H126" s="29" t="s">
        <v>2697</v>
      </c>
      <c r="I126" s="29" t="s">
        <v>2698</v>
      </c>
    </row>
    <row r="127">
      <c r="A127" s="28">
        <f>ROW()-ROW(Table_Phrases[N])</f>
        <v>125</v>
      </c>
      <c r="B127" s="28" t="s">
        <v>2702</v>
      </c>
      <c r="C127" s="28">
        <v>0.0</v>
      </c>
      <c r="D127" s="30" t="s">
        <v>886</v>
      </c>
      <c r="E127" s="62" t="s">
        <v>1596</v>
      </c>
      <c r="F127" s="30" t="s">
        <v>1644</v>
      </c>
      <c r="G127" s="30" t="s">
        <v>1556</v>
      </c>
      <c r="H127" s="29" t="s">
        <v>2704</v>
      </c>
      <c r="I127" s="29" t="s">
        <v>2704</v>
      </c>
    </row>
    <row r="128">
      <c r="A128" s="28">
        <f>ROW()-ROW(Table_Phrases[N])</f>
        <v>126</v>
      </c>
      <c r="B128" s="28" t="s">
        <v>2710</v>
      </c>
      <c r="C128" s="28">
        <v>1.0</v>
      </c>
      <c r="D128" s="30" t="s">
        <v>890</v>
      </c>
      <c r="E128" s="62" t="s">
        <v>1644</v>
      </c>
      <c r="F128" s="30" t="s">
        <v>1596</v>
      </c>
      <c r="G128" s="30" t="s">
        <v>1556</v>
      </c>
      <c r="H128" s="29" t="s">
        <v>2713</v>
      </c>
      <c r="I128" s="29" t="s">
        <v>2713</v>
      </c>
    </row>
    <row r="129">
      <c r="A129" s="28">
        <f>ROW()-ROW(Table_Phrases[N])</f>
        <v>127</v>
      </c>
      <c r="B129" s="28" t="s">
        <v>2716</v>
      </c>
      <c r="C129" s="28">
        <v>0.0</v>
      </c>
      <c r="D129" s="30" t="s">
        <v>893</v>
      </c>
      <c r="E129" s="62" t="s">
        <v>1596</v>
      </c>
      <c r="F129" s="30" t="s">
        <v>1644</v>
      </c>
      <c r="G129" s="30" t="s">
        <v>1556</v>
      </c>
      <c r="H129" s="29" t="s">
        <v>2717</v>
      </c>
      <c r="I129" s="29" t="s">
        <v>2717</v>
      </c>
    </row>
    <row r="130">
      <c r="A130" s="28">
        <f>ROW()-ROW(Table_Phrases[N])</f>
        <v>128</v>
      </c>
      <c r="B130" s="28" t="s">
        <v>2720</v>
      </c>
      <c r="C130" s="28">
        <v>1.0</v>
      </c>
      <c r="D130" s="30" t="s">
        <v>896</v>
      </c>
      <c r="E130" s="62" t="s">
        <v>1644</v>
      </c>
      <c r="F130" s="30" t="s">
        <v>1596</v>
      </c>
      <c r="G130" s="30" t="s">
        <v>1556</v>
      </c>
      <c r="H130" s="29" t="s">
        <v>2721</v>
      </c>
      <c r="I130" s="29" t="s">
        <v>2721</v>
      </c>
    </row>
    <row r="131">
      <c r="A131" s="28">
        <f>ROW()-ROW(Table_Phrases[N])</f>
        <v>129</v>
      </c>
      <c r="B131" s="28" t="s">
        <v>2722</v>
      </c>
      <c r="C131" s="28">
        <v>0.0</v>
      </c>
      <c r="D131" s="30" t="s">
        <v>903</v>
      </c>
      <c r="E131" s="62" t="s">
        <v>1596</v>
      </c>
      <c r="F131" s="30" t="s">
        <v>1644</v>
      </c>
      <c r="G131" s="30" t="s">
        <v>1556</v>
      </c>
      <c r="H131" s="29" t="s">
        <v>2724</v>
      </c>
      <c r="I131" s="29" t="s">
        <v>2724</v>
      </c>
    </row>
    <row r="132">
      <c r="A132" s="28">
        <f>ROW()-ROW(Table_Phrases[N])</f>
        <v>130</v>
      </c>
      <c r="B132" s="28" t="s">
        <v>2727</v>
      </c>
      <c r="C132" s="28">
        <v>1.0</v>
      </c>
      <c r="D132" s="30" t="s">
        <v>908</v>
      </c>
      <c r="E132" s="62" t="s">
        <v>2525</v>
      </c>
      <c r="F132" s="30" t="s">
        <v>1596</v>
      </c>
      <c r="G132" s="30" t="s">
        <v>1556</v>
      </c>
      <c r="H132" s="29" t="s">
        <v>2729</v>
      </c>
      <c r="I132" s="29" t="s">
        <v>2729</v>
      </c>
    </row>
    <row r="133">
      <c r="A133" s="28">
        <f>ROW()-ROW(Table_Phrases[N])</f>
        <v>131</v>
      </c>
      <c r="B133" s="28" t="s">
        <v>2733</v>
      </c>
      <c r="C133" s="28">
        <v>0.0</v>
      </c>
      <c r="D133" s="30" t="s">
        <v>913</v>
      </c>
      <c r="E133" s="62" t="s">
        <v>1596</v>
      </c>
      <c r="F133" s="30" t="s">
        <v>1644</v>
      </c>
      <c r="G133" s="30" t="s">
        <v>1556</v>
      </c>
      <c r="H133" s="29" t="s">
        <v>2735</v>
      </c>
      <c r="I133" s="29" t="s">
        <v>2735</v>
      </c>
    </row>
    <row r="134">
      <c r="A134" s="28">
        <f>ROW()-ROW(Table_Phrases[N])</f>
        <v>132</v>
      </c>
      <c r="B134" s="28" t="s">
        <v>2736</v>
      </c>
      <c r="C134" s="28">
        <v>1.0</v>
      </c>
      <c r="D134" s="30" t="s">
        <v>918</v>
      </c>
      <c r="E134" s="62" t="s">
        <v>1644</v>
      </c>
      <c r="F134" s="30" t="s">
        <v>1596</v>
      </c>
      <c r="G134" s="30" t="s">
        <v>1556</v>
      </c>
      <c r="H134" s="29" t="s">
        <v>2737</v>
      </c>
      <c r="I134" s="29" t="s">
        <v>2737</v>
      </c>
    </row>
    <row r="135">
      <c r="A135" s="28">
        <f>ROW()-ROW(Table_Phrases[N])</f>
        <v>133</v>
      </c>
      <c r="B135" s="28" t="s">
        <v>2742</v>
      </c>
      <c r="C135" s="28">
        <v>0.0</v>
      </c>
      <c r="D135" s="30" t="s">
        <v>825</v>
      </c>
      <c r="E135" s="62" t="s">
        <v>2522</v>
      </c>
      <c r="F135" s="30" t="s">
        <v>1644</v>
      </c>
      <c r="G135" s="30" t="s">
        <v>1556</v>
      </c>
      <c r="H135" s="29" t="s">
        <v>2747</v>
      </c>
      <c r="I135" s="29" t="s">
        <v>2747</v>
      </c>
    </row>
    <row r="136">
      <c r="A136" s="28">
        <f>ROW()-ROW(Table_Phrases[N])</f>
        <v>134</v>
      </c>
      <c r="B136" s="28" t="s">
        <v>1692</v>
      </c>
      <c r="C136" s="28">
        <v>0.0</v>
      </c>
      <c r="D136" s="30" t="s">
        <v>922</v>
      </c>
      <c r="E136" s="62" t="s">
        <v>1596</v>
      </c>
      <c r="F136" s="30" t="s">
        <v>1644</v>
      </c>
      <c r="G136" s="30" t="s">
        <v>1556</v>
      </c>
      <c r="H136" s="29" t="s">
        <v>2752</v>
      </c>
      <c r="I136" s="29" t="s">
        <v>2753</v>
      </c>
    </row>
    <row r="137">
      <c r="A137" s="28">
        <f>ROW()-ROW(Table_Phrases[N])</f>
        <v>135</v>
      </c>
      <c r="B137" s="28" t="s">
        <v>2754</v>
      </c>
      <c r="C137" s="28">
        <v>1.0</v>
      </c>
      <c r="D137" s="30" t="s">
        <v>878</v>
      </c>
      <c r="E137" s="62" t="s">
        <v>1644</v>
      </c>
      <c r="F137" s="30" t="s">
        <v>1596</v>
      </c>
      <c r="G137" s="30" t="s">
        <v>1556</v>
      </c>
      <c r="H137" s="29" t="s">
        <v>2756</v>
      </c>
      <c r="I137" s="29" t="s">
        <v>2756</v>
      </c>
    </row>
    <row r="138">
      <c r="A138" s="28">
        <f>ROW()-ROW(Table_Phrases[N])</f>
        <v>136</v>
      </c>
      <c r="B138" s="28" t="s">
        <v>2758</v>
      </c>
      <c r="C138" s="28">
        <v>1.0</v>
      </c>
      <c r="D138" s="30" t="s">
        <v>880</v>
      </c>
      <c r="E138" s="62" t="s">
        <v>1644</v>
      </c>
      <c r="F138" s="30" t="s">
        <v>1596</v>
      </c>
      <c r="G138" s="30" t="s">
        <v>1556</v>
      </c>
      <c r="H138" s="29" t="s">
        <v>2759</v>
      </c>
      <c r="I138" s="29" t="s">
        <v>2759</v>
      </c>
    </row>
    <row r="139">
      <c r="A139" s="28">
        <f>ROW()-ROW(Table_Phrases[N])</f>
        <v>137</v>
      </c>
      <c r="B139" s="28" t="s">
        <v>2760</v>
      </c>
      <c r="C139" s="28">
        <v>0.0</v>
      </c>
      <c r="D139" s="30" t="s">
        <v>929</v>
      </c>
      <c r="E139" s="62" t="s">
        <v>2530</v>
      </c>
      <c r="F139" s="30" t="s">
        <v>1644</v>
      </c>
      <c r="G139" s="30" t="s">
        <v>1556</v>
      </c>
      <c r="H139" s="29" t="s">
        <v>2761</v>
      </c>
      <c r="I139" s="29" t="s">
        <v>2761</v>
      </c>
    </row>
    <row r="140">
      <c r="A140" s="28">
        <f>ROW()-ROW(Table_Phrases[N])</f>
        <v>138</v>
      </c>
      <c r="B140" s="28" t="s">
        <v>2763</v>
      </c>
      <c r="C140" s="28">
        <v>1.0</v>
      </c>
      <c r="D140" s="30" t="s">
        <v>936</v>
      </c>
      <c r="E140" s="62" t="s">
        <v>2525</v>
      </c>
      <c r="F140" s="30" t="s">
        <v>1596</v>
      </c>
      <c r="G140" s="30" t="s">
        <v>1556</v>
      </c>
      <c r="H140" s="29" t="s">
        <v>2769</v>
      </c>
      <c r="I140" s="29" t="s">
        <v>2769</v>
      </c>
    </row>
    <row r="141">
      <c r="A141" s="28">
        <f>ROW()-ROW(Table_Phrases[N])</f>
        <v>139</v>
      </c>
      <c r="B141" s="28" t="s">
        <v>2775</v>
      </c>
      <c r="C141" s="28">
        <v>0.0</v>
      </c>
      <c r="D141" s="30" t="s">
        <v>940</v>
      </c>
      <c r="E141" s="62" t="s">
        <v>2530</v>
      </c>
      <c r="F141" s="30" t="s">
        <v>1644</v>
      </c>
      <c r="G141" s="30" t="s">
        <v>1556</v>
      </c>
      <c r="H141" s="29" t="s">
        <v>2777</v>
      </c>
      <c r="I141" s="29" t="s">
        <v>2777</v>
      </c>
    </row>
    <row r="142">
      <c r="A142" s="28">
        <f>ROW()-ROW(Table_Phrases[N])</f>
        <v>140</v>
      </c>
      <c r="B142" s="28" t="s">
        <v>2780</v>
      </c>
      <c r="C142" s="28">
        <v>1.0</v>
      </c>
      <c r="D142" s="30" t="s">
        <v>944</v>
      </c>
      <c r="E142" s="62" t="s">
        <v>2522</v>
      </c>
      <c r="F142" s="30" t="s">
        <v>1596</v>
      </c>
      <c r="G142" s="30" t="s">
        <v>1556</v>
      </c>
      <c r="H142" s="29" t="s">
        <v>2781</v>
      </c>
      <c r="I142" s="29" t="s">
        <v>2781</v>
      </c>
    </row>
    <row r="143">
      <c r="A143" s="28">
        <f>ROW()-ROW(Table_Phrases[N])</f>
        <v>141</v>
      </c>
      <c r="B143" s="28" t="s">
        <v>2784</v>
      </c>
      <c r="C143" s="28">
        <v>0.0</v>
      </c>
      <c r="D143" s="30" t="s">
        <v>949</v>
      </c>
      <c r="E143" s="62" t="s">
        <v>2530</v>
      </c>
      <c r="F143" s="30" t="s">
        <v>1644</v>
      </c>
      <c r="G143" s="30" t="s">
        <v>1556</v>
      </c>
      <c r="H143" s="29" t="s">
        <v>2788</v>
      </c>
      <c r="I143" s="29" t="s">
        <v>2788</v>
      </c>
    </row>
    <row r="144">
      <c r="A144" s="28">
        <f>ROW()-ROW(Table_Phrases[N])</f>
        <v>142</v>
      </c>
      <c r="B144" s="28" t="s">
        <v>2789</v>
      </c>
      <c r="C144" s="28">
        <v>1.0</v>
      </c>
      <c r="D144" s="30" t="s">
        <v>954</v>
      </c>
      <c r="E144" s="62" t="s">
        <v>2522</v>
      </c>
      <c r="F144" s="30" t="s">
        <v>1596</v>
      </c>
      <c r="G144" s="30" t="s">
        <v>1556</v>
      </c>
      <c r="H144" s="29" t="s">
        <v>2791</v>
      </c>
      <c r="I144" s="29" t="s">
        <v>2791</v>
      </c>
    </row>
    <row r="145">
      <c r="A145" s="28">
        <f>ROW()-ROW(Table_Phrases[N])</f>
        <v>143</v>
      </c>
      <c r="B145" s="28" t="s">
        <v>2793</v>
      </c>
      <c r="C145" s="28">
        <v>0.0</v>
      </c>
      <c r="D145" s="30" t="s">
        <v>957</v>
      </c>
      <c r="E145" s="62" t="s">
        <v>1596</v>
      </c>
      <c r="F145" s="30" t="s">
        <v>1644</v>
      </c>
      <c r="G145" s="30" t="s">
        <v>1556</v>
      </c>
      <c r="H145" s="29" t="s">
        <v>2794</v>
      </c>
      <c r="I145" s="29" t="s">
        <v>2794</v>
      </c>
    </row>
    <row r="146">
      <c r="A146" s="28">
        <f>ROW()-ROW(Table_Phrases[N])</f>
        <v>144</v>
      </c>
      <c r="B146" s="28" t="s">
        <v>2796</v>
      </c>
      <c r="C146" s="28">
        <v>1.0</v>
      </c>
      <c r="D146" s="30" t="s">
        <v>963</v>
      </c>
      <c r="E146" s="62" t="s">
        <v>1644</v>
      </c>
      <c r="F146" s="30" t="s">
        <v>1596</v>
      </c>
      <c r="G146" s="30" t="s">
        <v>1556</v>
      </c>
      <c r="H146" s="29" t="s">
        <v>2798</v>
      </c>
      <c r="I146" s="29" t="s">
        <v>2798</v>
      </c>
    </row>
    <row r="147">
      <c r="A147" s="28">
        <f>ROW()-ROW(Table_Phrases[N])</f>
        <v>145</v>
      </c>
      <c r="B147" s="28" t="s">
        <v>1758</v>
      </c>
      <c r="C147" s="28">
        <v>1.0</v>
      </c>
      <c r="D147" s="30" t="s">
        <v>967</v>
      </c>
      <c r="E147" s="62" t="s">
        <v>1644</v>
      </c>
      <c r="F147" s="30" t="s">
        <v>1596</v>
      </c>
      <c r="G147" s="30" t="s">
        <v>1556</v>
      </c>
      <c r="H147" s="29" t="s">
        <v>2801</v>
      </c>
      <c r="I147" s="29" t="s">
        <v>2801</v>
      </c>
    </row>
    <row r="148">
      <c r="A148" s="28">
        <f>ROW()-ROW(Table_Phrases[N])</f>
        <v>146</v>
      </c>
      <c r="B148" s="28" t="s">
        <v>2803</v>
      </c>
      <c r="C148" s="28">
        <v>1.0</v>
      </c>
      <c r="D148" s="30" t="s">
        <v>1045</v>
      </c>
      <c r="E148" s="62" t="s">
        <v>1644</v>
      </c>
      <c r="F148" s="30" t="s">
        <v>1596</v>
      </c>
      <c r="G148" s="30" t="s">
        <v>1556</v>
      </c>
      <c r="H148" s="29" t="s">
        <v>2805</v>
      </c>
      <c r="I148" s="29" t="s">
        <v>2805</v>
      </c>
    </row>
    <row r="149">
      <c r="A149" s="28">
        <f>ROW()-ROW(Table_Phrases[N])</f>
        <v>147</v>
      </c>
      <c r="B149" s="28" t="s">
        <v>2806</v>
      </c>
      <c r="C149" s="28">
        <v>0.0</v>
      </c>
      <c r="D149" s="30" t="s">
        <v>1051</v>
      </c>
      <c r="E149" s="62" t="s">
        <v>1596</v>
      </c>
      <c r="F149" s="30" t="s">
        <v>1644</v>
      </c>
      <c r="G149" s="30" t="s">
        <v>1556</v>
      </c>
      <c r="H149" s="29" t="s">
        <v>2807</v>
      </c>
      <c r="I149" s="29" t="s">
        <v>2807</v>
      </c>
    </row>
    <row r="150">
      <c r="A150" s="28">
        <f>ROW()-ROW(Table_Phrases[N])</f>
        <v>148</v>
      </c>
      <c r="B150" s="28" t="s">
        <v>2808</v>
      </c>
      <c r="C150" s="28">
        <v>1.0</v>
      </c>
      <c r="D150" s="30" t="s">
        <v>1056</v>
      </c>
      <c r="E150" s="62" t="s">
        <v>1644</v>
      </c>
      <c r="F150" s="30" t="s">
        <v>1596</v>
      </c>
      <c r="G150" s="30" t="s">
        <v>1556</v>
      </c>
      <c r="H150" s="29" t="s">
        <v>2809</v>
      </c>
      <c r="I150" s="29" t="s">
        <v>2809</v>
      </c>
    </row>
    <row r="151">
      <c r="A151" s="28">
        <f>ROW()-ROW(Table_Phrases[N])</f>
        <v>149</v>
      </c>
      <c r="B151" s="28" t="s">
        <v>2810</v>
      </c>
      <c r="C151" s="28">
        <v>0.0</v>
      </c>
      <c r="D151" s="30" t="s">
        <v>1063</v>
      </c>
      <c r="E151" s="62" t="s">
        <v>1596</v>
      </c>
      <c r="F151" s="30" t="s">
        <v>2520</v>
      </c>
      <c r="G151" s="30" t="s">
        <v>1556</v>
      </c>
      <c r="H151" s="29" t="s">
        <v>2811</v>
      </c>
      <c r="I151" s="29" t="s">
        <v>2811</v>
      </c>
    </row>
    <row r="152">
      <c r="A152" s="28">
        <f>ROW()-ROW(Table_Phrases[N])</f>
        <v>150</v>
      </c>
      <c r="B152" s="28" t="s">
        <v>2812</v>
      </c>
      <c r="C152" s="28">
        <v>0.0</v>
      </c>
      <c r="D152" s="30" t="s">
        <v>1077</v>
      </c>
      <c r="E152" s="62" t="s">
        <v>1596</v>
      </c>
      <c r="F152" s="30" t="s">
        <v>1644</v>
      </c>
      <c r="G152" s="30" t="s">
        <v>1556</v>
      </c>
      <c r="H152" s="29" t="s">
        <v>2813</v>
      </c>
      <c r="I152" s="29" t="s">
        <v>2813</v>
      </c>
    </row>
    <row r="153">
      <c r="A153" s="28">
        <f>ROW()-ROW(Table_Phrases[N])</f>
        <v>151</v>
      </c>
      <c r="B153" s="28" t="s">
        <v>2815</v>
      </c>
      <c r="C153" s="28">
        <v>1.0</v>
      </c>
      <c r="D153" s="30" t="s">
        <v>1083</v>
      </c>
      <c r="E153" s="62" t="s">
        <v>1644</v>
      </c>
      <c r="F153" s="30" t="s">
        <v>1596</v>
      </c>
      <c r="G153" s="30" t="s">
        <v>1556</v>
      </c>
      <c r="H153" s="29" t="s">
        <v>2816</v>
      </c>
      <c r="I153" s="29" t="s">
        <v>2816</v>
      </c>
    </row>
    <row r="154">
      <c r="A154" s="28">
        <f>ROW()-ROW(Table_Phrases[N])</f>
        <v>152</v>
      </c>
      <c r="B154" s="28" t="s">
        <v>2817</v>
      </c>
      <c r="C154" s="28">
        <v>0.0</v>
      </c>
      <c r="D154" s="30" t="s">
        <v>1090</v>
      </c>
      <c r="E154" s="62" t="s">
        <v>1596</v>
      </c>
      <c r="F154" s="30" t="s">
        <v>2520</v>
      </c>
      <c r="G154" s="30" t="s">
        <v>1556</v>
      </c>
      <c r="H154" s="29" t="s">
        <v>2818</v>
      </c>
      <c r="I154" s="29" t="s">
        <v>2818</v>
      </c>
    </row>
    <row r="155">
      <c r="A155" s="28">
        <f>ROW()-ROW(Table_Phrases[N])</f>
        <v>153</v>
      </c>
      <c r="B155" s="28" t="s">
        <v>2819</v>
      </c>
      <c r="C155" s="28">
        <v>0.0</v>
      </c>
      <c r="D155" s="30" t="s">
        <v>1099</v>
      </c>
      <c r="E155" s="62" t="s">
        <v>1596</v>
      </c>
      <c r="F155" s="30" t="s">
        <v>1644</v>
      </c>
      <c r="G155" s="30" t="s">
        <v>1556</v>
      </c>
      <c r="H155" s="29" t="s">
        <v>2820</v>
      </c>
      <c r="I155" s="29" t="s">
        <v>2820</v>
      </c>
    </row>
    <row r="156">
      <c r="A156" s="28">
        <f>ROW()-ROW(Table_Phrases[N])</f>
        <v>154</v>
      </c>
      <c r="B156" s="28" t="s">
        <v>2821</v>
      </c>
      <c r="C156" s="28">
        <v>1.0</v>
      </c>
      <c r="D156" s="30" t="s">
        <v>1106</v>
      </c>
      <c r="E156" s="62" t="s">
        <v>1644</v>
      </c>
      <c r="F156" s="30" t="s">
        <v>2520</v>
      </c>
      <c r="G156" s="30" t="s">
        <v>1556</v>
      </c>
      <c r="H156" s="29" t="s">
        <v>2822</v>
      </c>
      <c r="I156" s="29" t="s">
        <v>2822</v>
      </c>
    </row>
    <row r="157">
      <c r="A157" s="28">
        <f>ROW()-ROW(Table_Phrases[N])</f>
        <v>155</v>
      </c>
      <c r="B157" s="28" t="s">
        <v>2823</v>
      </c>
      <c r="C157" s="28">
        <v>0.0</v>
      </c>
      <c r="D157" s="30" t="s">
        <v>825</v>
      </c>
      <c r="E157" s="62" t="s">
        <v>2522</v>
      </c>
      <c r="F157" s="30" t="s">
        <v>2522</v>
      </c>
      <c r="G157" s="30" t="s">
        <v>1556</v>
      </c>
      <c r="H157" s="29" t="s">
        <v>2747</v>
      </c>
      <c r="I157" s="29" t="s">
        <v>2747</v>
      </c>
    </row>
    <row r="158">
      <c r="A158" s="28">
        <f>ROW()-ROW(Table_Phrases[N])</f>
        <v>156</v>
      </c>
      <c r="B158" s="28" t="s">
        <v>2824</v>
      </c>
      <c r="C158" s="28">
        <v>0.0</v>
      </c>
      <c r="D158" s="30" t="s">
        <v>1110</v>
      </c>
      <c r="E158" s="62" t="s">
        <v>1596</v>
      </c>
      <c r="F158" s="30" t="s">
        <v>1556</v>
      </c>
      <c r="G158" s="30" t="s">
        <v>1556</v>
      </c>
      <c r="H158" s="29" t="s">
        <v>2825</v>
      </c>
      <c r="I158" s="29" t="s">
        <v>2825</v>
      </c>
    </row>
    <row r="159">
      <c r="A159" s="28">
        <f>ROW()-ROW(Table_Phrases[N])</f>
        <v>157</v>
      </c>
      <c r="B159" s="28" t="s">
        <v>2826</v>
      </c>
      <c r="C159" s="28">
        <v>0.0</v>
      </c>
      <c r="D159" s="30" t="s">
        <v>1115</v>
      </c>
      <c r="E159" s="62" t="s">
        <v>1564</v>
      </c>
      <c r="F159" s="30" t="s">
        <v>1556</v>
      </c>
      <c r="G159" s="30" t="s">
        <v>1556</v>
      </c>
      <c r="H159" s="29" t="s">
        <v>2827</v>
      </c>
      <c r="I159" s="29" t="s">
        <v>2827</v>
      </c>
    </row>
    <row r="160">
      <c r="A160" s="28">
        <f>ROW()-ROW(Table_Phrases[N])</f>
        <v>158</v>
      </c>
      <c r="B160" s="28" t="s">
        <v>2828</v>
      </c>
      <c r="C160" s="28">
        <v>0.0</v>
      </c>
      <c r="D160" s="30" t="s">
        <v>1122</v>
      </c>
      <c r="E160" s="62" t="s">
        <v>1596</v>
      </c>
      <c r="F160" s="30" t="s">
        <v>1644</v>
      </c>
      <c r="G160" s="30" t="s">
        <v>1556</v>
      </c>
      <c r="H160" s="29" t="s">
        <v>2829</v>
      </c>
      <c r="I160" s="29" t="s">
        <v>2829</v>
      </c>
    </row>
    <row r="161">
      <c r="A161" s="28">
        <f>ROW()-ROW(Table_Phrases[N])</f>
        <v>159</v>
      </c>
      <c r="B161" s="28" t="s">
        <v>2831</v>
      </c>
      <c r="C161" s="28">
        <v>1.0</v>
      </c>
      <c r="D161" s="30" t="s">
        <v>1128</v>
      </c>
      <c r="E161" s="62" t="s">
        <v>1644</v>
      </c>
      <c r="F161" s="30" t="s">
        <v>1596</v>
      </c>
      <c r="G161" s="30" t="s">
        <v>1556</v>
      </c>
      <c r="H161" s="29" t="s">
        <v>2832</v>
      </c>
      <c r="I161" s="29" t="s">
        <v>2832</v>
      </c>
    </row>
    <row r="162">
      <c r="A162" s="28">
        <f>ROW()-ROW(Table_Phrases[N])</f>
        <v>160</v>
      </c>
      <c r="B162" s="28" t="s">
        <v>2833</v>
      </c>
      <c r="C162" s="28">
        <v>0.0</v>
      </c>
      <c r="D162" s="30" t="s">
        <v>1132</v>
      </c>
      <c r="E162" s="62" t="s">
        <v>1596</v>
      </c>
      <c r="F162" s="30" t="s">
        <v>1644</v>
      </c>
      <c r="G162" s="30" t="s">
        <v>1556</v>
      </c>
      <c r="H162" s="29" t="s">
        <v>2834</v>
      </c>
      <c r="I162" s="29" t="s">
        <v>2834</v>
      </c>
    </row>
    <row r="163">
      <c r="A163" s="28">
        <f>ROW()-ROW(Table_Phrases[N])</f>
        <v>161</v>
      </c>
      <c r="B163" s="28" t="s">
        <v>2835</v>
      </c>
      <c r="C163" s="28">
        <v>1.0</v>
      </c>
      <c r="D163" s="30" t="s">
        <v>1139</v>
      </c>
      <c r="E163" s="62" t="s">
        <v>1644</v>
      </c>
      <c r="F163" s="30" t="s">
        <v>1596</v>
      </c>
      <c r="G163" s="30" t="s">
        <v>1556</v>
      </c>
      <c r="H163" s="29" t="s">
        <v>2836</v>
      </c>
      <c r="I163" s="29" t="s">
        <v>2836</v>
      </c>
    </row>
    <row r="164">
      <c r="A164" s="28">
        <f>ROW()-ROW(Table_Phrases[N])</f>
        <v>162</v>
      </c>
      <c r="B164" s="28" t="s">
        <v>2837</v>
      </c>
      <c r="C164" s="28">
        <v>0.0</v>
      </c>
      <c r="D164" s="30" t="s">
        <v>1144</v>
      </c>
      <c r="E164" s="62" t="s">
        <v>1596</v>
      </c>
      <c r="F164" s="30" t="s">
        <v>1644</v>
      </c>
      <c r="G164" s="30" t="s">
        <v>1556</v>
      </c>
      <c r="H164" s="29" t="s">
        <v>2838</v>
      </c>
      <c r="I164" s="29" t="s">
        <v>2838</v>
      </c>
    </row>
    <row r="165">
      <c r="A165" s="28">
        <f>ROW()-ROW(Table_Phrases[N])</f>
        <v>163</v>
      </c>
      <c r="B165" s="28" t="s">
        <v>2839</v>
      </c>
      <c r="C165" s="28">
        <v>1.0</v>
      </c>
      <c r="D165" s="30" t="s">
        <v>1149</v>
      </c>
      <c r="E165" s="62" t="s">
        <v>1644</v>
      </c>
      <c r="F165" s="30" t="s">
        <v>1596</v>
      </c>
      <c r="G165" s="30" t="s">
        <v>1556</v>
      </c>
      <c r="H165" s="29" t="s">
        <v>2840</v>
      </c>
      <c r="I165" s="29" t="s">
        <v>2840</v>
      </c>
    </row>
    <row r="166">
      <c r="A166" s="28">
        <f>ROW()-ROW(Table_Phrases[N])</f>
        <v>164</v>
      </c>
      <c r="B166" s="28" t="s">
        <v>2842</v>
      </c>
      <c r="C166" s="28">
        <v>0.0</v>
      </c>
      <c r="D166" s="30" t="s">
        <v>1158</v>
      </c>
      <c r="E166" s="62" t="s">
        <v>1596</v>
      </c>
      <c r="F166" s="30" t="s">
        <v>1644</v>
      </c>
      <c r="G166" s="30" t="s">
        <v>1556</v>
      </c>
      <c r="H166" s="29" t="s">
        <v>2843</v>
      </c>
      <c r="I166" s="29" t="s">
        <v>2843</v>
      </c>
    </row>
    <row r="167">
      <c r="A167" s="28">
        <f>ROW()-ROW(Table_Phrases[N])</f>
        <v>165</v>
      </c>
      <c r="B167" s="28" t="s">
        <v>2844</v>
      </c>
      <c r="C167" s="28">
        <v>1.0</v>
      </c>
      <c r="D167" s="30" t="s">
        <v>1167</v>
      </c>
      <c r="E167" s="62" t="s">
        <v>1644</v>
      </c>
      <c r="F167" s="30" t="s">
        <v>1596</v>
      </c>
      <c r="G167" s="30" t="s">
        <v>1556</v>
      </c>
      <c r="H167" s="29" t="s">
        <v>2845</v>
      </c>
      <c r="I167" s="29" t="s">
        <v>2845</v>
      </c>
    </row>
    <row r="168">
      <c r="A168" s="28">
        <f>ROW()-ROW(Table_Phrases[N])</f>
        <v>166</v>
      </c>
      <c r="B168" s="28" t="s">
        <v>2846</v>
      </c>
      <c r="C168" s="28">
        <v>0.0</v>
      </c>
      <c r="D168" s="30" t="s">
        <v>1174</v>
      </c>
      <c r="E168" s="62" t="s">
        <v>1596</v>
      </c>
      <c r="F168" s="30" t="s">
        <v>1644</v>
      </c>
      <c r="G168" s="30" t="s">
        <v>1556</v>
      </c>
      <c r="H168" s="29" t="s">
        <v>2848</v>
      </c>
      <c r="I168" s="29" t="s">
        <v>2848</v>
      </c>
    </row>
    <row r="169">
      <c r="A169" s="28">
        <f>ROW()-ROW(Table_Phrases[N])</f>
        <v>167</v>
      </c>
      <c r="B169" s="28" t="s">
        <v>2849</v>
      </c>
      <c r="C169" s="28">
        <v>0.0</v>
      </c>
      <c r="D169" s="30" t="s">
        <v>1180</v>
      </c>
      <c r="E169" s="62" t="s">
        <v>1596</v>
      </c>
      <c r="F169" s="30" t="s">
        <v>1644</v>
      </c>
      <c r="G169" s="30" t="s">
        <v>1556</v>
      </c>
      <c r="H169" s="29" t="s">
        <v>2850</v>
      </c>
      <c r="I169" s="29" t="s">
        <v>2850</v>
      </c>
    </row>
    <row r="170">
      <c r="A170" s="28">
        <f>ROW()-ROW(Table_Phrases[N])</f>
        <v>168</v>
      </c>
      <c r="B170" s="28" t="s">
        <v>2851</v>
      </c>
      <c r="C170" s="28">
        <v>1.0</v>
      </c>
      <c r="D170" s="30" t="s">
        <v>1189</v>
      </c>
      <c r="E170" s="62" t="s">
        <v>1644</v>
      </c>
      <c r="F170" s="30" t="s">
        <v>1596</v>
      </c>
      <c r="G170" s="30" t="s">
        <v>1556</v>
      </c>
      <c r="H170" s="29" t="s">
        <v>2852</v>
      </c>
      <c r="I170" s="29" t="s">
        <v>2852</v>
      </c>
    </row>
    <row r="171">
      <c r="A171" s="28">
        <f>ROW()-ROW(Table_Phrases[N])</f>
        <v>169</v>
      </c>
      <c r="B171" s="28" t="s">
        <v>2854</v>
      </c>
      <c r="C171" s="28">
        <v>1.0</v>
      </c>
      <c r="D171" s="30" t="s">
        <v>1195</v>
      </c>
      <c r="E171" s="62" t="s">
        <v>1644</v>
      </c>
      <c r="F171" s="30" t="s">
        <v>1596</v>
      </c>
      <c r="G171" s="30" t="s">
        <v>1556</v>
      </c>
      <c r="H171" s="29" t="s">
        <v>2855</v>
      </c>
      <c r="I171" s="29" t="s">
        <v>2855</v>
      </c>
    </row>
    <row r="172">
      <c r="A172" s="28">
        <f>ROW()-ROW(Table_Phrases[N])</f>
        <v>170</v>
      </c>
      <c r="B172" s="28" t="s">
        <v>2856</v>
      </c>
      <c r="C172" s="28">
        <v>0.0</v>
      </c>
      <c r="D172" s="30" t="s">
        <v>1203</v>
      </c>
      <c r="E172" s="62" t="s">
        <v>1596</v>
      </c>
      <c r="F172" s="30" t="s">
        <v>1644</v>
      </c>
      <c r="G172" s="30" t="s">
        <v>1556</v>
      </c>
      <c r="H172" s="29" t="s">
        <v>2857</v>
      </c>
      <c r="I172" s="29" t="s">
        <v>2857</v>
      </c>
    </row>
    <row r="173">
      <c r="A173" s="28">
        <f>ROW()-ROW(Table_Phrases[N])</f>
        <v>171</v>
      </c>
      <c r="B173" s="28" t="s">
        <v>2858</v>
      </c>
      <c r="C173" s="28">
        <v>1.0</v>
      </c>
      <c r="D173" s="30" t="s">
        <v>1210</v>
      </c>
      <c r="E173" s="62" t="s">
        <v>1644</v>
      </c>
      <c r="F173" s="30" t="s">
        <v>1596</v>
      </c>
      <c r="G173" s="30" t="s">
        <v>1556</v>
      </c>
      <c r="H173" s="29" t="s">
        <v>2859</v>
      </c>
      <c r="I173" s="29" t="s">
        <v>2859</v>
      </c>
    </row>
    <row r="174">
      <c r="A174" s="28">
        <f>ROW()-ROW(Table_Phrases[N])</f>
        <v>172</v>
      </c>
      <c r="B174" s="28" t="s">
        <v>2860</v>
      </c>
      <c r="C174" s="28">
        <v>0.0</v>
      </c>
      <c r="D174" s="30" t="s">
        <v>1216</v>
      </c>
      <c r="E174" s="62" t="s">
        <v>1596</v>
      </c>
      <c r="F174" s="30" t="s">
        <v>1644</v>
      </c>
      <c r="G174" s="30" t="s">
        <v>1556</v>
      </c>
      <c r="H174" s="29" t="s">
        <v>2861</v>
      </c>
      <c r="I174" s="29" t="s">
        <v>2861</v>
      </c>
    </row>
    <row r="175">
      <c r="A175" s="28">
        <f>ROW()-ROW(Table_Phrases[N])</f>
        <v>173</v>
      </c>
      <c r="B175" s="28" t="s">
        <v>2862</v>
      </c>
      <c r="C175" s="28">
        <v>1.0</v>
      </c>
      <c r="D175" s="30" t="s">
        <v>1221</v>
      </c>
      <c r="E175" s="62" t="s">
        <v>1644</v>
      </c>
      <c r="F175" s="30" t="s">
        <v>1596</v>
      </c>
      <c r="G175" s="30" t="s">
        <v>1556</v>
      </c>
      <c r="H175" s="29" t="s">
        <v>2863</v>
      </c>
      <c r="I175" s="29" t="s">
        <v>2863</v>
      </c>
    </row>
    <row r="176">
      <c r="A176" s="28">
        <f>ROW()-ROW(Table_Phrases[N])</f>
        <v>174</v>
      </c>
      <c r="B176" s="28" t="s">
        <v>2865</v>
      </c>
      <c r="C176" s="28">
        <v>0.0</v>
      </c>
      <c r="D176" s="30" t="s">
        <v>1227</v>
      </c>
      <c r="E176" s="62" t="s">
        <v>1596</v>
      </c>
      <c r="F176" s="30" t="s">
        <v>1644</v>
      </c>
      <c r="G176" s="30" t="s">
        <v>1556</v>
      </c>
      <c r="H176" s="29" t="s">
        <v>2866</v>
      </c>
      <c r="I176" s="29" t="s">
        <v>2866</v>
      </c>
    </row>
    <row r="177">
      <c r="A177" s="28">
        <f>ROW()-ROW(Table_Phrases[N])</f>
        <v>175</v>
      </c>
      <c r="B177" s="28" t="s">
        <v>1852</v>
      </c>
      <c r="C177" s="28">
        <v>1.0</v>
      </c>
      <c r="D177" s="30" t="s">
        <v>1119</v>
      </c>
      <c r="E177" s="62" t="s">
        <v>1644</v>
      </c>
      <c r="F177" s="30" t="s">
        <v>1596</v>
      </c>
      <c r="G177" s="30" t="s">
        <v>1556</v>
      </c>
      <c r="H177" s="29" t="s">
        <v>2867</v>
      </c>
      <c r="I177" s="29" t="s">
        <v>2867</v>
      </c>
    </row>
    <row r="178">
      <c r="A178" s="28">
        <f>ROW()-ROW(Table_Phrases[N])</f>
        <v>176</v>
      </c>
      <c r="B178" s="28" t="s">
        <v>2868</v>
      </c>
      <c r="C178" s="28">
        <v>0.0</v>
      </c>
      <c r="D178" s="30" t="s">
        <v>1286</v>
      </c>
      <c r="E178" s="62" t="s">
        <v>1556</v>
      </c>
      <c r="F178" s="30" t="s">
        <v>1556</v>
      </c>
      <c r="G178" s="30" t="s">
        <v>1556</v>
      </c>
      <c r="H178" s="29" t="s">
        <v>2869</v>
      </c>
      <c r="I178" s="29" t="s">
        <v>2869</v>
      </c>
    </row>
    <row r="179">
      <c r="A179" s="28">
        <f>ROW()-ROW(Table_Phrases[N])</f>
        <v>177</v>
      </c>
      <c r="B179" s="28" t="s">
        <v>2870</v>
      </c>
      <c r="C179" s="28">
        <v>0.0</v>
      </c>
      <c r="D179" s="30" t="s">
        <v>1295</v>
      </c>
      <c r="E179" s="62" t="s">
        <v>1556</v>
      </c>
      <c r="F179" s="30" t="s">
        <v>1556</v>
      </c>
      <c r="G179" s="30" t="s">
        <v>1556</v>
      </c>
      <c r="H179" s="29" t="s">
        <v>2871</v>
      </c>
      <c r="I179" s="29" t="s">
        <v>2871</v>
      </c>
    </row>
    <row r="180">
      <c r="A180" s="28">
        <f>ROW()-ROW(Table_Phrases[N])</f>
        <v>178</v>
      </c>
      <c r="B180" s="28" t="s">
        <v>2873</v>
      </c>
      <c r="C180" s="28">
        <v>0.0</v>
      </c>
      <c r="D180" s="30" t="s">
        <v>1299</v>
      </c>
      <c r="E180" s="62" t="s">
        <v>1556</v>
      </c>
      <c r="F180" s="30" t="s">
        <v>1556</v>
      </c>
      <c r="G180" s="30" t="s">
        <v>1556</v>
      </c>
      <c r="H180" s="29" t="s">
        <v>2874</v>
      </c>
      <c r="I180" s="29" t="s">
        <v>2874</v>
      </c>
    </row>
    <row r="181">
      <c r="A181" s="28">
        <f>ROW()-ROW(Table_Phrases[N])</f>
        <v>179</v>
      </c>
      <c r="B181" s="28" t="s">
        <v>2875</v>
      </c>
      <c r="C181" s="28">
        <v>0.0</v>
      </c>
      <c r="D181" s="30" t="s">
        <v>1303</v>
      </c>
      <c r="E181" s="62" t="s">
        <v>1556</v>
      </c>
      <c r="F181" s="30" t="s">
        <v>1556</v>
      </c>
      <c r="G181" s="30" t="s">
        <v>1556</v>
      </c>
      <c r="H181" s="29" t="s">
        <v>2876</v>
      </c>
      <c r="I181" s="29" t="s">
        <v>2876</v>
      </c>
    </row>
    <row r="182">
      <c r="A182" s="28">
        <f>ROW()-ROW(Table_Phrases[N])</f>
        <v>180</v>
      </c>
      <c r="B182" s="28" t="s">
        <v>2877</v>
      </c>
      <c r="C182" s="28">
        <v>0.0</v>
      </c>
      <c r="D182" s="30" t="s">
        <v>1309</v>
      </c>
      <c r="E182" s="62" t="s">
        <v>1556</v>
      </c>
      <c r="F182" s="30" t="s">
        <v>1556</v>
      </c>
      <c r="G182" s="30" t="s">
        <v>1556</v>
      </c>
      <c r="H182" s="29" t="s">
        <v>2878</v>
      </c>
      <c r="I182" s="29" t="s">
        <v>2878</v>
      </c>
    </row>
    <row r="183">
      <c r="A183" s="28">
        <f>ROW()-ROW(Table_Phrases[N])</f>
        <v>181</v>
      </c>
      <c r="B183" s="28" t="s">
        <v>2879</v>
      </c>
      <c r="C183" s="28">
        <v>0.0</v>
      </c>
      <c r="D183" s="30" t="s">
        <v>1313</v>
      </c>
      <c r="E183" s="62" t="s">
        <v>1556</v>
      </c>
      <c r="F183" s="30" t="s">
        <v>1556</v>
      </c>
      <c r="G183" s="30" t="s">
        <v>1556</v>
      </c>
      <c r="H183" s="29" t="s">
        <v>2881</v>
      </c>
      <c r="I183" s="29" t="s">
        <v>2881</v>
      </c>
    </row>
    <row r="184">
      <c r="A184" s="28">
        <f>ROW()-ROW(Table_Phrases[N])</f>
        <v>182</v>
      </c>
      <c r="B184" s="28" t="s">
        <v>2882</v>
      </c>
      <c r="C184" s="28">
        <v>0.0</v>
      </c>
      <c r="D184" s="30" t="s">
        <v>1329</v>
      </c>
      <c r="E184" s="62" t="s">
        <v>1556</v>
      </c>
      <c r="F184" s="30" t="s">
        <v>1556</v>
      </c>
      <c r="G184" s="30" t="s">
        <v>1556</v>
      </c>
      <c r="H184" s="29" t="s">
        <v>2883</v>
      </c>
      <c r="I184" s="29" t="s">
        <v>2883</v>
      </c>
    </row>
    <row r="185">
      <c r="A185" s="28">
        <f>ROW()-ROW(Table_Phrases[N])</f>
        <v>183</v>
      </c>
      <c r="B185" s="28" t="s">
        <v>2884</v>
      </c>
      <c r="C185" s="28">
        <v>0.0</v>
      </c>
      <c r="D185" s="30" t="s">
        <v>1256</v>
      </c>
      <c r="E185" s="62" t="s">
        <v>1556</v>
      </c>
      <c r="F185" s="30" t="s">
        <v>1556</v>
      </c>
      <c r="G185" s="30" t="s">
        <v>1556</v>
      </c>
      <c r="H185" s="29" t="s">
        <v>2885</v>
      </c>
      <c r="I185" s="29" t="s">
        <v>2885</v>
      </c>
    </row>
    <row r="186">
      <c r="A186" s="28">
        <f>ROW()-ROW(Table_Phrases[N])</f>
        <v>184</v>
      </c>
      <c r="B186" s="28" t="s">
        <v>2886</v>
      </c>
      <c r="C186" s="28">
        <v>0.0</v>
      </c>
      <c r="D186" s="30" t="s">
        <v>1263</v>
      </c>
      <c r="E186" s="62" t="s">
        <v>1556</v>
      </c>
      <c r="F186" s="30" t="s">
        <v>1556</v>
      </c>
      <c r="G186" s="30" t="s">
        <v>1556</v>
      </c>
      <c r="H186" s="29" t="s">
        <v>2887</v>
      </c>
      <c r="I186" s="29" t="s">
        <v>2887</v>
      </c>
    </row>
    <row r="187">
      <c r="A187" s="28">
        <f>ROW()-ROW(Table_Phrases[N])</f>
        <v>185</v>
      </c>
      <c r="B187" s="28" t="s">
        <v>2888</v>
      </c>
      <c r="C187" s="28">
        <v>0.0</v>
      </c>
      <c r="D187" s="30" t="s">
        <v>1270</v>
      </c>
      <c r="E187" s="62" t="s">
        <v>1556</v>
      </c>
      <c r="F187" s="30" t="s">
        <v>1556</v>
      </c>
      <c r="G187" s="30" t="s">
        <v>1556</v>
      </c>
      <c r="H187" s="29" t="s">
        <v>2889</v>
      </c>
      <c r="I187" s="29" t="s">
        <v>2889</v>
      </c>
    </row>
    <row r="188">
      <c r="A188" s="28">
        <f>ROW()-ROW(Table_Phrases[N])</f>
        <v>186</v>
      </c>
      <c r="B188" s="28" t="s">
        <v>2890</v>
      </c>
      <c r="C188" s="28">
        <v>0.0</v>
      </c>
      <c r="D188" s="30" t="s">
        <v>1276</v>
      </c>
      <c r="E188" s="62" t="s">
        <v>1556</v>
      </c>
      <c r="F188" s="30" t="s">
        <v>1556</v>
      </c>
      <c r="G188" s="30" t="s">
        <v>1556</v>
      </c>
      <c r="H188" s="29" t="s">
        <v>2891</v>
      </c>
      <c r="I188" s="29" t="s">
        <v>2891</v>
      </c>
    </row>
    <row r="189">
      <c r="A189" s="28">
        <f>ROW()-ROW(Table_Phrases[N])</f>
        <v>187</v>
      </c>
      <c r="B189" s="28" t="s">
        <v>2892</v>
      </c>
      <c r="C189" s="28">
        <v>0.0</v>
      </c>
      <c r="D189" s="30" t="s">
        <v>1281</v>
      </c>
      <c r="E189" s="62" t="s">
        <v>1556</v>
      </c>
      <c r="F189" s="30" t="s">
        <v>1556</v>
      </c>
      <c r="G189" s="30" t="s">
        <v>1556</v>
      </c>
      <c r="H189" s="29" t="s">
        <v>2893</v>
      </c>
      <c r="I189" s="29" t="s">
        <v>2893</v>
      </c>
    </row>
    <row r="190">
      <c r="A190" s="28">
        <f>ROW()-ROW(Table_Phrases[N])</f>
        <v>188</v>
      </c>
      <c r="B190" s="28" t="s">
        <v>2895</v>
      </c>
      <c r="C190" s="28">
        <v>0.0</v>
      </c>
      <c r="D190" s="30" t="s">
        <v>1323</v>
      </c>
      <c r="E190" s="62" t="s">
        <v>1556</v>
      </c>
      <c r="F190" s="30" t="s">
        <v>1556</v>
      </c>
      <c r="G190" s="30" t="s">
        <v>1556</v>
      </c>
      <c r="H190" s="29" t="s">
        <v>2896</v>
      </c>
      <c r="I190" s="29" t="s">
        <v>2896</v>
      </c>
    </row>
    <row r="191">
      <c r="A191" s="28">
        <f>ROW()-ROW(Table_Phrases[N])</f>
        <v>189</v>
      </c>
      <c r="B191" s="28" t="s">
        <v>2897</v>
      </c>
      <c r="C191" s="28">
        <v>0.0</v>
      </c>
      <c r="D191" s="30" t="s">
        <v>1333</v>
      </c>
      <c r="E191" s="62" t="s">
        <v>1596</v>
      </c>
      <c r="F191" s="30" t="s">
        <v>1644</v>
      </c>
      <c r="G191" s="30" t="s">
        <v>1556</v>
      </c>
      <c r="H191" s="29" t="s">
        <v>2898</v>
      </c>
      <c r="I191" s="29" t="s">
        <v>2898</v>
      </c>
    </row>
    <row r="192">
      <c r="A192" s="28">
        <f>ROW()-ROW(Table_Phrases[N])</f>
        <v>190</v>
      </c>
      <c r="B192" s="28" t="s">
        <v>2899</v>
      </c>
      <c r="C192" s="28">
        <v>1.0</v>
      </c>
      <c r="D192" s="30" t="s">
        <v>1339</v>
      </c>
      <c r="E192" s="30" t="s">
        <v>2565</v>
      </c>
      <c r="F192" s="30" t="s">
        <v>1596</v>
      </c>
      <c r="G192" s="30" t="s">
        <v>1556</v>
      </c>
      <c r="H192" s="29" t="s">
        <v>2900</v>
      </c>
      <c r="I192" s="29" t="s">
        <v>2900</v>
      </c>
    </row>
    <row r="193">
      <c r="A193" s="28">
        <f>ROW()-ROW(Table_Phrases[N])</f>
        <v>191</v>
      </c>
      <c r="B193" s="28" t="s">
        <v>2901</v>
      </c>
      <c r="C193" s="28">
        <v>0.0</v>
      </c>
      <c r="D193" s="30" t="s">
        <v>1347</v>
      </c>
      <c r="E193" s="62" t="s">
        <v>1596</v>
      </c>
      <c r="F193" s="30" t="s">
        <v>1644</v>
      </c>
      <c r="G193" s="30" t="s">
        <v>1556</v>
      </c>
      <c r="H193" s="29" t="s">
        <v>2902</v>
      </c>
      <c r="I193" s="29" t="s">
        <v>2902</v>
      </c>
    </row>
    <row r="194">
      <c r="A194" s="28">
        <f>ROW()-ROW(Table_Phrases[N])</f>
        <v>192</v>
      </c>
      <c r="B194" s="28" t="s">
        <v>2903</v>
      </c>
      <c r="C194" s="28">
        <v>1.0</v>
      </c>
      <c r="D194" s="30" t="s">
        <v>1352</v>
      </c>
      <c r="E194" s="30" t="s">
        <v>2565</v>
      </c>
      <c r="F194" s="30" t="s">
        <v>1596</v>
      </c>
      <c r="G194" s="30" t="s">
        <v>1556</v>
      </c>
      <c r="H194" s="29" t="s">
        <v>2904</v>
      </c>
      <c r="I194" s="29" t="s">
        <v>2904</v>
      </c>
    </row>
    <row r="195">
      <c r="A195" s="28">
        <f>ROW()-ROW(Table_Phrases[N])</f>
        <v>193</v>
      </c>
      <c r="B195" s="28" t="s">
        <v>2905</v>
      </c>
      <c r="C195" s="28">
        <v>0.0</v>
      </c>
      <c r="D195" s="30" t="s">
        <v>1357</v>
      </c>
      <c r="E195" s="62" t="s">
        <v>1596</v>
      </c>
      <c r="F195" s="30" t="s">
        <v>1644</v>
      </c>
      <c r="G195" s="30" t="s">
        <v>1556</v>
      </c>
      <c r="H195" s="29" t="s">
        <v>2906</v>
      </c>
      <c r="I195" s="29" t="s">
        <v>2906</v>
      </c>
    </row>
    <row r="196">
      <c r="A196" s="28">
        <f>ROW()-ROW(Table_Phrases[N])</f>
        <v>194</v>
      </c>
      <c r="B196" s="28" t="s">
        <v>2907</v>
      </c>
      <c r="C196" s="28">
        <v>0.0</v>
      </c>
      <c r="D196" s="30" t="s">
        <v>1361</v>
      </c>
      <c r="E196" s="62" t="s">
        <v>1596</v>
      </c>
      <c r="F196" s="30" t="s">
        <v>1644</v>
      </c>
      <c r="G196" s="30" t="s">
        <v>1556</v>
      </c>
      <c r="H196" s="29" t="s">
        <v>2908</v>
      </c>
      <c r="I196" s="29" t="s">
        <v>2908</v>
      </c>
    </row>
    <row r="197">
      <c r="A197" s="28">
        <f>ROW()-ROW(Table_Phrases[N])</f>
        <v>195</v>
      </c>
      <c r="B197" s="28" t="s">
        <v>2909</v>
      </c>
      <c r="C197" s="28">
        <v>1.0</v>
      </c>
      <c r="D197" s="30" t="s">
        <v>1366</v>
      </c>
      <c r="E197" s="30" t="s">
        <v>2565</v>
      </c>
      <c r="F197" s="30" t="s">
        <v>1596</v>
      </c>
      <c r="G197" s="30" t="s">
        <v>1556</v>
      </c>
      <c r="H197" s="29" t="s">
        <v>2910</v>
      </c>
      <c r="I197" s="29" t="s">
        <v>2910</v>
      </c>
    </row>
    <row r="198">
      <c r="A198" s="28">
        <f>ROW()-ROW(Table_Phrases[N])</f>
        <v>196</v>
      </c>
      <c r="B198" s="28" t="s">
        <v>2911</v>
      </c>
      <c r="C198" s="28">
        <v>0.0</v>
      </c>
      <c r="D198" s="30" t="s">
        <v>1371</v>
      </c>
      <c r="E198" s="62" t="s">
        <v>1596</v>
      </c>
      <c r="F198" s="30" t="s">
        <v>1644</v>
      </c>
      <c r="G198" s="30" t="s">
        <v>1556</v>
      </c>
      <c r="H198" s="29" t="s">
        <v>2912</v>
      </c>
      <c r="I198" s="29" t="s">
        <v>2912</v>
      </c>
    </row>
    <row r="199">
      <c r="A199" s="28">
        <f>ROW()-ROW(Table_Phrases[N])</f>
        <v>197</v>
      </c>
      <c r="B199" s="28" t="s">
        <v>2913</v>
      </c>
      <c r="C199" s="28">
        <v>1.0</v>
      </c>
      <c r="D199" s="30" t="s">
        <v>1376</v>
      </c>
      <c r="E199" s="30" t="s">
        <v>2565</v>
      </c>
      <c r="F199" s="30" t="s">
        <v>1596</v>
      </c>
      <c r="G199" s="30" t="s">
        <v>1556</v>
      </c>
      <c r="H199" s="29" t="s">
        <v>2914</v>
      </c>
      <c r="I199" s="29" t="s">
        <v>2914</v>
      </c>
    </row>
    <row r="200">
      <c r="A200" s="28">
        <f>ROW()-ROW(Table_Phrases[N])</f>
        <v>198</v>
      </c>
      <c r="B200" s="28" t="s">
        <v>2915</v>
      </c>
      <c r="C200" s="28">
        <v>0.0</v>
      </c>
      <c r="D200" s="30" t="s">
        <v>1380</v>
      </c>
      <c r="E200" s="62" t="s">
        <v>1596</v>
      </c>
      <c r="F200" s="30" t="s">
        <v>1644</v>
      </c>
      <c r="G200" s="30" t="s">
        <v>1556</v>
      </c>
      <c r="H200" s="29" t="s">
        <v>2916</v>
      </c>
      <c r="I200" s="29" t="s">
        <v>2916</v>
      </c>
    </row>
    <row r="201">
      <c r="A201" s="28">
        <f>ROW()-ROW(Table_Phrases[N])</f>
        <v>199</v>
      </c>
      <c r="B201" s="28" t="s">
        <v>2917</v>
      </c>
      <c r="C201" s="28">
        <v>1.0</v>
      </c>
      <c r="D201" s="30" t="s">
        <v>1383</v>
      </c>
      <c r="E201" s="30" t="s">
        <v>2565</v>
      </c>
      <c r="F201" s="30" t="s">
        <v>1596</v>
      </c>
      <c r="G201" s="30" t="s">
        <v>1556</v>
      </c>
      <c r="H201" s="29" t="s">
        <v>2918</v>
      </c>
      <c r="I201" s="29" t="s">
        <v>2918</v>
      </c>
    </row>
    <row r="202">
      <c r="A202" s="28">
        <f>ROW()-ROW(Table_Phrases[N])</f>
        <v>200</v>
      </c>
      <c r="B202" s="28" t="s">
        <v>2919</v>
      </c>
      <c r="C202" s="28">
        <v>0.0</v>
      </c>
      <c r="D202" s="30" t="s">
        <v>1387</v>
      </c>
      <c r="E202" s="62" t="s">
        <v>1596</v>
      </c>
      <c r="F202" s="30" t="s">
        <v>1644</v>
      </c>
      <c r="G202" s="30" t="s">
        <v>1556</v>
      </c>
      <c r="H202" s="29" t="s">
        <v>2920</v>
      </c>
      <c r="I202" s="29" t="s">
        <v>2920</v>
      </c>
    </row>
    <row r="203">
      <c r="A203" s="28">
        <f>ROW()-ROW(Table_Phrases[N])</f>
        <v>201</v>
      </c>
      <c r="B203" s="28" t="s">
        <v>2921</v>
      </c>
      <c r="C203" s="28">
        <v>1.0</v>
      </c>
      <c r="D203" s="30" t="s">
        <v>1391</v>
      </c>
      <c r="E203" s="30" t="s">
        <v>2565</v>
      </c>
      <c r="F203" s="30" t="s">
        <v>1596</v>
      </c>
      <c r="G203" s="30" t="s">
        <v>1556</v>
      </c>
      <c r="H203" s="29" t="s">
        <v>2922</v>
      </c>
      <c r="I203" s="29" t="s">
        <v>2922</v>
      </c>
    </row>
    <row r="204">
      <c r="A204" s="28">
        <f>ROW()-ROW(Table_Phrases[N])</f>
        <v>202</v>
      </c>
      <c r="B204" s="28" t="s">
        <v>2923</v>
      </c>
      <c r="C204" s="28">
        <v>0.0</v>
      </c>
      <c r="D204" s="30" t="s">
        <v>1396</v>
      </c>
      <c r="E204" s="62" t="s">
        <v>1596</v>
      </c>
      <c r="F204" s="30" t="s">
        <v>1644</v>
      </c>
      <c r="G204" s="30" t="s">
        <v>1556</v>
      </c>
      <c r="H204" s="29" t="s">
        <v>2924</v>
      </c>
      <c r="I204" s="29" t="s">
        <v>2924</v>
      </c>
    </row>
    <row r="205">
      <c r="A205" s="28">
        <f>ROW()-ROW(Table_Phrases[N])</f>
        <v>203</v>
      </c>
      <c r="B205" s="28" t="s">
        <v>2925</v>
      </c>
      <c r="C205" s="28">
        <v>1.0</v>
      </c>
      <c r="D205" s="30" t="s">
        <v>1402</v>
      </c>
      <c r="E205" s="30" t="s">
        <v>2565</v>
      </c>
      <c r="F205" s="30" t="s">
        <v>1596</v>
      </c>
      <c r="G205" s="30" t="s">
        <v>1556</v>
      </c>
      <c r="H205" s="29" t="s">
        <v>2926</v>
      </c>
      <c r="I205" s="29" t="s">
        <v>2926</v>
      </c>
    </row>
    <row r="206">
      <c r="A206" s="28">
        <f>ROW()-ROW(Table_Phrases[N])</f>
        <v>204</v>
      </c>
      <c r="B206" s="28" t="s">
        <v>2927</v>
      </c>
      <c r="C206" s="28">
        <v>0.0</v>
      </c>
      <c r="D206" s="30" t="s">
        <v>1406</v>
      </c>
      <c r="E206" s="30" t="s">
        <v>1596</v>
      </c>
      <c r="F206" s="30" t="s">
        <v>1644</v>
      </c>
      <c r="G206" s="30" t="s">
        <v>1556</v>
      </c>
      <c r="H206" s="29" t="s">
        <v>2929</v>
      </c>
      <c r="I206" s="29" t="s">
        <v>2929</v>
      </c>
    </row>
    <row r="207">
      <c r="A207" s="28">
        <f>ROW()-ROW(Table_Phrases[N])</f>
        <v>205</v>
      </c>
      <c r="B207" s="28" t="s">
        <v>2930</v>
      </c>
      <c r="C207" s="28">
        <v>1.0</v>
      </c>
      <c r="D207" s="30" t="s">
        <v>1413</v>
      </c>
      <c r="E207" s="30" t="s">
        <v>2565</v>
      </c>
      <c r="F207" s="30" t="s">
        <v>1596</v>
      </c>
      <c r="G207" s="30" t="s">
        <v>1556</v>
      </c>
      <c r="H207" s="29" t="s">
        <v>2931</v>
      </c>
      <c r="I207" s="29" t="s">
        <v>2931</v>
      </c>
    </row>
    <row r="208">
      <c r="A208" s="28">
        <f>ROW()-ROW(Table_Phrases[N])</f>
        <v>206</v>
      </c>
      <c r="B208" s="28" t="s">
        <v>2932</v>
      </c>
      <c r="C208" s="28">
        <v>0.0</v>
      </c>
      <c r="D208" s="30" t="s">
        <v>1417</v>
      </c>
      <c r="E208" s="30" t="s">
        <v>1596</v>
      </c>
      <c r="F208" s="30" t="s">
        <v>1644</v>
      </c>
      <c r="G208" s="30" t="s">
        <v>1556</v>
      </c>
      <c r="H208" s="29" t="s">
        <v>2933</v>
      </c>
      <c r="I208" s="29" t="s">
        <v>2933</v>
      </c>
    </row>
    <row r="209">
      <c r="A209" s="28">
        <f>ROW()-ROW(Table_Phrases[N])</f>
        <v>207</v>
      </c>
      <c r="B209" s="28" t="s">
        <v>2934</v>
      </c>
      <c r="C209" s="28">
        <v>1.0</v>
      </c>
      <c r="D209" s="30" t="s">
        <v>1422</v>
      </c>
      <c r="E209" s="30" t="s">
        <v>2565</v>
      </c>
      <c r="F209" s="30" t="s">
        <v>1596</v>
      </c>
      <c r="G209" s="30" t="s">
        <v>1556</v>
      </c>
      <c r="H209" s="29" t="s">
        <v>2935</v>
      </c>
      <c r="I209" s="29" t="s">
        <v>2935</v>
      </c>
    </row>
    <row r="210">
      <c r="A210" s="28">
        <f>ROW()-ROW(Table_Phrases[N])</f>
        <v>208</v>
      </c>
      <c r="B210" s="28" t="s">
        <v>1914</v>
      </c>
      <c r="C210" s="28">
        <v>1.0</v>
      </c>
      <c r="D210" s="30" t="s">
        <v>1427</v>
      </c>
      <c r="E210" s="30" t="s">
        <v>2565</v>
      </c>
      <c r="F210" s="30" t="s">
        <v>1596</v>
      </c>
      <c r="G210" s="30" t="s">
        <v>1556</v>
      </c>
      <c r="H210" s="29" t="s">
        <v>2936</v>
      </c>
      <c r="I210" s="29" t="s">
        <v>2936</v>
      </c>
    </row>
    <row r="211">
      <c r="A211" s="28">
        <f>ROW()-ROW(Table_Phrases[N])</f>
        <v>209</v>
      </c>
      <c r="B211" s="28" t="s">
        <v>2937</v>
      </c>
      <c r="C211" s="28">
        <v>0.0</v>
      </c>
      <c r="D211" s="30" t="s">
        <v>1434</v>
      </c>
      <c r="E211" s="30" t="s">
        <v>1596</v>
      </c>
      <c r="F211" s="30" t="s">
        <v>2599</v>
      </c>
      <c r="G211" s="30" t="s">
        <v>1556</v>
      </c>
      <c r="H211" s="29" t="s">
        <v>2938</v>
      </c>
      <c r="I211" s="29" t="s">
        <v>2938</v>
      </c>
    </row>
    <row r="212">
      <c r="A212" s="28">
        <f>ROW()-ROW(Table_Phrases[N])</f>
        <v>210</v>
      </c>
      <c r="B212" s="28" t="s">
        <v>2939</v>
      </c>
      <c r="C212" s="28">
        <v>2.0</v>
      </c>
      <c r="D212" s="30" t="s">
        <v>1478</v>
      </c>
      <c r="E212" s="30" t="s">
        <v>2565</v>
      </c>
      <c r="F212" s="30" t="s">
        <v>1556</v>
      </c>
      <c r="G212" s="30" t="s">
        <v>2522</v>
      </c>
      <c r="H212" s="29" t="s">
        <v>2940</v>
      </c>
      <c r="I212" s="29" t="s">
        <v>2941</v>
      </c>
    </row>
    <row r="213">
      <c r="A213" s="28">
        <f>ROW()-ROW(Table_Phrases[N])</f>
        <v>211</v>
      </c>
      <c r="B213" s="28" t="s">
        <v>2942</v>
      </c>
      <c r="C213" s="28">
        <v>1.0</v>
      </c>
      <c r="D213" s="30" t="s">
        <v>1438</v>
      </c>
      <c r="E213" s="30" t="s">
        <v>2565</v>
      </c>
      <c r="F213" s="30" t="s">
        <v>1596</v>
      </c>
      <c r="G213" s="30" t="s">
        <v>1556</v>
      </c>
      <c r="H213" s="29" t="s">
        <v>2943</v>
      </c>
      <c r="I213" s="29" t="s">
        <v>2943</v>
      </c>
    </row>
    <row r="214">
      <c r="A214" s="28">
        <f>ROW()-ROW(Table_Phrases[N])</f>
        <v>212</v>
      </c>
      <c r="B214" s="28" t="s">
        <v>2945</v>
      </c>
      <c r="C214" s="28">
        <v>0.0</v>
      </c>
      <c r="D214" s="30" t="s">
        <v>1445</v>
      </c>
      <c r="E214" s="30" t="s">
        <v>1596</v>
      </c>
      <c r="F214" s="30" t="s">
        <v>2599</v>
      </c>
      <c r="G214" s="30" t="s">
        <v>1556</v>
      </c>
      <c r="H214" s="29" t="s">
        <v>2946</v>
      </c>
      <c r="I214" s="29" t="s">
        <v>2946</v>
      </c>
    </row>
    <row r="215">
      <c r="A215" s="28">
        <f>ROW()-ROW(Table_Phrases[N])</f>
        <v>213</v>
      </c>
      <c r="B215" s="28" t="s">
        <v>2947</v>
      </c>
      <c r="C215" s="28">
        <v>1.0</v>
      </c>
      <c r="D215" s="30" t="s">
        <v>1450</v>
      </c>
      <c r="E215" s="30" t="s">
        <v>2565</v>
      </c>
      <c r="F215" s="30" t="s">
        <v>1596</v>
      </c>
      <c r="G215" s="30" t="s">
        <v>1556</v>
      </c>
      <c r="H215" s="29" t="s">
        <v>2948</v>
      </c>
      <c r="I215" s="29" t="s">
        <v>2948</v>
      </c>
    </row>
    <row r="216">
      <c r="A216" s="28">
        <f>ROW()-ROW(Table_Phrases[N])</f>
        <v>214</v>
      </c>
      <c r="B216" s="28" t="s">
        <v>2949</v>
      </c>
      <c r="C216" s="28">
        <v>0.0</v>
      </c>
      <c r="D216" s="30" t="s">
        <v>1455</v>
      </c>
      <c r="E216" s="30" t="s">
        <v>1596</v>
      </c>
      <c r="F216" s="30" t="s">
        <v>2599</v>
      </c>
      <c r="G216" s="30" t="s">
        <v>1556</v>
      </c>
      <c r="H216" s="29" t="s">
        <v>2950</v>
      </c>
      <c r="I216" s="29" t="s">
        <v>2950</v>
      </c>
    </row>
    <row r="217">
      <c r="A217" s="28">
        <f>ROW()-ROW(Table_Phrases[N])</f>
        <v>215</v>
      </c>
      <c r="B217" s="28" t="s">
        <v>2951</v>
      </c>
      <c r="C217" s="28">
        <v>1.0</v>
      </c>
      <c r="D217" s="30" t="s">
        <v>1462</v>
      </c>
      <c r="E217" s="30" t="s">
        <v>2565</v>
      </c>
      <c r="F217" s="30" t="s">
        <v>1596</v>
      </c>
      <c r="G217" s="30" t="s">
        <v>1556</v>
      </c>
      <c r="H217" s="29" t="s">
        <v>2952</v>
      </c>
      <c r="I217" s="29" t="s">
        <v>2952</v>
      </c>
    </row>
    <row r="218">
      <c r="A218" s="28">
        <f>ROW()-ROW(Table_Phrases[N])</f>
        <v>216</v>
      </c>
      <c r="B218" s="28" t="s">
        <v>1951</v>
      </c>
      <c r="C218" s="28">
        <v>0.0</v>
      </c>
      <c r="D218" s="30" t="s">
        <v>922</v>
      </c>
      <c r="E218" s="30" t="s">
        <v>1596</v>
      </c>
      <c r="F218" s="30" t="s">
        <v>2599</v>
      </c>
      <c r="G218" s="30" t="s">
        <v>1556</v>
      </c>
      <c r="H218" s="29" t="s">
        <v>2953</v>
      </c>
      <c r="I218" s="29" t="s">
        <v>2953</v>
      </c>
    </row>
    <row r="219">
      <c r="A219" s="28">
        <f>ROW()-ROW(Table_Phrases[N])</f>
        <v>217</v>
      </c>
      <c r="B219" s="28" t="s">
        <v>2954</v>
      </c>
      <c r="C219" s="28">
        <v>1.0</v>
      </c>
      <c r="D219" s="30" t="s">
        <v>1466</v>
      </c>
      <c r="E219" s="30" t="s">
        <v>2565</v>
      </c>
      <c r="F219" s="30" t="s">
        <v>1596</v>
      </c>
      <c r="G219" s="30" t="s">
        <v>1556</v>
      </c>
      <c r="H219" s="29" t="s">
        <v>2955</v>
      </c>
      <c r="I219" s="29" t="s">
        <v>2955</v>
      </c>
    </row>
    <row r="220">
      <c r="A220" s="28">
        <f>ROW()-ROW(Table_Phrases[N])</f>
        <v>218</v>
      </c>
      <c r="B220" s="28" t="s">
        <v>2956</v>
      </c>
      <c r="C220" s="28">
        <v>0.0</v>
      </c>
      <c r="D220" s="30" t="s">
        <v>1472</v>
      </c>
      <c r="E220" s="30" t="s">
        <v>1596</v>
      </c>
      <c r="F220" s="30" t="s">
        <v>2599</v>
      </c>
      <c r="G220" s="30" t="s">
        <v>1556</v>
      </c>
      <c r="H220" s="29" t="s">
        <v>2957</v>
      </c>
      <c r="I220" s="29" t="s">
        <v>2957</v>
      </c>
    </row>
    <row r="221">
      <c r="A221" s="28">
        <f>ROW()-ROW(Table_Phrases[N])</f>
        <v>219</v>
      </c>
      <c r="B221" s="28" t="s">
        <v>2958</v>
      </c>
      <c r="C221" s="28">
        <v>0.0</v>
      </c>
      <c r="D221" s="30" t="s">
        <v>1481</v>
      </c>
      <c r="E221" s="62" t="s">
        <v>1556</v>
      </c>
      <c r="F221" s="62" t="s">
        <v>1556</v>
      </c>
      <c r="G221" s="62" t="s">
        <v>1556</v>
      </c>
      <c r="H221" s="29" t="s">
        <v>2959</v>
      </c>
      <c r="I221" s="29" t="s">
        <v>2959</v>
      </c>
    </row>
    <row r="222">
      <c r="A222" s="28">
        <f>ROW()-ROW(Table_Phrases[N])</f>
        <v>220</v>
      </c>
      <c r="B222" s="28" t="s">
        <v>2960</v>
      </c>
      <c r="C222" s="28">
        <v>0.0</v>
      </c>
      <c r="D222" s="30" t="s">
        <v>1487</v>
      </c>
      <c r="E222" s="62" t="s">
        <v>1556</v>
      </c>
      <c r="F222" s="30" t="s">
        <v>1556</v>
      </c>
      <c r="G222" s="30" t="s">
        <v>1556</v>
      </c>
      <c r="H222" s="29" t="s">
        <v>2961</v>
      </c>
      <c r="I222" s="29" t="s">
        <v>2961</v>
      </c>
    </row>
    <row r="223">
      <c r="A223" s="28">
        <f>ROW()-ROW(Table_Phrases[N])</f>
        <v>221</v>
      </c>
      <c r="B223" s="57" t="s">
        <v>2962</v>
      </c>
      <c r="C223" s="64">
        <v>0.0</v>
      </c>
      <c r="D223" s="62" t="s">
        <v>1490</v>
      </c>
      <c r="E223" s="58" t="s">
        <v>1596</v>
      </c>
      <c r="F223" s="58" t="s">
        <v>1644</v>
      </c>
      <c r="G223" s="58" t="s">
        <v>1556</v>
      </c>
      <c r="H223" s="44" t="s">
        <v>2963</v>
      </c>
      <c r="I223" s="44" t="s">
        <v>2963</v>
      </c>
    </row>
    <row r="224">
      <c r="A224" s="28">
        <f>ROW()-ROW(Table_Phrases[N])</f>
        <v>222</v>
      </c>
      <c r="B224" s="57" t="s">
        <v>2964</v>
      </c>
      <c r="C224" s="64">
        <v>1.0</v>
      </c>
      <c r="D224" s="62" t="s">
        <v>1493</v>
      </c>
      <c r="E224" s="30" t="s">
        <v>2565</v>
      </c>
      <c r="F224" s="58" t="s">
        <v>1596</v>
      </c>
      <c r="G224" s="58" t="s">
        <v>1556</v>
      </c>
      <c r="H224" s="44" t="s">
        <v>2965</v>
      </c>
      <c r="I224" s="44" t="s">
        <v>2965</v>
      </c>
    </row>
    <row r="225">
      <c r="A225" s="28">
        <f>ROW()-ROW(Table_Phrases[N])</f>
        <v>223</v>
      </c>
      <c r="B225" s="57" t="s">
        <v>2966</v>
      </c>
      <c r="C225" s="57">
        <v>0.0</v>
      </c>
      <c r="D225" s="62" t="s">
        <v>1499</v>
      </c>
      <c r="E225" s="62" t="s">
        <v>1596</v>
      </c>
      <c r="F225" s="62" t="s">
        <v>1644</v>
      </c>
      <c r="G225" s="58" t="s">
        <v>1556</v>
      </c>
      <c r="H225" s="44" t="s">
        <v>2967</v>
      </c>
      <c r="I225" s="44" t="s">
        <v>2967</v>
      </c>
    </row>
    <row r="226">
      <c r="A226" s="28">
        <f>ROW()-ROW(Table_Phrases[N])</f>
        <v>224</v>
      </c>
      <c r="B226" s="57" t="s">
        <v>2968</v>
      </c>
      <c r="C226" s="57">
        <v>1.0</v>
      </c>
      <c r="D226" s="62" t="s">
        <v>1503</v>
      </c>
      <c r="E226" s="30" t="s">
        <v>2565</v>
      </c>
      <c r="F226" s="62" t="s">
        <v>1596</v>
      </c>
      <c r="G226" s="58" t="s">
        <v>1556</v>
      </c>
      <c r="H226" s="44" t="s">
        <v>2969</v>
      </c>
      <c r="I226" s="44" t="s">
        <v>2969</v>
      </c>
    </row>
    <row r="227">
      <c r="A227" s="28">
        <f>ROW()-ROW(Table_Phrases[N])</f>
        <v>225</v>
      </c>
      <c r="B227" s="57" t="s">
        <v>2970</v>
      </c>
      <c r="C227" s="57">
        <v>0.0</v>
      </c>
      <c r="D227" s="62" t="s">
        <v>1509</v>
      </c>
      <c r="E227" s="62" t="s">
        <v>1596</v>
      </c>
      <c r="F227" s="62" t="s">
        <v>1644</v>
      </c>
      <c r="G227" s="58" t="s">
        <v>1556</v>
      </c>
      <c r="H227" s="44" t="s">
        <v>2971</v>
      </c>
      <c r="I227" s="44" t="s">
        <v>2971</v>
      </c>
    </row>
    <row r="228">
      <c r="A228" s="28">
        <f>ROW()-ROW(Table_Phrases[N])</f>
        <v>226</v>
      </c>
      <c r="B228" s="57" t="s">
        <v>2972</v>
      </c>
      <c r="C228" s="57">
        <v>1.0</v>
      </c>
      <c r="D228" s="62" t="s">
        <v>1512</v>
      </c>
      <c r="E228" s="30" t="s">
        <v>2565</v>
      </c>
      <c r="F228" s="62" t="s">
        <v>1596</v>
      </c>
      <c r="G228" s="58" t="s">
        <v>1556</v>
      </c>
      <c r="H228" s="44" t="s">
        <v>2973</v>
      </c>
      <c r="I228" s="44" t="s">
        <v>2973</v>
      </c>
    </row>
    <row r="229">
      <c r="A229" s="28">
        <f>ROW()-ROW(Table_Phrases[N])</f>
        <v>227</v>
      </c>
      <c r="B229" s="57" t="s">
        <v>2001</v>
      </c>
      <c r="C229" s="57">
        <v>0.0</v>
      </c>
      <c r="D229" s="62" t="s">
        <v>1515</v>
      </c>
      <c r="E229" s="62" t="s">
        <v>1596</v>
      </c>
      <c r="F229" s="62" t="s">
        <v>1644</v>
      </c>
      <c r="G229" s="58" t="s">
        <v>1556</v>
      </c>
      <c r="H229" s="44" t="s">
        <v>2974</v>
      </c>
      <c r="I229" s="44" t="s">
        <v>2974</v>
      </c>
    </row>
    <row r="230">
      <c r="A230" s="28">
        <f>ROW()-ROW(Table_Phrases[N])</f>
        <v>228</v>
      </c>
      <c r="B230" s="57" t="s">
        <v>2975</v>
      </c>
      <c r="C230" s="57">
        <v>0.0</v>
      </c>
      <c r="D230" s="62" t="s">
        <v>1520</v>
      </c>
      <c r="E230" s="62" t="s">
        <v>1596</v>
      </c>
      <c r="F230" s="62" t="s">
        <v>1644</v>
      </c>
      <c r="G230" s="58" t="s">
        <v>1556</v>
      </c>
      <c r="H230" s="44" t="s">
        <v>2976</v>
      </c>
      <c r="I230" s="44" t="s">
        <v>2976</v>
      </c>
    </row>
    <row r="231">
      <c r="A231" s="28">
        <f>ROW()-ROW(Table_Phrases[N])</f>
        <v>229</v>
      </c>
      <c r="B231" s="57" t="s">
        <v>2977</v>
      </c>
      <c r="C231" s="57">
        <v>1.0</v>
      </c>
      <c r="D231" s="62" t="s">
        <v>1523</v>
      </c>
      <c r="E231" s="30" t="s">
        <v>2565</v>
      </c>
      <c r="F231" s="62" t="s">
        <v>1596</v>
      </c>
      <c r="G231" s="58" t="s">
        <v>1556</v>
      </c>
      <c r="H231" s="44" t="s">
        <v>2978</v>
      </c>
      <c r="I231" s="44" t="s">
        <v>2978</v>
      </c>
    </row>
    <row r="232">
      <c r="A232" s="28">
        <f>ROW()-ROW(Table_Phrases[N])</f>
        <v>230</v>
      </c>
      <c r="B232" s="57" t="s">
        <v>2979</v>
      </c>
      <c r="C232" s="57">
        <v>0.0</v>
      </c>
      <c r="D232" s="62" t="s">
        <v>1531</v>
      </c>
      <c r="E232" s="62" t="s">
        <v>1564</v>
      </c>
      <c r="F232" s="62" t="s">
        <v>1556</v>
      </c>
      <c r="G232" s="62" t="s">
        <v>1556</v>
      </c>
      <c r="H232" s="44" t="s">
        <v>2980</v>
      </c>
      <c r="I232" s="44" t="s">
        <v>2980</v>
      </c>
    </row>
    <row r="233">
      <c r="A233" s="28">
        <f>ROW()-ROW(Table_Phrases[N])</f>
        <v>231</v>
      </c>
      <c r="B233" s="57" t="s">
        <v>2981</v>
      </c>
      <c r="C233" s="57">
        <v>0.0</v>
      </c>
      <c r="D233" s="62" t="s">
        <v>1533</v>
      </c>
      <c r="E233" s="62" t="s">
        <v>1564</v>
      </c>
      <c r="F233" s="62" t="s">
        <v>1556</v>
      </c>
      <c r="G233" s="62" t="s">
        <v>1556</v>
      </c>
      <c r="H233" s="44" t="s">
        <v>2982</v>
      </c>
      <c r="I233" s="44" t="s">
        <v>2982</v>
      </c>
    </row>
    <row r="234">
      <c r="A234" s="28">
        <f>ROW()-ROW(Table_Phrases[N])</f>
        <v>232</v>
      </c>
      <c r="B234" s="28" t="s">
        <v>2983</v>
      </c>
      <c r="C234" s="28">
        <v>0.0</v>
      </c>
      <c r="D234" s="30" t="s">
        <v>1540</v>
      </c>
      <c r="E234" s="62" t="s">
        <v>1564</v>
      </c>
      <c r="F234" s="30" t="s">
        <v>1556</v>
      </c>
      <c r="G234" s="30" t="s">
        <v>1556</v>
      </c>
      <c r="H234" s="29" t="s">
        <v>2984</v>
      </c>
      <c r="I234" s="29" t="s">
        <v>2984</v>
      </c>
    </row>
    <row r="235">
      <c r="A235" s="28">
        <f>ROW()-ROW(Table_Phrases[N])</f>
        <v>233</v>
      </c>
      <c r="B235" s="28" t="s">
        <v>2985</v>
      </c>
      <c r="C235" s="28">
        <v>0.0</v>
      </c>
      <c r="D235" s="30" t="s">
        <v>1550</v>
      </c>
      <c r="E235" s="62" t="s">
        <v>1564</v>
      </c>
      <c r="F235" s="30" t="s">
        <v>1556</v>
      </c>
      <c r="G235" s="30" t="s">
        <v>1556</v>
      </c>
      <c r="H235" s="29" t="s">
        <v>2986</v>
      </c>
      <c r="I235" s="29" t="s">
        <v>2986</v>
      </c>
    </row>
    <row r="236">
      <c r="A236" s="28">
        <f>ROW()-ROW(Table_Phrases[N])</f>
        <v>234</v>
      </c>
      <c r="B236" s="28" t="s">
        <v>2987</v>
      </c>
      <c r="C236" s="28">
        <v>0.0</v>
      </c>
      <c r="D236" s="30" t="s">
        <v>1554</v>
      </c>
      <c r="E236" s="62" t="s">
        <v>1596</v>
      </c>
      <c r="F236" s="30" t="s">
        <v>1644</v>
      </c>
      <c r="G236" s="30" t="s">
        <v>1556</v>
      </c>
      <c r="H236" s="29" t="s">
        <v>2988</v>
      </c>
      <c r="I236" s="29" t="s">
        <v>2988</v>
      </c>
    </row>
    <row r="237">
      <c r="A237" s="28">
        <f>ROW()-ROW(Table_Phrases[N])</f>
        <v>235</v>
      </c>
      <c r="B237" s="28" t="s">
        <v>2989</v>
      </c>
      <c r="C237" s="28">
        <v>1.0</v>
      </c>
      <c r="D237" s="30" t="s">
        <v>1557</v>
      </c>
      <c r="E237" s="62" t="s">
        <v>2565</v>
      </c>
      <c r="F237" s="30" t="s">
        <v>1596</v>
      </c>
      <c r="G237" s="30" t="s">
        <v>1556</v>
      </c>
      <c r="H237" s="29" t="s">
        <v>2990</v>
      </c>
      <c r="I237" s="29" t="s">
        <v>2990</v>
      </c>
    </row>
    <row r="238">
      <c r="A238" s="28">
        <f>ROW()-ROW(Table_Phrases[N])</f>
        <v>236</v>
      </c>
      <c r="B238" s="57" t="s">
        <v>2991</v>
      </c>
      <c r="C238" s="64">
        <v>0.0</v>
      </c>
      <c r="D238" s="62" t="s">
        <v>1560</v>
      </c>
      <c r="E238" s="58" t="s">
        <v>1596</v>
      </c>
      <c r="F238" s="58" t="s">
        <v>1644</v>
      </c>
      <c r="G238" s="58" t="s">
        <v>1556</v>
      </c>
      <c r="H238" s="44" t="s">
        <v>2992</v>
      </c>
      <c r="I238" s="44" t="s">
        <v>2992</v>
      </c>
    </row>
    <row r="239">
      <c r="A239" s="28">
        <f>ROW()-ROW(Table_Phrases[N])</f>
        <v>237</v>
      </c>
      <c r="B239" s="57" t="s">
        <v>2993</v>
      </c>
      <c r="C239" s="64">
        <v>1.0</v>
      </c>
      <c r="D239" s="62" t="s">
        <v>1567</v>
      </c>
      <c r="E239" s="62" t="s">
        <v>2565</v>
      </c>
      <c r="F239" s="58" t="s">
        <v>1596</v>
      </c>
      <c r="G239" s="58" t="s">
        <v>1556</v>
      </c>
      <c r="H239" s="44" t="s">
        <v>2994</v>
      </c>
      <c r="I239" s="44" t="s">
        <v>2994</v>
      </c>
    </row>
    <row r="240">
      <c r="A240" s="28">
        <f>ROW()-ROW(Table_Phrases[N])</f>
        <v>238</v>
      </c>
      <c r="B240" s="28" t="s">
        <v>2034</v>
      </c>
      <c r="C240" s="28">
        <v>0.0</v>
      </c>
      <c r="D240" s="30" t="s">
        <v>1573</v>
      </c>
      <c r="E240" s="62" t="s">
        <v>1596</v>
      </c>
      <c r="F240" s="30" t="s">
        <v>1644</v>
      </c>
      <c r="G240" s="30" t="s">
        <v>1556</v>
      </c>
      <c r="H240" s="29" t="s">
        <v>2995</v>
      </c>
      <c r="I240" s="29" t="s">
        <v>2995</v>
      </c>
    </row>
    <row r="241">
      <c r="A241" s="28">
        <f>ROW()-ROW(Table_Phrases[N])</f>
        <v>239</v>
      </c>
      <c r="B241" s="28" t="s">
        <v>2045</v>
      </c>
      <c r="C241" s="28">
        <v>0.0</v>
      </c>
      <c r="D241" s="30" t="s">
        <v>1579</v>
      </c>
      <c r="E241" s="62" t="s">
        <v>1596</v>
      </c>
      <c r="F241" s="30" t="s">
        <v>2639</v>
      </c>
      <c r="G241" s="30" t="s">
        <v>1556</v>
      </c>
      <c r="H241" s="29" t="s">
        <v>2996</v>
      </c>
      <c r="I241" s="29" t="s">
        <v>2996</v>
      </c>
    </row>
    <row r="242">
      <c r="A242" s="28">
        <f>ROW()-ROW(Table_Phrases[N])</f>
        <v>240</v>
      </c>
      <c r="B242" s="57" t="s">
        <v>2997</v>
      </c>
      <c r="C242" s="64">
        <v>0.0</v>
      </c>
      <c r="D242" s="62" t="s">
        <v>1585</v>
      </c>
      <c r="E242" s="58" t="s">
        <v>1556</v>
      </c>
      <c r="F242" s="58" t="s">
        <v>1556</v>
      </c>
      <c r="G242" s="58" t="s">
        <v>1556</v>
      </c>
      <c r="H242" s="44" t="s">
        <v>2998</v>
      </c>
      <c r="I242" s="44" t="s">
        <v>2998</v>
      </c>
    </row>
    <row r="243">
      <c r="A243" s="28">
        <f>ROW()-ROW(Table_Phrases[N])</f>
        <v>241</v>
      </c>
      <c r="B243" s="57" t="s">
        <v>2999</v>
      </c>
      <c r="C243" s="64">
        <v>0.0</v>
      </c>
      <c r="D243" s="62" t="s">
        <v>1592</v>
      </c>
      <c r="E243" s="58" t="s">
        <v>1556</v>
      </c>
      <c r="F243" s="58" t="s">
        <v>1556</v>
      </c>
      <c r="G243" s="58" t="s">
        <v>1556</v>
      </c>
      <c r="H243" s="44" t="s">
        <v>3000</v>
      </c>
      <c r="I243" s="44" t="s">
        <v>3000</v>
      </c>
    </row>
    <row r="244">
      <c r="A244" s="28">
        <f>ROW()-ROW(Table_Phrases[N])</f>
        <v>242</v>
      </c>
      <c r="B244" s="57" t="s">
        <v>3002</v>
      </c>
      <c r="C244" s="64">
        <v>0.0</v>
      </c>
      <c r="D244" s="62" t="s">
        <v>1597</v>
      </c>
      <c r="E244" s="58" t="s">
        <v>1556</v>
      </c>
      <c r="F244" s="58" t="s">
        <v>1556</v>
      </c>
      <c r="G244" s="58" t="s">
        <v>1556</v>
      </c>
      <c r="H244" s="44" t="s">
        <v>3003</v>
      </c>
      <c r="I244" s="44" t="s">
        <v>3003</v>
      </c>
    </row>
    <row r="245">
      <c r="A245" s="28">
        <f>ROW()-ROW(Table_Phrases[N])</f>
        <v>243</v>
      </c>
      <c r="B245" s="57" t="s">
        <v>3004</v>
      </c>
      <c r="C245" s="64">
        <v>0.0</v>
      </c>
      <c r="D245" s="62" t="s">
        <v>1603</v>
      </c>
      <c r="E245" s="58" t="s">
        <v>1556</v>
      </c>
      <c r="F245" s="58" t="s">
        <v>1556</v>
      </c>
      <c r="G245" s="58" t="s">
        <v>1556</v>
      </c>
      <c r="H245" s="44" t="s">
        <v>3005</v>
      </c>
      <c r="I245" s="44" t="s">
        <v>3005</v>
      </c>
    </row>
    <row r="246">
      <c r="A246" s="28">
        <f>ROW()-ROW(Table_Phrases[N])</f>
        <v>244</v>
      </c>
      <c r="B246" s="57" t="s">
        <v>3006</v>
      </c>
      <c r="C246" s="64">
        <v>0.0</v>
      </c>
      <c r="D246" s="62" t="s">
        <v>1607</v>
      </c>
      <c r="E246" s="58" t="s">
        <v>1556</v>
      </c>
      <c r="F246" s="58" t="s">
        <v>1556</v>
      </c>
      <c r="G246" s="58" t="s">
        <v>1556</v>
      </c>
      <c r="H246" s="44" t="s">
        <v>3007</v>
      </c>
      <c r="I246" s="44" t="s">
        <v>3007</v>
      </c>
    </row>
    <row r="247">
      <c r="A247" s="28">
        <f>ROW()-ROW(Table_Phrases[N])</f>
        <v>245</v>
      </c>
      <c r="B247" s="57" t="s">
        <v>3008</v>
      </c>
      <c r="C247" s="57">
        <v>0.0</v>
      </c>
      <c r="D247" s="62" t="s">
        <v>1616</v>
      </c>
      <c r="E247" s="58" t="s">
        <v>1556</v>
      </c>
      <c r="F247" s="58" t="s">
        <v>1556</v>
      </c>
      <c r="G247" s="58" t="s">
        <v>1556</v>
      </c>
      <c r="H247" s="44" t="s">
        <v>3009</v>
      </c>
      <c r="I247" s="44" t="s">
        <v>3009</v>
      </c>
    </row>
    <row r="248">
      <c r="A248" s="28">
        <f>ROW()-ROW(Table_Phrases[N])</f>
        <v>246</v>
      </c>
      <c r="B248" s="28" t="s">
        <v>3010</v>
      </c>
      <c r="C248" s="28">
        <v>0.0</v>
      </c>
      <c r="D248" s="30" t="s">
        <v>1612</v>
      </c>
      <c r="E248" s="62" t="s">
        <v>1564</v>
      </c>
      <c r="F248" s="30" t="s">
        <v>1556</v>
      </c>
      <c r="G248" s="30" t="s">
        <v>1556</v>
      </c>
      <c r="H248" s="29" t="s">
        <v>3011</v>
      </c>
      <c r="I248" s="29" t="s">
        <v>3011</v>
      </c>
    </row>
    <row r="249">
      <c r="A249" s="28">
        <f>ROW()-ROW(Table_Phrases[N])</f>
        <v>247</v>
      </c>
      <c r="B249" s="28" t="s">
        <v>3012</v>
      </c>
      <c r="C249" s="28">
        <v>0.0</v>
      </c>
      <c r="D249" s="30" t="s">
        <v>1622</v>
      </c>
      <c r="E249" s="62" t="s">
        <v>1596</v>
      </c>
      <c r="F249" s="30" t="s">
        <v>2599</v>
      </c>
      <c r="G249" s="58" t="s">
        <v>1556</v>
      </c>
      <c r="H249" s="29" t="s">
        <v>3013</v>
      </c>
      <c r="I249" s="29" t="s">
        <v>3013</v>
      </c>
    </row>
    <row r="250">
      <c r="A250" s="28">
        <f>ROW()-ROW(Table_Phrases[N])</f>
        <v>248</v>
      </c>
      <c r="B250" s="28" t="s">
        <v>3014</v>
      </c>
      <c r="C250" s="28">
        <v>1.0</v>
      </c>
      <c r="D250" s="30" t="s">
        <v>1625</v>
      </c>
      <c r="E250" s="62" t="s">
        <v>2565</v>
      </c>
      <c r="F250" s="30" t="s">
        <v>1596</v>
      </c>
      <c r="G250" s="58" t="s">
        <v>1556</v>
      </c>
      <c r="H250" s="29" t="s">
        <v>3015</v>
      </c>
      <c r="I250" s="29" t="s">
        <v>3015</v>
      </c>
    </row>
    <row r="251">
      <c r="A251" s="28">
        <f>ROW()-ROW(Table_Phrases[N])</f>
        <v>249</v>
      </c>
      <c r="B251" s="28" t="s">
        <v>3016</v>
      </c>
      <c r="C251" s="28">
        <v>0.0</v>
      </c>
      <c r="D251" s="30" t="s">
        <v>1631</v>
      </c>
      <c r="E251" s="62" t="s">
        <v>1596</v>
      </c>
      <c r="F251" s="30" t="s">
        <v>2599</v>
      </c>
      <c r="G251" s="58" t="s">
        <v>1556</v>
      </c>
      <c r="H251" s="29" t="s">
        <v>3017</v>
      </c>
      <c r="I251" s="29" t="s">
        <v>3017</v>
      </c>
    </row>
    <row r="252">
      <c r="A252" s="28">
        <f>ROW()-ROW(Table_Phrases[N])</f>
        <v>250</v>
      </c>
      <c r="B252" s="28" t="s">
        <v>3018</v>
      </c>
      <c r="C252" s="28">
        <v>1.0</v>
      </c>
      <c r="D252" s="30" t="s">
        <v>1636</v>
      </c>
      <c r="E252" s="62" t="s">
        <v>2565</v>
      </c>
      <c r="F252" s="30" t="s">
        <v>1596</v>
      </c>
      <c r="G252" s="58" t="s">
        <v>1556</v>
      </c>
      <c r="H252" s="29" t="s">
        <v>3019</v>
      </c>
      <c r="I252" s="29" t="s">
        <v>3019</v>
      </c>
    </row>
    <row r="253">
      <c r="A253" s="28">
        <f>ROW()-ROW(Table_Phrases[N])</f>
        <v>251</v>
      </c>
      <c r="B253" s="28" t="s">
        <v>3020</v>
      </c>
      <c r="C253" s="28">
        <v>1.0</v>
      </c>
      <c r="D253" s="30" t="s">
        <v>1640</v>
      </c>
      <c r="E253" s="62" t="s">
        <v>2565</v>
      </c>
      <c r="F253" s="30" t="s">
        <v>1596</v>
      </c>
      <c r="G253" s="58" t="s">
        <v>1556</v>
      </c>
      <c r="H253" s="29" t="s">
        <v>3021</v>
      </c>
      <c r="I253" s="29" t="s">
        <v>3021</v>
      </c>
    </row>
    <row r="254">
      <c r="A254" s="28">
        <f>ROW()-ROW(Table_Phrases[N])</f>
        <v>252</v>
      </c>
      <c r="B254" s="28" t="s">
        <v>3022</v>
      </c>
      <c r="C254" s="28">
        <v>0.0</v>
      </c>
      <c r="D254" s="30" t="s">
        <v>1645</v>
      </c>
      <c r="E254" s="62" t="s">
        <v>1596</v>
      </c>
      <c r="F254" s="30" t="s">
        <v>2599</v>
      </c>
      <c r="G254" s="62" t="s">
        <v>1644</v>
      </c>
      <c r="H254" s="29" t="s">
        <v>3023</v>
      </c>
      <c r="I254" s="29" t="s">
        <v>3023</v>
      </c>
    </row>
    <row r="255">
      <c r="A255" s="28">
        <f>ROW()-ROW(Table_Phrases[N])</f>
        <v>253</v>
      </c>
      <c r="B255" s="28" t="s">
        <v>3024</v>
      </c>
      <c r="C255" s="28">
        <v>2.0</v>
      </c>
      <c r="D255" s="30" t="s">
        <v>1650</v>
      </c>
      <c r="E255" s="62" t="s">
        <v>2565</v>
      </c>
      <c r="F255" s="30" t="s">
        <v>2599</v>
      </c>
      <c r="G255" s="62" t="s">
        <v>1596</v>
      </c>
      <c r="H255" s="29" t="s">
        <v>3025</v>
      </c>
      <c r="I255" s="29" t="s">
        <v>3025</v>
      </c>
    </row>
    <row r="256">
      <c r="A256" s="28">
        <f>ROW()-ROW(Table_Phrases[N])</f>
        <v>254</v>
      </c>
      <c r="B256" s="28" t="s">
        <v>3026</v>
      </c>
      <c r="C256" s="28">
        <v>1.0</v>
      </c>
      <c r="D256" s="30" t="s">
        <v>1655</v>
      </c>
      <c r="E256" s="62" t="s">
        <v>2565</v>
      </c>
      <c r="F256" s="30" t="s">
        <v>1596</v>
      </c>
      <c r="G256" s="62" t="s">
        <v>1644</v>
      </c>
      <c r="H256" s="29" t="s">
        <v>3027</v>
      </c>
      <c r="I256" s="29" t="s">
        <v>3027</v>
      </c>
    </row>
    <row r="257">
      <c r="A257" s="28">
        <f>ROW()-ROW(Table_Phrases[N])</f>
        <v>255</v>
      </c>
      <c r="B257" s="28" t="s">
        <v>3028</v>
      </c>
      <c r="C257" s="28">
        <v>1.0</v>
      </c>
      <c r="D257" s="30" t="s">
        <v>1661</v>
      </c>
      <c r="E257" s="62" t="s">
        <v>2565</v>
      </c>
      <c r="F257" s="30" t="s">
        <v>1596</v>
      </c>
      <c r="G257" s="62" t="s">
        <v>1644</v>
      </c>
      <c r="H257" s="29" t="s">
        <v>3029</v>
      </c>
      <c r="I257" s="29" t="s">
        <v>3029</v>
      </c>
    </row>
    <row r="258">
      <c r="A258" s="28">
        <f>ROW()-ROW(Table_Phrases[N])</f>
        <v>256</v>
      </c>
      <c r="B258" s="28" t="s">
        <v>3030</v>
      </c>
      <c r="C258" s="28">
        <v>0.0</v>
      </c>
      <c r="D258" s="30" t="s">
        <v>1668</v>
      </c>
      <c r="E258" s="62" t="s">
        <v>1596</v>
      </c>
      <c r="F258" s="30" t="s">
        <v>1644</v>
      </c>
      <c r="G258" s="30" t="s">
        <v>1556</v>
      </c>
      <c r="H258" s="29" t="s">
        <v>3031</v>
      </c>
      <c r="I258" s="29" t="s">
        <v>3031</v>
      </c>
    </row>
    <row r="259">
      <c r="A259" s="28">
        <f>ROW()-ROW(Table_Phrases[N])</f>
        <v>257</v>
      </c>
      <c r="B259" s="28" t="s">
        <v>3032</v>
      </c>
      <c r="C259" s="28">
        <v>1.0</v>
      </c>
      <c r="D259" s="30" t="s">
        <v>1674</v>
      </c>
      <c r="E259" s="62" t="s">
        <v>2565</v>
      </c>
      <c r="F259" s="30" t="s">
        <v>1596</v>
      </c>
      <c r="G259" s="30" t="s">
        <v>1556</v>
      </c>
      <c r="H259" s="29" t="s">
        <v>3033</v>
      </c>
      <c r="I259" s="29" t="s">
        <v>3033</v>
      </c>
    </row>
    <row r="260">
      <c r="A260" s="28">
        <f>ROW()-ROW(Table_Phrases[N])</f>
        <v>258</v>
      </c>
      <c r="B260" s="28" t="s">
        <v>3034</v>
      </c>
      <c r="C260" s="28">
        <v>0.0</v>
      </c>
      <c r="D260" s="30" t="s">
        <v>1677</v>
      </c>
      <c r="E260" s="62" t="s">
        <v>1596</v>
      </c>
      <c r="F260" s="30" t="s">
        <v>1644</v>
      </c>
      <c r="G260" s="30" t="s">
        <v>1556</v>
      </c>
      <c r="H260" s="84" t="s">
        <v>3035</v>
      </c>
      <c r="I260" s="84" t="s">
        <v>3035</v>
      </c>
    </row>
    <row r="261">
      <c r="A261" s="28">
        <f>ROW()-ROW(Table_Phrases[N])</f>
        <v>259</v>
      </c>
      <c r="B261" s="28" t="s">
        <v>3036</v>
      </c>
      <c r="C261" s="28">
        <v>1.0</v>
      </c>
      <c r="D261" s="30" t="s">
        <v>1682</v>
      </c>
      <c r="E261" s="62" t="s">
        <v>2565</v>
      </c>
      <c r="F261" s="30" t="s">
        <v>1596</v>
      </c>
      <c r="G261" s="30" t="s">
        <v>1556</v>
      </c>
      <c r="H261" s="29" t="s">
        <v>3037</v>
      </c>
      <c r="I261" s="29" t="s">
        <v>3037</v>
      </c>
    </row>
    <row r="262">
      <c r="A262" s="28">
        <f>ROW()-ROW(Table_Phrases[N])</f>
        <v>260</v>
      </c>
      <c r="B262" s="28" t="s">
        <v>3038</v>
      </c>
      <c r="C262" s="28">
        <v>1.0</v>
      </c>
      <c r="D262" s="30" t="s">
        <v>1685</v>
      </c>
      <c r="E262" s="62" t="s">
        <v>2565</v>
      </c>
      <c r="F262" s="30" t="s">
        <v>1596</v>
      </c>
      <c r="G262" s="30" t="s">
        <v>1556</v>
      </c>
      <c r="H262" s="29" t="s">
        <v>3039</v>
      </c>
      <c r="I262" s="29" t="s">
        <v>3039</v>
      </c>
    </row>
    <row r="263">
      <c r="A263" s="28">
        <f>ROW()-ROW(Table_Phrases[N])</f>
        <v>261</v>
      </c>
      <c r="B263" s="28" t="s">
        <v>3040</v>
      </c>
      <c r="C263" s="28">
        <v>0.0</v>
      </c>
      <c r="D263" s="30" t="s">
        <v>1693</v>
      </c>
      <c r="E263" s="62" t="s">
        <v>1564</v>
      </c>
      <c r="F263" s="30" t="s">
        <v>1556</v>
      </c>
      <c r="G263" s="30" t="s">
        <v>1556</v>
      </c>
      <c r="H263" s="29" t="s">
        <v>3041</v>
      </c>
      <c r="I263" s="29" t="s">
        <v>3041</v>
      </c>
    </row>
    <row r="264">
      <c r="A264" s="28">
        <f>ROW()-ROW(Table_Phrases[N])</f>
        <v>262</v>
      </c>
      <c r="B264" s="28" t="s">
        <v>3042</v>
      </c>
      <c r="C264" s="28">
        <v>0.0</v>
      </c>
      <c r="D264" s="30" t="s">
        <v>1697</v>
      </c>
      <c r="E264" s="62" t="s">
        <v>1564</v>
      </c>
      <c r="F264" s="30" t="s">
        <v>1556</v>
      </c>
      <c r="G264" s="30" t="s">
        <v>1556</v>
      </c>
      <c r="H264" s="29" t="s">
        <v>3043</v>
      </c>
      <c r="I264" s="29" t="s">
        <v>3043</v>
      </c>
    </row>
    <row r="265">
      <c r="A265" s="28">
        <f>ROW()-ROW(Table_Phrases[N])</f>
        <v>263</v>
      </c>
      <c r="B265" s="28" t="s">
        <v>3044</v>
      </c>
      <c r="C265" s="28">
        <v>0.0</v>
      </c>
      <c r="D265" s="30" t="s">
        <v>1701</v>
      </c>
      <c r="E265" s="62" t="s">
        <v>1556</v>
      </c>
      <c r="F265" s="30" t="s">
        <v>1556</v>
      </c>
      <c r="G265" s="30" t="s">
        <v>1556</v>
      </c>
      <c r="H265" s="29" t="s">
        <v>3045</v>
      </c>
      <c r="I265" s="29" t="s">
        <v>3045</v>
      </c>
    </row>
    <row r="266">
      <c r="A266" s="28">
        <f>ROW()-ROW(Table_Phrases[N])</f>
        <v>264</v>
      </c>
      <c r="B266" s="28" t="s">
        <v>3046</v>
      </c>
      <c r="C266" s="28">
        <v>0.0</v>
      </c>
      <c r="D266" s="30" t="s">
        <v>1706</v>
      </c>
      <c r="E266" s="62" t="s">
        <v>1564</v>
      </c>
      <c r="F266" s="30" t="s">
        <v>1556</v>
      </c>
      <c r="G266" s="30" t="s">
        <v>1556</v>
      </c>
      <c r="H266" s="29" t="s">
        <v>3047</v>
      </c>
      <c r="I266" s="29" t="s">
        <v>3047</v>
      </c>
    </row>
    <row r="267">
      <c r="A267" s="28">
        <f>ROW()-ROW(Table_Phrases[N])</f>
        <v>265</v>
      </c>
      <c r="B267" s="28" t="s">
        <v>3048</v>
      </c>
      <c r="C267" s="28">
        <v>0.0</v>
      </c>
      <c r="D267" s="30" t="s">
        <v>1711</v>
      </c>
      <c r="E267" s="62" t="s">
        <v>2568</v>
      </c>
      <c r="F267" s="30" t="s">
        <v>1556</v>
      </c>
      <c r="G267" s="30" t="s">
        <v>1556</v>
      </c>
      <c r="H267" s="29"/>
      <c r="I267" s="29"/>
    </row>
    <row r="268">
      <c r="A268" s="28">
        <f>ROW()-ROW(Table_Phrases[N])</f>
        <v>266</v>
      </c>
      <c r="B268" s="28" t="s">
        <v>2107</v>
      </c>
      <c r="C268" s="28">
        <v>0.0</v>
      </c>
      <c r="D268" s="30" t="s">
        <v>1714</v>
      </c>
      <c r="E268" s="62" t="s">
        <v>1564</v>
      </c>
      <c r="F268" s="30" t="s">
        <v>1556</v>
      </c>
      <c r="G268" s="30" t="s">
        <v>1556</v>
      </c>
      <c r="H268" s="29" t="s">
        <v>3050</v>
      </c>
      <c r="I268" s="29" t="s">
        <v>3050</v>
      </c>
    </row>
    <row r="269">
      <c r="A269" s="28">
        <f>ROW()-ROW(Table_Phrases[N])</f>
        <v>267</v>
      </c>
      <c r="B269" s="28" t="s">
        <v>3051</v>
      </c>
      <c r="C269" s="28">
        <v>1.0</v>
      </c>
      <c r="D269" s="30" t="s">
        <v>1720</v>
      </c>
      <c r="E269" s="62" t="s">
        <v>2565</v>
      </c>
      <c r="F269" s="30" t="s">
        <v>1596</v>
      </c>
      <c r="G269" s="30" t="s">
        <v>1556</v>
      </c>
      <c r="H269" s="29" t="s">
        <v>3052</v>
      </c>
      <c r="I269" s="29" t="s">
        <v>3052</v>
      </c>
    </row>
    <row r="270">
      <c r="A270" s="28">
        <f>ROW()-ROW(Table_Phrases[N])</f>
        <v>268</v>
      </c>
      <c r="B270" s="28" t="s">
        <v>3053</v>
      </c>
      <c r="C270" s="28">
        <v>0.0</v>
      </c>
      <c r="D270" s="30" t="s">
        <v>1725</v>
      </c>
      <c r="E270" s="62" t="s">
        <v>1596</v>
      </c>
      <c r="F270" s="62" t="s">
        <v>2565</v>
      </c>
      <c r="G270" s="30" t="s">
        <v>1556</v>
      </c>
      <c r="H270" s="29" t="s">
        <v>3054</v>
      </c>
      <c r="I270" s="29" t="s">
        <v>3054</v>
      </c>
    </row>
    <row r="271">
      <c r="A271" s="28">
        <f>ROW()-ROW(Table_Phrases[N])</f>
        <v>269</v>
      </c>
      <c r="B271" s="28" t="s">
        <v>3055</v>
      </c>
      <c r="C271" s="28">
        <v>1.0</v>
      </c>
      <c r="D271" s="30" t="s">
        <v>1731</v>
      </c>
      <c r="E271" s="62" t="s">
        <v>2565</v>
      </c>
      <c r="F271" s="30" t="s">
        <v>1596</v>
      </c>
      <c r="G271" s="30" t="s">
        <v>1556</v>
      </c>
      <c r="H271" s="29" t="s">
        <v>3057</v>
      </c>
      <c r="I271" s="29" t="s">
        <v>3057</v>
      </c>
    </row>
    <row r="272">
      <c r="A272" s="28">
        <f>ROW()-ROW(Table_Phrases[N])</f>
        <v>270</v>
      </c>
      <c r="B272" s="28" t="s">
        <v>3058</v>
      </c>
      <c r="C272" s="28">
        <v>0.0</v>
      </c>
      <c r="D272" s="30" t="s">
        <v>1736</v>
      </c>
      <c r="E272" s="62" t="s">
        <v>1596</v>
      </c>
      <c r="F272" s="62" t="s">
        <v>2565</v>
      </c>
      <c r="G272" s="30" t="s">
        <v>1556</v>
      </c>
      <c r="H272" s="29" t="s">
        <v>3059</v>
      </c>
      <c r="I272" s="29" t="s">
        <v>3059</v>
      </c>
    </row>
    <row r="273">
      <c r="A273" s="28">
        <f>ROW()-ROW(Table_Phrases[N])</f>
        <v>271</v>
      </c>
      <c r="B273" s="28" t="s">
        <v>3060</v>
      </c>
      <c r="C273" s="28">
        <v>1.0</v>
      </c>
      <c r="D273" s="30" t="s">
        <v>1742</v>
      </c>
      <c r="E273" s="62" t="s">
        <v>2565</v>
      </c>
      <c r="F273" s="30" t="s">
        <v>1596</v>
      </c>
      <c r="G273" s="30" t="s">
        <v>1556</v>
      </c>
      <c r="H273" s="29" t="s">
        <v>3061</v>
      </c>
      <c r="I273" s="29" t="s">
        <v>3061</v>
      </c>
    </row>
    <row r="274">
      <c r="A274" s="28">
        <f>ROW()-ROW(Table_Phrases[N])</f>
        <v>272</v>
      </c>
      <c r="B274" s="28" t="s">
        <v>3062</v>
      </c>
      <c r="C274" s="28">
        <v>0.0</v>
      </c>
      <c r="D274" s="30" t="s">
        <v>1749</v>
      </c>
      <c r="E274" s="62" t="s">
        <v>1596</v>
      </c>
      <c r="F274" s="30" t="s">
        <v>1644</v>
      </c>
      <c r="G274" s="30" t="s">
        <v>1556</v>
      </c>
      <c r="H274" s="29" t="s">
        <v>3063</v>
      </c>
      <c r="I274" s="29" t="s">
        <v>3063</v>
      </c>
    </row>
    <row r="275">
      <c r="A275" s="28">
        <f>ROW()-ROW(Table_Phrases[N])</f>
        <v>273</v>
      </c>
      <c r="B275" s="28" t="s">
        <v>3064</v>
      </c>
      <c r="C275" s="28">
        <v>1.0</v>
      </c>
      <c r="D275" s="30" t="s">
        <v>1752</v>
      </c>
      <c r="E275" s="30" t="s">
        <v>1644</v>
      </c>
      <c r="F275" s="30" t="s">
        <v>1596</v>
      </c>
      <c r="G275" s="30" t="s">
        <v>1556</v>
      </c>
      <c r="H275" s="29" t="s">
        <v>3065</v>
      </c>
      <c r="I275" s="29" t="s">
        <v>3065</v>
      </c>
    </row>
    <row r="276">
      <c r="A276" s="28">
        <f>ROW()-ROW(Table_Phrases[N])</f>
        <v>274</v>
      </c>
      <c r="B276" s="28" t="s">
        <v>3066</v>
      </c>
      <c r="C276" s="28">
        <v>0.0</v>
      </c>
      <c r="D276" s="30" t="s">
        <v>1760</v>
      </c>
      <c r="E276" s="62" t="s">
        <v>1596</v>
      </c>
      <c r="F276" s="30" t="s">
        <v>1644</v>
      </c>
      <c r="G276" s="30" t="s">
        <v>1556</v>
      </c>
      <c r="H276" s="29" t="s">
        <v>3067</v>
      </c>
      <c r="I276" s="29" t="s">
        <v>3067</v>
      </c>
    </row>
    <row r="277">
      <c r="A277" s="28">
        <f>ROW()-ROW(Table_Phrases[N])</f>
        <v>275</v>
      </c>
      <c r="B277" s="28" t="s">
        <v>3068</v>
      </c>
      <c r="C277" s="28">
        <v>1.0</v>
      </c>
      <c r="D277" s="30" t="s">
        <v>1763</v>
      </c>
      <c r="E277" s="30" t="s">
        <v>1644</v>
      </c>
      <c r="F277" s="30" t="s">
        <v>1596</v>
      </c>
      <c r="G277" s="30" t="s">
        <v>1556</v>
      </c>
      <c r="H277" s="29" t="s">
        <v>3069</v>
      </c>
      <c r="I277" s="29" t="s">
        <v>3069</v>
      </c>
    </row>
    <row r="278">
      <c r="A278" s="28">
        <f>ROW()-ROW(Table_Phrases[N])</f>
        <v>276</v>
      </c>
      <c r="B278" s="28" t="s">
        <v>3070</v>
      </c>
      <c r="C278" s="28">
        <v>1.0</v>
      </c>
      <c r="D278" s="30" t="s">
        <v>1768</v>
      </c>
      <c r="E278" s="30" t="s">
        <v>1644</v>
      </c>
      <c r="F278" s="30" t="s">
        <v>1596</v>
      </c>
      <c r="G278" s="30" t="s">
        <v>1556</v>
      </c>
      <c r="H278" s="29" t="s">
        <v>3071</v>
      </c>
      <c r="I278" s="29" t="s">
        <v>3071</v>
      </c>
    </row>
    <row r="279">
      <c r="A279" s="28">
        <f>ROW()-ROW(Table_Phrases[N])</f>
        <v>277</v>
      </c>
      <c r="B279" s="28" t="s">
        <v>3072</v>
      </c>
      <c r="C279" s="28">
        <v>0.0</v>
      </c>
      <c r="D279" s="30" t="s">
        <v>1772</v>
      </c>
      <c r="E279" s="62" t="s">
        <v>1596</v>
      </c>
      <c r="F279" s="30" t="s">
        <v>1644</v>
      </c>
      <c r="G279" s="30" t="s">
        <v>1556</v>
      </c>
      <c r="H279" s="29" t="s">
        <v>3073</v>
      </c>
      <c r="I279" s="29" t="s">
        <v>3073</v>
      </c>
    </row>
    <row r="280">
      <c r="A280" s="28">
        <f>ROW()-ROW(Table_Phrases[N])</f>
        <v>278</v>
      </c>
      <c r="B280" s="28" t="s">
        <v>3074</v>
      </c>
      <c r="C280" s="28">
        <v>1.0</v>
      </c>
      <c r="D280" s="30" t="s">
        <v>1777</v>
      </c>
      <c r="E280" s="30" t="s">
        <v>1644</v>
      </c>
      <c r="F280" s="30" t="s">
        <v>1596</v>
      </c>
      <c r="G280" s="30" t="s">
        <v>1556</v>
      </c>
      <c r="H280" s="29" t="s">
        <v>3075</v>
      </c>
      <c r="I280" s="29" t="s">
        <v>3075</v>
      </c>
    </row>
    <row r="281">
      <c r="A281" s="28">
        <f>ROW()-ROW(Table_Phrases[N])</f>
        <v>279</v>
      </c>
      <c r="B281" s="28" t="s">
        <v>3076</v>
      </c>
      <c r="C281" s="28">
        <v>1.0</v>
      </c>
      <c r="D281" s="30" t="s">
        <v>1781</v>
      </c>
      <c r="E281" s="30" t="s">
        <v>1644</v>
      </c>
      <c r="F281" s="30" t="s">
        <v>1596</v>
      </c>
      <c r="G281" s="30" t="s">
        <v>1556</v>
      </c>
      <c r="H281" s="29" t="s">
        <v>3077</v>
      </c>
      <c r="I281" s="29" t="s">
        <v>3077</v>
      </c>
    </row>
    <row r="282">
      <c r="A282" s="28">
        <f>ROW()-ROW(Table_Phrases[N])</f>
        <v>280</v>
      </c>
      <c r="B282" s="28" t="s">
        <v>3078</v>
      </c>
      <c r="C282" s="28">
        <v>0.0</v>
      </c>
      <c r="D282" s="30" t="s">
        <v>1785</v>
      </c>
      <c r="E282" s="62" t="s">
        <v>1596</v>
      </c>
      <c r="F282" s="30" t="s">
        <v>1644</v>
      </c>
      <c r="G282" s="30" t="s">
        <v>1556</v>
      </c>
      <c r="H282" s="29" t="s">
        <v>3079</v>
      </c>
      <c r="I282" s="29" t="s">
        <v>3079</v>
      </c>
    </row>
    <row r="283">
      <c r="A283" s="28">
        <f>ROW()-ROW(Table_Phrases[N])</f>
        <v>281</v>
      </c>
      <c r="B283" s="28" t="s">
        <v>3080</v>
      </c>
      <c r="C283" s="28">
        <v>1.0</v>
      </c>
      <c r="D283" s="30" t="s">
        <v>1790</v>
      </c>
      <c r="E283" s="30" t="s">
        <v>1644</v>
      </c>
      <c r="F283" s="30" t="s">
        <v>1596</v>
      </c>
      <c r="G283" s="30" t="s">
        <v>1556</v>
      </c>
      <c r="H283" s="29" t="s">
        <v>3081</v>
      </c>
      <c r="I283" s="29" t="s">
        <v>3081</v>
      </c>
    </row>
    <row r="284">
      <c r="A284" s="28">
        <f>ROW()-ROW(Table_Phrases[N])</f>
        <v>282</v>
      </c>
      <c r="B284" s="28" t="s">
        <v>3082</v>
      </c>
      <c r="C284" s="28">
        <v>0.0</v>
      </c>
      <c r="D284" s="30" t="s">
        <v>1794</v>
      </c>
      <c r="E284" s="62" t="s">
        <v>1596</v>
      </c>
      <c r="F284" s="30" t="s">
        <v>1644</v>
      </c>
      <c r="G284" s="30" t="s">
        <v>1556</v>
      </c>
      <c r="H284" s="29" t="s">
        <v>3083</v>
      </c>
      <c r="I284" s="29" t="s">
        <v>3083</v>
      </c>
    </row>
    <row r="285">
      <c r="A285" s="28">
        <f>ROW()-ROW(Table_Phrases[N])</f>
        <v>283</v>
      </c>
      <c r="B285" s="28" t="s">
        <v>3085</v>
      </c>
      <c r="C285" s="28">
        <v>1.0</v>
      </c>
      <c r="D285" s="30" t="s">
        <v>1800</v>
      </c>
      <c r="E285" s="30" t="s">
        <v>1644</v>
      </c>
      <c r="F285" s="30" t="s">
        <v>1596</v>
      </c>
      <c r="G285" s="30" t="s">
        <v>1556</v>
      </c>
      <c r="H285" s="29" t="s">
        <v>3086</v>
      </c>
      <c r="I285" s="29" t="s">
        <v>3086</v>
      </c>
    </row>
    <row r="286">
      <c r="A286" s="28">
        <f>ROW()-ROW(Table_Phrases[N])</f>
        <v>284</v>
      </c>
      <c r="B286" s="28" t="s">
        <v>3087</v>
      </c>
      <c r="C286" s="28">
        <v>0.0</v>
      </c>
      <c r="D286" s="30" t="s">
        <v>1803</v>
      </c>
      <c r="E286" s="62" t="s">
        <v>1596</v>
      </c>
      <c r="F286" s="30" t="s">
        <v>1644</v>
      </c>
      <c r="G286" s="30" t="s">
        <v>1556</v>
      </c>
      <c r="H286" s="29" t="s">
        <v>3088</v>
      </c>
      <c r="I286" s="29" t="s">
        <v>3088</v>
      </c>
    </row>
    <row r="287">
      <c r="A287" s="28">
        <f>ROW()-ROW(Table_Phrases[N])</f>
        <v>285</v>
      </c>
      <c r="B287" s="28" t="s">
        <v>3089</v>
      </c>
      <c r="C287" s="28">
        <v>1.0</v>
      </c>
      <c r="D287" s="30" t="s">
        <v>1808</v>
      </c>
      <c r="E287" s="30" t="s">
        <v>1644</v>
      </c>
      <c r="F287" s="30" t="s">
        <v>1596</v>
      </c>
      <c r="G287" s="30" t="s">
        <v>1556</v>
      </c>
      <c r="H287" s="29" t="s">
        <v>3090</v>
      </c>
      <c r="I287" s="29" t="s">
        <v>3090</v>
      </c>
    </row>
    <row r="288">
      <c r="A288" s="28">
        <f>ROW()-ROW(Table_Phrases[N])</f>
        <v>286</v>
      </c>
      <c r="B288" s="28" t="s">
        <v>3091</v>
      </c>
      <c r="C288" s="28">
        <v>0.0</v>
      </c>
      <c r="D288" s="30" t="s">
        <v>1813</v>
      </c>
      <c r="E288" s="62" t="s">
        <v>1596</v>
      </c>
      <c r="F288" s="30" t="s">
        <v>1644</v>
      </c>
      <c r="G288" s="30" t="s">
        <v>1556</v>
      </c>
      <c r="H288" s="29" t="s">
        <v>3092</v>
      </c>
      <c r="I288" s="29" t="s">
        <v>3092</v>
      </c>
    </row>
    <row r="289">
      <c r="A289" s="28">
        <f>ROW()-ROW(Table_Phrases[N])</f>
        <v>287</v>
      </c>
      <c r="B289" s="28" t="s">
        <v>3093</v>
      </c>
      <c r="C289" s="28">
        <v>1.0</v>
      </c>
      <c r="D289" s="30" t="s">
        <v>1818</v>
      </c>
      <c r="E289" s="30" t="s">
        <v>1644</v>
      </c>
      <c r="F289" s="30" t="s">
        <v>1596</v>
      </c>
      <c r="G289" s="30" t="s">
        <v>1556</v>
      </c>
      <c r="H289" s="29" t="s">
        <v>3094</v>
      </c>
      <c r="I289" s="29" t="s">
        <v>3094</v>
      </c>
    </row>
    <row r="290">
      <c r="A290" s="28">
        <f>ROW()-ROW(Table_Phrases[N])</f>
        <v>288</v>
      </c>
      <c r="B290" s="28" t="s">
        <v>3095</v>
      </c>
      <c r="C290" s="28">
        <v>0.0</v>
      </c>
      <c r="D290" s="30" t="s">
        <v>1823</v>
      </c>
      <c r="E290" s="62" t="s">
        <v>1596</v>
      </c>
      <c r="F290" s="30" t="s">
        <v>1644</v>
      </c>
      <c r="G290" s="30" t="s">
        <v>1556</v>
      </c>
      <c r="H290" s="29" t="s">
        <v>3096</v>
      </c>
      <c r="I290" s="29" t="s">
        <v>3096</v>
      </c>
    </row>
    <row r="291">
      <c r="A291" s="28">
        <f>ROW()-ROW(Table_Phrases[N])</f>
        <v>289</v>
      </c>
      <c r="B291" s="28" t="s">
        <v>3097</v>
      </c>
      <c r="C291" s="28">
        <v>1.0</v>
      </c>
      <c r="D291" s="30" t="s">
        <v>1828</v>
      </c>
      <c r="E291" s="30" t="s">
        <v>1644</v>
      </c>
      <c r="F291" s="30" t="s">
        <v>1596</v>
      </c>
      <c r="G291" s="30" t="s">
        <v>1556</v>
      </c>
      <c r="H291" s="29" t="s">
        <v>3098</v>
      </c>
      <c r="I291" s="29" t="s">
        <v>3098</v>
      </c>
    </row>
    <row r="292">
      <c r="A292" s="28">
        <f>ROW()-ROW(Table_Phrases[N])</f>
        <v>290</v>
      </c>
      <c r="B292" s="28" t="s">
        <v>3100</v>
      </c>
      <c r="C292" s="28">
        <v>0.0</v>
      </c>
      <c r="D292" s="30" t="s">
        <v>1834</v>
      </c>
      <c r="E292" s="62" t="s">
        <v>1596</v>
      </c>
      <c r="F292" s="30" t="s">
        <v>1644</v>
      </c>
      <c r="G292" s="30" t="s">
        <v>1556</v>
      </c>
      <c r="H292" s="29" t="s">
        <v>3101</v>
      </c>
      <c r="I292" s="29" t="s">
        <v>3101</v>
      </c>
    </row>
    <row r="293">
      <c r="A293" s="28">
        <f>ROW()-ROW(Table_Phrases[N])</f>
        <v>291</v>
      </c>
      <c r="B293" s="28" t="s">
        <v>3102</v>
      </c>
      <c r="C293" s="28">
        <v>0.0</v>
      </c>
      <c r="D293" s="30" t="s">
        <v>1839</v>
      </c>
      <c r="E293" s="62" t="s">
        <v>1596</v>
      </c>
      <c r="F293" s="30" t="s">
        <v>1644</v>
      </c>
      <c r="G293" s="30" t="s">
        <v>1556</v>
      </c>
      <c r="H293" s="29" t="s">
        <v>3103</v>
      </c>
      <c r="I293" s="29" t="s">
        <v>3103</v>
      </c>
    </row>
    <row r="294">
      <c r="A294" s="28">
        <f>ROW()-ROW(Table_Phrases[N])</f>
        <v>292</v>
      </c>
      <c r="B294" s="28" t="s">
        <v>3104</v>
      </c>
      <c r="C294" s="28">
        <v>1.0</v>
      </c>
      <c r="D294" s="30" t="s">
        <v>1844</v>
      </c>
      <c r="E294" s="30" t="s">
        <v>1644</v>
      </c>
      <c r="F294" s="30" t="s">
        <v>1596</v>
      </c>
      <c r="G294" s="30" t="s">
        <v>1556</v>
      </c>
      <c r="H294" s="29" t="s">
        <v>3105</v>
      </c>
      <c r="I294" s="29" t="s">
        <v>3105</v>
      </c>
    </row>
    <row r="295">
      <c r="A295" s="28">
        <f>ROW()-ROW(Table_Phrases[N])</f>
        <v>293</v>
      </c>
      <c r="B295" s="28" t="s">
        <v>3106</v>
      </c>
      <c r="C295" s="28">
        <v>0.0</v>
      </c>
      <c r="D295" s="30" t="s">
        <v>1849</v>
      </c>
      <c r="E295" s="62" t="s">
        <v>1596</v>
      </c>
      <c r="F295" s="30" t="s">
        <v>1644</v>
      </c>
      <c r="G295" s="30" t="s">
        <v>1556</v>
      </c>
      <c r="H295" s="29" t="s">
        <v>3107</v>
      </c>
      <c r="I295" s="29" t="s">
        <v>3107</v>
      </c>
    </row>
    <row r="296">
      <c r="A296" s="28">
        <f>ROW()-ROW(Table_Phrases[N])</f>
        <v>294</v>
      </c>
      <c r="B296" s="28" t="s">
        <v>3108</v>
      </c>
      <c r="C296" s="28">
        <v>1.0</v>
      </c>
      <c r="D296" s="30" t="s">
        <v>1851</v>
      </c>
      <c r="E296" s="30" t="s">
        <v>1644</v>
      </c>
      <c r="F296" s="30" t="s">
        <v>1596</v>
      </c>
      <c r="G296" s="30" t="s">
        <v>1556</v>
      </c>
      <c r="H296" s="29" t="s">
        <v>3109</v>
      </c>
      <c r="I296" s="29" t="s">
        <v>3109</v>
      </c>
    </row>
    <row r="297">
      <c r="A297" s="28">
        <f>ROW()-ROW(Table_Phrases[N])</f>
        <v>295</v>
      </c>
      <c r="B297" s="28" t="s">
        <v>3110</v>
      </c>
      <c r="C297" s="28">
        <v>0.0</v>
      </c>
      <c r="D297" s="30" t="s">
        <v>1857</v>
      </c>
      <c r="E297" s="62" t="s">
        <v>1596</v>
      </c>
      <c r="F297" s="30" t="s">
        <v>1644</v>
      </c>
      <c r="G297" s="30" t="s">
        <v>1556</v>
      </c>
      <c r="H297" s="29" t="s">
        <v>3111</v>
      </c>
      <c r="I297" s="29" t="s">
        <v>3111</v>
      </c>
    </row>
    <row r="298">
      <c r="A298" s="28">
        <f>ROW()-ROW(Table_Phrases[N])</f>
        <v>296</v>
      </c>
      <c r="B298" s="28" t="s">
        <v>3112</v>
      </c>
      <c r="C298" s="28">
        <v>1.0</v>
      </c>
      <c r="D298" s="30" t="s">
        <v>1861</v>
      </c>
      <c r="E298" s="30" t="s">
        <v>1644</v>
      </c>
      <c r="F298" s="30" t="s">
        <v>1596</v>
      </c>
      <c r="G298" s="30" t="s">
        <v>1556</v>
      </c>
      <c r="H298" s="29" t="s">
        <v>3113</v>
      </c>
      <c r="I298" s="29" t="s">
        <v>3113</v>
      </c>
    </row>
    <row r="299">
      <c r="A299" s="28">
        <f>ROW()-ROW(Table_Phrases[N])</f>
        <v>297</v>
      </c>
      <c r="B299" s="28" t="s">
        <v>3114</v>
      </c>
      <c r="C299" s="28">
        <v>0.0</v>
      </c>
      <c r="D299" s="30" t="s">
        <v>1868</v>
      </c>
      <c r="E299" s="62" t="s">
        <v>1596</v>
      </c>
      <c r="F299" s="30" t="s">
        <v>1644</v>
      </c>
      <c r="G299" s="30" t="s">
        <v>1556</v>
      </c>
      <c r="H299" s="29" t="s">
        <v>3115</v>
      </c>
      <c r="I299" s="29" t="s">
        <v>3115</v>
      </c>
    </row>
    <row r="300">
      <c r="A300" s="28">
        <f>ROW()-ROW(Table_Phrases[N])</f>
        <v>298</v>
      </c>
      <c r="B300" s="28" t="s">
        <v>3116</v>
      </c>
      <c r="C300" s="28">
        <v>1.0</v>
      </c>
      <c r="D300" s="30" t="s">
        <v>1871</v>
      </c>
      <c r="E300" s="30" t="s">
        <v>1644</v>
      </c>
      <c r="F300" s="30" t="s">
        <v>1596</v>
      </c>
      <c r="G300" s="30" t="s">
        <v>1556</v>
      </c>
      <c r="H300" s="29" t="s">
        <v>3117</v>
      </c>
      <c r="I300" s="29" t="s">
        <v>3117</v>
      </c>
    </row>
    <row r="301">
      <c r="A301" s="28">
        <f>ROW()-ROW(Table_Phrases[N])</f>
        <v>299</v>
      </c>
      <c r="B301" s="28" t="s">
        <v>3118</v>
      </c>
      <c r="C301" s="28">
        <v>0.0</v>
      </c>
      <c r="D301" s="30" t="s">
        <v>1877</v>
      </c>
      <c r="E301" s="62" t="s">
        <v>1596</v>
      </c>
      <c r="F301" s="30" t="s">
        <v>1644</v>
      </c>
      <c r="G301" s="30" t="s">
        <v>1556</v>
      </c>
      <c r="H301" s="29" t="s">
        <v>3119</v>
      </c>
      <c r="I301" s="29" t="s">
        <v>3119</v>
      </c>
    </row>
    <row r="302">
      <c r="A302" s="28">
        <f>ROW()-ROW(Table_Phrases[N])</f>
        <v>300</v>
      </c>
      <c r="B302" s="28" t="s">
        <v>3120</v>
      </c>
      <c r="C302" s="28">
        <v>1.0</v>
      </c>
      <c r="D302" s="30" t="s">
        <v>1883</v>
      </c>
      <c r="E302" s="30" t="s">
        <v>1644</v>
      </c>
      <c r="F302" s="30" t="s">
        <v>1596</v>
      </c>
      <c r="G302" s="30" t="s">
        <v>1556</v>
      </c>
      <c r="H302" s="29" t="s">
        <v>3121</v>
      </c>
      <c r="I302" s="29" t="s">
        <v>3121</v>
      </c>
    </row>
    <row r="303">
      <c r="A303" s="28">
        <f>ROW()-ROW(Table_Phrases[N])</f>
        <v>301</v>
      </c>
      <c r="B303" s="28" t="s">
        <v>3122</v>
      </c>
      <c r="C303" s="28">
        <v>0.0</v>
      </c>
      <c r="D303" s="30" t="s">
        <v>1888</v>
      </c>
      <c r="E303" s="62" t="s">
        <v>1596</v>
      </c>
      <c r="F303" s="30" t="s">
        <v>1644</v>
      </c>
      <c r="G303" s="30" t="s">
        <v>1556</v>
      </c>
      <c r="H303" s="29" t="s">
        <v>3123</v>
      </c>
      <c r="I303" s="29" t="s">
        <v>3123</v>
      </c>
    </row>
    <row r="304">
      <c r="A304" s="28">
        <f>ROW()-ROW(Table_Phrases[N])</f>
        <v>302</v>
      </c>
      <c r="B304" s="28" t="s">
        <v>3124</v>
      </c>
      <c r="C304" s="28">
        <v>1.0</v>
      </c>
      <c r="D304" s="30" t="s">
        <v>1893</v>
      </c>
      <c r="E304" s="30" t="s">
        <v>1644</v>
      </c>
      <c r="F304" s="30" t="s">
        <v>1596</v>
      </c>
      <c r="G304" s="30" t="s">
        <v>1556</v>
      </c>
      <c r="H304" s="29" t="s">
        <v>3125</v>
      </c>
      <c r="I304" s="29" t="s">
        <v>3125</v>
      </c>
    </row>
    <row r="305">
      <c r="A305" s="28">
        <f>ROW()-ROW(Table_Phrases[N])</f>
        <v>303</v>
      </c>
      <c r="B305" s="28" t="s">
        <v>3126</v>
      </c>
      <c r="C305" s="28">
        <v>0.0</v>
      </c>
      <c r="D305" s="30" t="s">
        <v>1897</v>
      </c>
      <c r="E305" s="62" t="s">
        <v>1596</v>
      </c>
      <c r="F305" s="30" t="s">
        <v>1644</v>
      </c>
      <c r="G305" s="30" t="s">
        <v>1556</v>
      </c>
      <c r="H305" s="29" t="s">
        <v>3127</v>
      </c>
      <c r="I305" s="29" t="s">
        <v>3127</v>
      </c>
    </row>
    <row r="306">
      <c r="A306" s="28">
        <f>ROW()-ROW(Table_Phrases[N])</f>
        <v>304</v>
      </c>
      <c r="B306" s="28" t="s">
        <v>3128</v>
      </c>
      <c r="C306" s="28">
        <v>1.0</v>
      </c>
      <c r="D306" s="30" t="s">
        <v>1904</v>
      </c>
      <c r="E306" s="30" t="s">
        <v>1644</v>
      </c>
      <c r="F306" s="30" t="s">
        <v>1596</v>
      </c>
      <c r="G306" s="30" t="s">
        <v>1556</v>
      </c>
      <c r="H306" s="29" t="s">
        <v>3129</v>
      </c>
      <c r="I306" s="29" t="s">
        <v>3129</v>
      </c>
    </row>
    <row r="307">
      <c r="A307" s="28">
        <f>ROW()-ROW(Table_Phrases[N])</f>
        <v>305</v>
      </c>
      <c r="B307" s="28" t="s">
        <v>3130</v>
      </c>
      <c r="C307" s="28">
        <v>0.0</v>
      </c>
      <c r="D307" s="30" t="s">
        <v>1909</v>
      </c>
      <c r="E307" s="62" t="s">
        <v>1596</v>
      </c>
      <c r="F307" s="30" t="s">
        <v>1644</v>
      </c>
      <c r="G307" s="30" t="s">
        <v>1556</v>
      </c>
      <c r="H307" s="29" t="s">
        <v>3131</v>
      </c>
      <c r="I307" s="29" t="s">
        <v>3131</v>
      </c>
    </row>
    <row r="308">
      <c r="A308" s="28">
        <f>ROW()-ROW(Table_Phrases[N])</f>
        <v>306</v>
      </c>
      <c r="B308" s="28" t="s">
        <v>3132</v>
      </c>
      <c r="C308" s="28">
        <v>1.0</v>
      </c>
      <c r="D308" s="30" t="s">
        <v>1915</v>
      </c>
      <c r="E308" s="30" t="s">
        <v>1644</v>
      </c>
      <c r="F308" s="30" t="s">
        <v>1596</v>
      </c>
      <c r="G308" s="30" t="s">
        <v>1556</v>
      </c>
      <c r="H308" s="29" t="s">
        <v>3133</v>
      </c>
      <c r="I308" s="29" t="s">
        <v>3133</v>
      </c>
    </row>
    <row r="309">
      <c r="A309" s="28">
        <f>ROW()-ROW(Table_Phrases[N])</f>
        <v>307</v>
      </c>
      <c r="B309" s="28" t="s">
        <v>3134</v>
      </c>
      <c r="C309" s="28">
        <v>0.0</v>
      </c>
      <c r="D309" s="30" t="s">
        <v>1920</v>
      </c>
      <c r="E309" s="62" t="s">
        <v>1596</v>
      </c>
      <c r="F309" s="30" t="s">
        <v>1644</v>
      </c>
      <c r="G309" s="30" t="s">
        <v>1556</v>
      </c>
      <c r="H309" s="29" t="s">
        <v>3135</v>
      </c>
      <c r="I309" s="29" t="s">
        <v>3135</v>
      </c>
    </row>
    <row r="310">
      <c r="A310" s="28">
        <f>ROW()-ROW(Table_Phrases[N])</f>
        <v>308</v>
      </c>
      <c r="B310" s="28" t="s">
        <v>3136</v>
      </c>
      <c r="C310" s="28">
        <v>1.0</v>
      </c>
      <c r="D310" s="30" t="s">
        <v>1928</v>
      </c>
      <c r="E310" s="30" t="s">
        <v>1644</v>
      </c>
      <c r="F310" s="30" t="s">
        <v>1596</v>
      </c>
      <c r="G310" s="30" t="s">
        <v>1556</v>
      </c>
      <c r="H310" s="29" t="s">
        <v>3137</v>
      </c>
      <c r="I310" s="29" t="s">
        <v>3137</v>
      </c>
    </row>
    <row r="311">
      <c r="A311" s="28">
        <f>ROW()-ROW(Table_Phrases[N])</f>
        <v>309</v>
      </c>
      <c r="B311" s="28" t="s">
        <v>3138</v>
      </c>
      <c r="C311" s="28">
        <v>0.0</v>
      </c>
      <c r="D311" s="30" t="s">
        <v>1931</v>
      </c>
      <c r="E311" s="62" t="s">
        <v>1596</v>
      </c>
      <c r="F311" s="30" t="s">
        <v>1644</v>
      </c>
      <c r="G311" s="30" t="s">
        <v>1556</v>
      </c>
      <c r="H311" s="29" t="s">
        <v>3140</v>
      </c>
      <c r="I311" s="29" t="s">
        <v>3140</v>
      </c>
    </row>
    <row r="312">
      <c r="A312" s="28">
        <f>ROW()-ROW(Table_Phrases[N])</f>
        <v>310</v>
      </c>
      <c r="B312" s="28" t="s">
        <v>3141</v>
      </c>
      <c r="C312" s="28">
        <v>1.0</v>
      </c>
      <c r="D312" s="30" t="s">
        <v>1939</v>
      </c>
      <c r="E312" s="30" t="s">
        <v>1644</v>
      </c>
      <c r="F312" s="30" t="s">
        <v>1596</v>
      </c>
      <c r="G312" s="30" t="s">
        <v>1556</v>
      </c>
      <c r="H312" s="29" t="s">
        <v>3142</v>
      </c>
      <c r="I312" s="29" t="s">
        <v>3142</v>
      </c>
    </row>
    <row r="313">
      <c r="A313" s="28">
        <f>ROW()-ROW(Table_Phrases[N])</f>
        <v>311</v>
      </c>
      <c r="B313" s="28" t="s">
        <v>3143</v>
      </c>
      <c r="C313" s="28">
        <v>0.0</v>
      </c>
      <c r="D313" s="30" t="s">
        <v>1944</v>
      </c>
      <c r="E313" s="62" t="s">
        <v>1596</v>
      </c>
      <c r="F313" s="30" t="s">
        <v>1644</v>
      </c>
      <c r="G313" s="30" t="s">
        <v>1556</v>
      </c>
      <c r="H313" s="29" t="s">
        <v>3144</v>
      </c>
      <c r="I313" s="29" t="s">
        <v>3144</v>
      </c>
    </row>
    <row r="314">
      <c r="A314" s="28">
        <f>ROW()-ROW(Table_Phrases[N])</f>
        <v>312</v>
      </c>
      <c r="B314" s="28" t="s">
        <v>3145</v>
      </c>
      <c r="C314" s="28">
        <v>1.0</v>
      </c>
      <c r="D314" s="30" t="s">
        <v>1952</v>
      </c>
      <c r="E314" s="30" t="s">
        <v>1644</v>
      </c>
      <c r="F314" s="30" t="s">
        <v>1596</v>
      </c>
      <c r="G314" s="30" t="s">
        <v>1556</v>
      </c>
      <c r="H314" s="29" t="s">
        <v>3146</v>
      </c>
      <c r="I314" s="29" t="s">
        <v>3146</v>
      </c>
    </row>
    <row r="315">
      <c r="A315" s="28">
        <f>ROW()-ROW(Table_Phrases[N])</f>
        <v>313</v>
      </c>
      <c r="B315" s="28" t="s">
        <v>3147</v>
      </c>
      <c r="C315" s="28">
        <v>0.0</v>
      </c>
      <c r="D315" s="30" t="s">
        <v>1957</v>
      </c>
      <c r="E315" s="62" t="s">
        <v>1596</v>
      </c>
      <c r="F315" s="30" t="s">
        <v>1644</v>
      </c>
      <c r="G315" s="30" t="s">
        <v>1556</v>
      </c>
      <c r="H315" s="29" t="s">
        <v>3148</v>
      </c>
      <c r="I315" s="29" t="s">
        <v>3148</v>
      </c>
    </row>
    <row r="316">
      <c r="A316" s="28">
        <f>ROW()-ROW(Table_Phrases[N])</f>
        <v>314</v>
      </c>
      <c r="B316" s="28" t="s">
        <v>3149</v>
      </c>
      <c r="C316" s="28">
        <v>1.0</v>
      </c>
      <c r="D316" s="30" t="s">
        <v>1961</v>
      </c>
      <c r="E316" s="30" t="s">
        <v>1644</v>
      </c>
      <c r="F316" s="30" t="s">
        <v>1596</v>
      </c>
      <c r="G316" s="30" t="s">
        <v>1556</v>
      </c>
      <c r="H316" s="29" t="s">
        <v>3150</v>
      </c>
      <c r="I316" s="29" t="s">
        <v>3150</v>
      </c>
    </row>
    <row r="317">
      <c r="A317" s="28">
        <f>ROW()-ROW(Table_Phrases[N])</f>
        <v>315</v>
      </c>
      <c r="B317" s="28" t="s">
        <v>3151</v>
      </c>
      <c r="C317" s="28">
        <v>0.0</v>
      </c>
      <c r="D317" s="30" t="s">
        <v>1965</v>
      </c>
      <c r="E317" s="62" t="s">
        <v>1596</v>
      </c>
      <c r="F317" s="30" t="s">
        <v>1644</v>
      </c>
      <c r="G317" s="30" t="s">
        <v>1556</v>
      </c>
      <c r="H317" s="29" t="s">
        <v>3152</v>
      </c>
      <c r="I317" s="29" t="s">
        <v>3152</v>
      </c>
    </row>
    <row r="318">
      <c r="A318" s="28">
        <f>ROW()-ROW(Table_Phrases[N])</f>
        <v>316</v>
      </c>
      <c r="B318" s="28" t="s">
        <v>3153</v>
      </c>
      <c r="C318" s="28">
        <v>1.0</v>
      </c>
      <c r="D318" s="30" t="s">
        <v>1971</v>
      </c>
      <c r="E318" s="30" t="s">
        <v>1644</v>
      </c>
      <c r="F318" s="30" t="s">
        <v>1596</v>
      </c>
      <c r="G318" s="30" t="s">
        <v>1556</v>
      </c>
      <c r="H318" s="29" t="s">
        <v>3154</v>
      </c>
      <c r="I318" s="29" t="s">
        <v>3154</v>
      </c>
    </row>
    <row r="319">
      <c r="A319" s="28">
        <f>ROW()-ROW(Table_Phrases[N])</f>
        <v>317</v>
      </c>
      <c r="B319" s="28" t="s">
        <v>3156</v>
      </c>
      <c r="C319" s="28">
        <v>1.0</v>
      </c>
      <c r="D319" s="30" t="s">
        <v>1978</v>
      </c>
      <c r="E319" s="30" t="s">
        <v>1644</v>
      </c>
      <c r="F319" s="30" t="s">
        <v>1596</v>
      </c>
      <c r="G319" s="30" t="s">
        <v>1556</v>
      </c>
      <c r="H319" s="29" t="s">
        <v>3157</v>
      </c>
      <c r="I319" s="29" t="s">
        <v>3157</v>
      </c>
    </row>
    <row r="320">
      <c r="A320" s="28">
        <f>ROW()-ROW(Table_Phrases[N])</f>
        <v>318</v>
      </c>
      <c r="B320" s="28" t="s">
        <v>3158</v>
      </c>
      <c r="C320" s="28">
        <v>0.0</v>
      </c>
      <c r="D320" s="30" t="s">
        <v>1982</v>
      </c>
      <c r="E320" s="62" t="s">
        <v>1596</v>
      </c>
      <c r="F320" s="30" t="s">
        <v>2565</v>
      </c>
      <c r="G320" s="30" t="s">
        <v>1556</v>
      </c>
      <c r="H320" s="29" t="s">
        <v>3159</v>
      </c>
      <c r="I320" s="29" t="s">
        <v>3159</v>
      </c>
    </row>
    <row r="321">
      <c r="A321" s="28">
        <f>ROW()-ROW(Table_Phrases[N])</f>
        <v>319</v>
      </c>
      <c r="B321" s="28" t="s">
        <v>3160</v>
      </c>
      <c r="C321" s="28">
        <v>0.0</v>
      </c>
      <c r="D321" s="30" t="s">
        <v>1992</v>
      </c>
      <c r="E321" s="62" t="s">
        <v>1596</v>
      </c>
      <c r="F321" s="30" t="s">
        <v>2565</v>
      </c>
      <c r="G321" s="30" t="s">
        <v>1556</v>
      </c>
      <c r="H321" s="29" t="s">
        <v>3161</v>
      </c>
      <c r="I321" s="29" t="s">
        <v>3161</v>
      </c>
    </row>
    <row r="322">
      <c r="A322" s="28">
        <f>ROW()-ROW(Table_Phrases[N])</f>
        <v>320</v>
      </c>
      <c r="B322" s="28" t="s">
        <v>3162</v>
      </c>
      <c r="C322" s="28">
        <v>0.0</v>
      </c>
      <c r="D322" s="30" t="s">
        <v>1995</v>
      </c>
      <c r="E322" s="62" t="s">
        <v>1596</v>
      </c>
      <c r="F322" s="30" t="s">
        <v>1644</v>
      </c>
      <c r="G322" s="30" t="s">
        <v>1556</v>
      </c>
      <c r="H322" s="29" t="s">
        <v>3164</v>
      </c>
      <c r="I322" s="29" t="s">
        <v>3164</v>
      </c>
    </row>
    <row r="323">
      <c r="A323" s="28">
        <f>ROW()-ROW(Table_Phrases[N])</f>
        <v>321</v>
      </c>
      <c r="B323" s="28" t="s">
        <v>3165</v>
      </c>
      <c r="C323" s="28">
        <v>1.0</v>
      </c>
      <c r="D323" s="30" t="s">
        <v>2003</v>
      </c>
      <c r="E323" s="30" t="s">
        <v>1644</v>
      </c>
      <c r="F323" s="30" t="s">
        <v>1596</v>
      </c>
      <c r="G323" s="30" t="s">
        <v>1556</v>
      </c>
      <c r="H323" s="29" t="s">
        <v>3166</v>
      </c>
      <c r="I323" s="29" t="s">
        <v>3166</v>
      </c>
    </row>
    <row r="324">
      <c r="A324" s="28">
        <f>ROW()-ROW(Table_Phrases[N])</f>
        <v>322</v>
      </c>
      <c r="B324" s="28" t="s">
        <v>3167</v>
      </c>
      <c r="C324" s="28">
        <v>0.0</v>
      </c>
      <c r="D324" s="30" t="s">
        <v>2008</v>
      </c>
      <c r="E324" s="62" t="s">
        <v>1596</v>
      </c>
      <c r="F324" s="30" t="s">
        <v>1644</v>
      </c>
      <c r="G324" s="30" t="s">
        <v>1556</v>
      </c>
      <c r="H324" s="29" t="s">
        <v>3168</v>
      </c>
      <c r="I324" s="29" t="s">
        <v>3168</v>
      </c>
    </row>
    <row r="325">
      <c r="A325" s="28">
        <f>ROW()-ROW(Table_Phrases[N])</f>
        <v>323</v>
      </c>
      <c r="B325" s="28" t="s">
        <v>3169</v>
      </c>
      <c r="C325" s="28">
        <v>1.0</v>
      </c>
      <c r="D325" s="30" t="s">
        <v>2013</v>
      </c>
      <c r="E325" s="30" t="s">
        <v>1644</v>
      </c>
      <c r="F325" s="30" t="s">
        <v>1596</v>
      </c>
      <c r="G325" s="30" t="s">
        <v>1556</v>
      </c>
      <c r="H325" s="29" t="s">
        <v>3170</v>
      </c>
      <c r="I325" s="29" t="s">
        <v>3170</v>
      </c>
    </row>
    <row r="326">
      <c r="A326" s="28">
        <f>ROW()-ROW(Table_Phrases[N])</f>
        <v>324</v>
      </c>
      <c r="B326" s="28" t="s">
        <v>3171</v>
      </c>
      <c r="C326" s="28">
        <v>0.0</v>
      </c>
      <c r="D326" s="30" t="s">
        <v>2019</v>
      </c>
      <c r="E326" s="62" t="s">
        <v>1596</v>
      </c>
      <c r="F326" s="30" t="s">
        <v>1644</v>
      </c>
      <c r="G326" s="30" t="s">
        <v>1556</v>
      </c>
      <c r="H326" s="29" t="s">
        <v>3172</v>
      </c>
      <c r="I326" s="29" t="s">
        <v>3172</v>
      </c>
    </row>
    <row r="327">
      <c r="A327" s="28">
        <f>ROW()-ROW(Table_Phrases[N])</f>
        <v>325</v>
      </c>
      <c r="B327" s="28" t="s">
        <v>3173</v>
      </c>
      <c r="C327" s="28">
        <v>1.0</v>
      </c>
      <c r="D327" s="30" t="s">
        <v>2023</v>
      </c>
      <c r="E327" s="30" t="s">
        <v>1644</v>
      </c>
      <c r="F327" s="30" t="s">
        <v>1596</v>
      </c>
      <c r="G327" s="30" t="s">
        <v>1556</v>
      </c>
      <c r="H327" s="29" t="s">
        <v>3174</v>
      </c>
      <c r="I327" s="29" t="s">
        <v>3174</v>
      </c>
    </row>
    <row r="328">
      <c r="A328" s="28">
        <f>ROW()-ROW(Table_Phrases[N])</f>
        <v>326</v>
      </c>
      <c r="B328" s="28" t="s">
        <v>3175</v>
      </c>
      <c r="C328" s="28">
        <v>0.0</v>
      </c>
      <c r="D328" s="30" t="s">
        <v>2029</v>
      </c>
      <c r="E328" s="62" t="s">
        <v>1596</v>
      </c>
      <c r="F328" s="30" t="s">
        <v>1556</v>
      </c>
      <c r="G328" s="30" t="s">
        <v>1556</v>
      </c>
      <c r="H328" s="29" t="s">
        <v>3176</v>
      </c>
      <c r="I328" s="29" t="s">
        <v>3176</v>
      </c>
    </row>
    <row r="329">
      <c r="A329" s="28">
        <f>ROW()-ROW(Table_Phrases[N])</f>
        <v>327</v>
      </c>
      <c r="B329" s="28" t="s">
        <v>2206</v>
      </c>
      <c r="C329" s="28">
        <v>0.0</v>
      </c>
      <c r="D329" s="30" t="s">
        <v>2035</v>
      </c>
      <c r="E329" s="62" t="s">
        <v>1596</v>
      </c>
      <c r="F329" s="30" t="s">
        <v>1644</v>
      </c>
      <c r="G329" s="30" t="s">
        <v>1556</v>
      </c>
      <c r="H329" s="29" t="s">
        <v>3177</v>
      </c>
      <c r="I329" s="29" t="s">
        <v>3177</v>
      </c>
    </row>
    <row r="330">
      <c r="A330" s="28">
        <f>ROW()-ROW(Table_Phrases[N])</f>
        <v>328</v>
      </c>
      <c r="B330" s="28" t="s">
        <v>3178</v>
      </c>
      <c r="C330" s="28">
        <v>1.0</v>
      </c>
      <c r="D330" s="30" t="s">
        <v>2040</v>
      </c>
      <c r="E330" s="62" t="s">
        <v>1644</v>
      </c>
      <c r="F330" s="30" t="s">
        <v>1596</v>
      </c>
      <c r="G330" s="30" t="s">
        <v>1556</v>
      </c>
      <c r="H330" s="29" t="s">
        <v>3179</v>
      </c>
      <c r="I330" s="29" t="s">
        <v>3179</v>
      </c>
    </row>
    <row r="331">
      <c r="A331" s="28">
        <f>ROW()-ROW(Table_Phrases[N])</f>
        <v>329</v>
      </c>
      <c r="B331" s="28" t="s">
        <v>2227</v>
      </c>
      <c r="C331" s="28">
        <v>0.0</v>
      </c>
      <c r="D331" s="30" t="s">
        <v>2046</v>
      </c>
      <c r="E331" s="62" t="s">
        <v>1596</v>
      </c>
      <c r="F331" s="30" t="s">
        <v>1556</v>
      </c>
      <c r="G331" s="30" t="s">
        <v>1556</v>
      </c>
      <c r="H331" s="29" t="s">
        <v>3180</v>
      </c>
      <c r="I331" s="29" t="s">
        <v>3180</v>
      </c>
    </row>
    <row r="332">
      <c r="A332" s="28">
        <f>ROW()-ROW(Table_Phrases[N])</f>
        <v>330</v>
      </c>
      <c r="B332" s="28" t="s">
        <v>3181</v>
      </c>
      <c r="C332" s="28">
        <v>0.0</v>
      </c>
      <c r="D332" s="30" t="s">
        <v>2050</v>
      </c>
      <c r="E332" s="62" t="s">
        <v>2520</v>
      </c>
      <c r="F332" s="30" t="s">
        <v>1556</v>
      </c>
      <c r="G332" s="30" t="s">
        <v>1556</v>
      </c>
      <c r="H332" s="29"/>
      <c r="I332" s="29"/>
    </row>
    <row r="333">
      <c r="A333" s="28">
        <f>ROW()-ROW(Table_Phrases[N])</f>
        <v>331</v>
      </c>
      <c r="B333" s="28" t="s">
        <v>2240</v>
      </c>
      <c r="C333" s="28">
        <v>0.0</v>
      </c>
      <c r="D333" s="30" t="s">
        <v>2057</v>
      </c>
      <c r="E333" s="62" t="s">
        <v>1596</v>
      </c>
      <c r="F333" s="30" t="s">
        <v>1556</v>
      </c>
      <c r="G333" s="30" t="s">
        <v>1556</v>
      </c>
      <c r="H333" s="29" t="s">
        <v>3182</v>
      </c>
      <c r="I333" s="29" t="s">
        <v>3182</v>
      </c>
    </row>
    <row r="334">
      <c r="A334" s="28">
        <f>ROW()-ROW(Table_Phrases[N])</f>
        <v>332</v>
      </c>
      <c r="B334" s="28" t="s">
        <v>3183</v>
      </c>
      <c r="C334" s="28">
        <v>0.0</v>
      </c>
      <c r="D334" s="30" t="s">
        <v>2062</v>
      </c>
      <c r="E334" s="62" t="s">
        <v>1564</v>
      </c>
      <c r="F334" s="30" t="s">
        <v>1556</v>
      </c>
      <c r="G334" s="30" t="s">
        <v>1556</v>
      </c>
      <c r="H334" s="29" t="s">
        <v>3184</v>
      </c>
      <c r="I334" s="29" t="s">
        <v>3184</v>
      </c>
    </row>
    <row r="335">
      <c r="A335" s="28">
        <f>ROW()-ROW(Table_Phrases[N])</f>
        <v>333</v>
      </c>
      <c r="B335" s="28" t="s">
        <v>3185</v>
      </c>
      <c r="C335" s="28">
        <v>0.0</v>
      </c>
      <c r="D335" s="30" t="s">
        <v>2068</v>
      </c>
      <c r="E335" s="62" t="s">
        <v>1564</v>
      </c>
      <c r="F335" s="30" t="s">
        <v>1556</v>
      </c>
      <c r="G335" s="30" t="s">
        <v>1556</v>
      </c>
      <c r="H335" s="29" t="s">
        <v>3186</v>
      </c>
      <c r="I335" s="29" t="s">
        <v>3186</v>
      </c>
    </row>
    <row r="336">
      <c r="A336" s="28">
        <f>ROW()-ROW(Table_Phrases[N])</f>
        <v>334</v>
      </c>
      <c r="B336" s="28" t="s">
        <v>3187</v>
      </c>
      <c r="C336" s="28">
        <v>0.0</v>
      </c>
      <c r="D336" s="30" t="s">
        <v>2076</v>
      </c>
      <c r="E336" s="62" t="s">
        <v>1564</v>
      </c>
      <c r="F336" s="30" t="s">
        <v>1556</v>
      </c>
      <c r="G336" s="30" t="s">
        <v>1556</v>
      </c>
      <c r="H336" s="29" t="s">
        <v>3188</v>
      </c>
      <c r="I336" s="29" t="s">
        <v>3188</v>
      </c>
    </row>
    <row r="337">
      <c r="A337" s="28">
        <f>ROW()-ROW(Table_Phrases[N])</f>
        <v>335</v>
      </c>
      <c r="B337" s="28" t="s">
        <v>3190</v>
      </c>
      <c r="C337" s="28">
        <v>0.0</v>
      </c>
      <c r="D337" s="30" t="s">
        <v>2084</v>
      </c>
      <c r="E337" s="62" t="s">
        <v>1564</v>
      </c>
      <c r="F337" s="30" t="s">
        <v>1556</v>
      </c>
      <c r="G337" s="30" t="s">
        <v>1556</v>
      </c>
      <c r="H337" s="29" t="s">
        <v>3191</v>
      </c>
      <c r="I337" s="29" t="s">
        <v>3191</v>
      </c>
    </row>
    <row r="338">
      <c r="A338" s="28">
        <f>ROW()-ROW(Table_Phrases[N])</f>
        <v>336</v>
      </c>
      <c r="B338" s="28" t="s">
        <v>3192</v>
      </c>
      <c r="C338" s="28">
        <v>0.0</v>
      </c>
      <c r="D338" s="30" t="s">
        <v>2100</v>
      </c>
      <c r="E338" s="62" t="s">
        <v>1564</v>
      </c>
      <c r="F338" s="30" t="s">
        <v>1556</v>
      </c>
      <c r="G338" s="30" t="s">
        <v>1556</v>
      </c>
      <c r="H338" s="29" t="s">
        <v>3193</v>
      </c>
      <c r="I338" s="29" t="s">
        <v>3193</v>
      </c>
    </row>
    <row r="339">
      <c r="A339" s="28">
        <f>ROW()-ROW(Table_Phrases[N])</f>
        <v>337</v>
      </c>
      <c r="B339" s="28" t="s">
        <v>3194</v>
      </c>
      <c r="C339" s="28">
        <v>0.0</v>
      </c>
      <c r="D339" s="30" t="s">
        <v>2102</v>
      </c>
      <c r="E339" s="62" t="s">
        <v>1564</v>
      </c>
      <c r="F339" s="30" t="s">
        <v>1556</v>
      </c>
      <c r="G339" s="30" t="s">
        <v>1556</v>
      </c>
      <c r="H339" s="29" t="s">
        <v>3195</v>
      </c>
      <c r="I339" s="29" t="s">
        <v>3195</v>
      </c>
    </row>
    <row r="340">
      <c r="A340" s="28">
        <f>ROW()-ROW(Table_Phrases[N])</f>
        <v>338</v>
      </c>
      <c r="B340" s="28" t="s">
        <v>3197</v>
      </c>
      <c r="C340" s="28">
        <v>0.0</v>
      </c>
      <c r="D340" s="30" t="s">
        <v>2111</v>
      </c>
      <c r="E340" s="62" t="s">
        <v>1564</v>
      </c>
      <c r="F340" s="30" t="s">
        <v>1556</v>
      </c>
      <c r="G340" s="30" t="s">
        <v>1556</v>
      </c>
      <c r="H340" s="29" t="s">
        <v>3198</v>
      </c>
      <c r="I340" s="29" t="s">
        <v>3198</v>
      </c>
    </row>
    <row r="341">
      <c r="A341" s="28">
        <f>ROW()-ROW(Table_Phrases[N])</f>
        <v>339</v>
      </c>
      <c r="B341" s="28" t="s">
        <v>3199</v>
      </c>
      <c r="C341" s="28">
        <v>0.0</v>
      </c>
      <c r="D341" s="30" t="s">
        <v>2115</v>
      </c>
      <c r="E341" s="62" t="s">
        <v>1564</v>
      </c>
      <c r="F341" s="30" t="s">
        <v>1556</v>
      </c>
      <c r="G341" s="30" t="s">
        <v>1556</v>
      </c>
      <c r="H341" s="29" t="s">
        <v>3200</v>
      </c>
      <c r="I341" s="29" t="s">
        <v>3200</v>
      </c>
    </row>
    <row r="342">
      <c r="A342" s="28">
        <f>ROW()-ROW(Table_Phrases[N])</f>
        <v>340</v>
      </c>
      <c r="B342" s="28" t="s">
        <v>3201</v>
      </c>
      <c r="C342" s="28">
        <v>0.0</v>
      </c>
      <c r="D342" s="30" t="s">
        <v>2122</v>
      </c>
      <c r="E342" s="62" t="s">
        <v>1564</v>
      </c>
      <c r="F342" s="30" t="s">
        <v>1556</v>
      </c>
      <c r="G342" s="30" t="s">
        <v>1556</v>
      </c>
      <c r="H342" s="29" t="s">
        <v>3202</v>
      </c>
      <c r="I342" s="29" t="s">
        <v>3202</v>
      </c>
    </row>
    <row r="343">
      <c r="A343" s="28">
        <f>ROW()-ROW(Table_Phrases[N])</f>
        <v>341</v>
      </c>
      <c r="B343" s="28" t="s">
        <v>3203</v>
      </c>
      <c r="C343" s="28">
        <v>0.0</v>
      </c>
      <c r="D343" s="30" t="s">
        <v>2127</v>
      </c>
      <c r="E343" s="62" t="s">
        <v>1596</v>
      </c>
      <c r="F343" s="30" t="s">
        <v>1644</v>
      </c>
      <c r="G343" s="30" t="s">
        <v>1556</v>
      </c>
      <c r="H343" s="29" t="s">
        <v>3204</v>
      </c>
      <c r="I343" s="29" t="s">
        <v>3204</v>
      </c>
    </row>
    <row r="344">
      <c r="A344" s="28">
        <f>ROW()-ROW(Table_Phrases[N])</f>
        <v>342</v>
      </c>
      <c r="B344" s="28" t="s">
        <v>3205</v>
      </c>
      <c r="C344" s="28">
        <v>1.0</v>
      </c>
      <c r="D344" s="30" t="s">
        <v>2132</v>
      </c>
      <c r="E344" s="62" t="s">
        <v>2565</v>
      </c>
      <c r="F344" s="30" t="s">
        <v>2520</v>
      </c>
      <c r="G344" s="30" t="s">
        <v>1556</v>
      </c>
      <c r="H344" s="29" t="s">
        <v>3206</v>
      </c>
      <c r="I344" s="29" t="s">
        <v>3206</v>
      </c>
    </row>
    <row r="345">
      <c r="A345" s="28">
        <f>ROW()-ROW(Table_Phrases[N])</f>
        <v>343</v>
      </c>
      <c r="B345" s="28" t="s">
        <v>3207</v>
      </c>
      <c r="C345" s="28">
        <v>1.0</v>
      </c>
      <c r="D345" s="30" t="s">
        <v>2137</v>
      </c>
      <c r="E345" s="62" t="s">
        <v>2565</v>
      </c>
      <c r="F345" s="30" t="s">
        <v>1596</v>
      </c>
      <c r="G345" s="30" t="s">
        <v>1556</v>
      </c>
      <c r="H345" s="29" t="s">
        <v>3208</v>
      </c>
      <c r="I345" s="29" t="s">
        <v>3208</v>
      </c>
    </row>
    <row r="346">
      <c r="A346" s="28">
        <f>ROW()-ROW(Table_Phrases[N])</f>
        <v>344</v>
      </c>
      <c r="B346" s="28" t="s">
        <v>3209</v>
      </c>
      <c r="C346" s="28">
        <v>0.0</v>
      </c>
      <c r="D346" s="30" t="s">
        <v>2144</v>
      </c>
      <c r="E346" s="62" t="s">
        <v>1596</v>
      </c>
      <c r="F346" s="30" t="s">
        <v>1644</v>
      </c>
      <c r="G346" s="30" t="s">
        <v>1556</v>
      </c>
      <c r="H346" s="29" t="s">
        <v>3210</v>
      </c>
      <c r="I346" s="29" t="s">
        <v>3210</v>
      </c>
    </row>
    <row r="347">
      <c r="A347" s="28">
        <f>ROW()-ROW(Table_Phrases[N])</f>
        <v>345</v>
      </c>
      <c r="B347" s="28" t="s">
        <v>3211</v>
      </c>
      <c r="C347" s="28">
        <v>1.0</v>
      </c>
      <c r="D347" s="30" t="s">
        <v>2147</v>
      </c>
      <c r="E347" s="62" t="s">
        <v>2565</v>
      </c>
      <c r="F347" s="30" t="s">
        <v>1596</v>
      </c>
      <c r="G347" s="30" t="s">
        <v>1556</v>
      </c>
      <c r="H347" s="29" t="s">
        <v>3212</v>
      </c>
      <c r="I347" s="29" t="s">
        <v>3212</v>
      </c>
    </row>
    <row r="348">
      <c r="A348" s="28">
        <f>ROW()-ROW(Table_Phrases[N])</f>
        <v>346</v>
      </c>
      <c r="B348" s="28" t="s">
        <v>3213</v>
      </c>
      <c r="C348" s="28">
        <v>0.0</v>
      </c>
      <c r="D348" s="30" t="s">
        <v>2153</v>
      </c>
      <c r="E348" s="62" t="s">
        <v>1596</v>
      </c>
      <c r="F348" s="30" t="s">
        <v>1644</v>
      </c>
      <c r="G348" s="30" t="s">
        <v>1556</v>
      </c>
      <c r="H348" s="29" t="s">
        <v>3214</v>
      </c>
      <c r="I348" s="29" t="s">
        <v>3214</v>
      </c>
    </row>
    <row r="349">
      <c r="A349" s="28">
        <f>ROW()-ROW(Table_Phrases[N])</f>
        <v>347</v>
      </c>
      <c r="B349" s="28" t="s">
        <v>3215</v>
      </c>
      <c r="C349" s="28">
        <v>1.0</v>
      </c>
      <c r="D349" s="30" t="s">
        <v>2157</v>
      </c>
      <c r="E349" s="62" t="s">
        <v>2565</v>
      </c>
      <c r="F349" s="30" t="s">
        <v>1596</v>
      </c>
      <c r="G349" s="30" t="s">
        <v>1556</v>
      </c>
      <c r="H349" s="29" t="s">
        <v>3216</v>
      </c>
      <c r="I349" s="29" t="s">
        <v>3216</v>
      </c>
    </row>
    <row r="350">
      <c r="A350" s="28">
        <f>ROW()-ROW(Table_Phrases[N])</f>
        <v>348</v>
      </c>
      <c r="B350" s="28" t="s">
        <v>3217</v>
      </c>
      <c r="C350" s="28">
        <v>0.0</v>
      </c>
      <c r="D350" s="30" t="s">
        <v>2162</v>
      </c>
      <c r="E350" s="62" t="s">
        <v>1596</v>
      </c>
      <c r="F350" s="30" t="s">
        <v>1644</v>
      </c>
      <c r="G350" s="30" t="s">
        <v>1556</v>
      </c>
      <c r="H350" s="29" t="s">
        <v>3218</v>
      </c>
      <c r="I350" s="29" t="s">
        <v>3218</v>
      </c>
    </row>
    <row r="351">
      <c r="A351" s="28">
        <f>ROW()-ROW(Table_Phrases[N])</f>
        <v>349</v>
      </c>
      <c r="B351" s="28" t="s">
        <v>3219</v>
      </c>
      <c r="C351" s="28">
        <v>1.0</v>
      </c>
      <c r="D351" s="30" t="s">
        <v>2170</v>
      </c>
      <c r="E351" s="62" t="s">
        <v>1644</v>
      </c>
      <c r="F351" s="30" t="s">
        <v>1596</v>
      </c>
      <c r="G351" s="30" t="s">
        <v>1556</v>
      </c>
      <c r="H351" s="29" t="s">
        <v>3220</v>
      </c>
      <c r="I351" s="29" t="s">
        <v>3220</v>
      </c>
    </row>
    <row r="352">
      <c r="A352" s="28">
        <f>ROW()-ROW(Table_Phrases[N])</f>
        <v>350</v>
      </c>
      <c r="B352" s="28" t="s">
        <v>3221</v>
      </c>
      <c r="C352" s="28">
        <v>0.0</v>
      </c>
      <c r="D352" s="30" t="s">
        <v>2174</v>
      </c>
      <c r="E352" s="62" t="s">
        <v>1596</v>
      </c>
      <c r="F352" s="30" t="s">
        <v>1644</v>
      </c>
      <c r="G352" s="30" t="s">
        <v>1556</v>
      </c>
      <c r="H352" s="29" t="s">
        <v>3222</v>
      </c>
      <c r="I352" s="29" t="s">
        <v>3222</v>
      </c>
    </row>
    <row r="353">
      <c r="A353" s="28">
        <f>ROW()-ROW(Table_Phrases[N])</f>
        <v>351</v>
      </c>
      <c r="B353" s="28" t="s">
        <v>3223</v>
      </c>
      <c r="C353" s="28">
        <v>1.0</v>
      </c>
      <c r="D353" s="30" t="s">
        <v>2180</v>
      </c>
      <c r="E353" s="62" t="s">
        <v>1644</v>
      </c>
      <c r="F353" s="30" t="s">
        <v>1596</v>
      </c>
      <c r="G353" s="30" t="s">
        <v>1556</v>
      </c>
      <c r="H353" s="29" t="s">
        <v>3224</v>
      </c>
      <c r="I353" s="29" t="s">
        <v>3224</v>
      </c>
    </row>
    <row r="354">
      <c r="A354" s="28">
        <f>ROW()-ROW(Table_Phrases[N])</f>
        <v>352</v>
      </c>
      <c r="B354" s="28" t="s">
        <v>3226</v>
      </c>
      <c r="C354" s="28">
        <v>0.0</v>
      </c>
      <c r="D354" s="30" t="s">
        <v>2186</v>
      </c>
      <c r="E354" s="62" t="s">
        <v>1596</v>
      </c>
      <c r="F354" s="30" t="s">
        <v>1644</v>
      </c>
      <c r="G354" s="30" t="s">
        <v>1556</v>
      </c>
      <c r="H354" s="29" t="s">
        <v>3227</v>
      </c>
      <c r="I354" s="29" t="s">
        <v>3227</v>
      </c>
    </row>
    <row r="355">
      <c r="A355" s="28">
        <f>ROW()-ROW(Table_Phrases[N])</f>
        <v>353</v>
      </c>
      <c r="B355" s="28" t="s">
        <v>3228</v>
      </c>
      <c r="C355" s="28">
        <v>0.0</v>
      </c>
      <c r="D355" s="30" t="s">
        <v>2190</v>
      </c>
      <c r="E355" s="62" t="s">
        <v>1596</v>
      </c>
      <c r="F355" s="30" t="s">
        <v>1644</v>
      </c>
      <c r="G355" s="30" t="s">
        <v>1556</v>
      </c>
      <c r="H355" s="29" t="s">
        <v>3229</v>
      </c>
      <c r="I355" s="29" t="s">
        <v>3229</v>
      </c>
    </row>
    <row r="356">
      <c r="A356" s="28">
        <f>ROW()-ROW(Table_Phrases[N])</f>
        <v>354</v>
      </c>
      <c r="B356" s="28" t="s">
        <v>3230</v>
      </c>
      <c r="C356" s="28">
        <v>1.0</v>
      </c>
      <c r="D356" s="30" t="s">
        <v>2196</v>
      </c>
      <c r="E356" s="62" t="s">
        <v>1644</v>
      </c>
      <c r="F356" s="30" t="s">
        <v>1596</v>
      </c>
      <c r="G356" s="30" t="s">
        <v>1556</v>
      </c>
      <c r="H356" s="29" t="s">
        <v>3231</v>
      </c>
      <c r="I356" s="29" t="s">
        <v>3231</v>
      </c>
    </row>
    <row r="357">
      <c r="A357" s="28">
        <f>ROW()-ROW(Table_Phrases[N])</f>
        <v>355</v>
      </c>
      <c r="B357" s="28" t="s">
        <v>3232</v>
      </c>
      <c r="C357" s="28">
        <v>1.0</v>
      </c>
      <c r="D357" s="30" t="s">
        <v>2199</v>
      </c>
      <c r="E357" s="62" t="s">
        <v>1644</v>
      </c>
      <c r="F357" s="30" t="s">
        <v>1596</v>
      </c>
      <c r="G357" s="30" t="s">
        <v>1556</v>
      </c>
      <c r="H357" s="29" t="s">
        <v>3233</v>
      </c>
      <c r="I357" s="29" t="s">
        <v>3233</v>
      </c>
    </row>
    <row r="358">
      <c r="A358" s="28">
        <f>ROW()-ROW(Table_Phrases[N])</f>
        <v>356</v>
      </c>
      <c r="B358" s="28" t="s">
        <v>3235</v>
      </c>
      <c r="C358" s="28">
        <v>0.0</v>
      </c>
      <c r="D358" s="30" t="s">
        <v>2205</v>
      </c>
      <c r="E358" s="62" t="s">
        <v>1596</v>
      </c>
      <c r="F358" s="30" t="s">
        <v>1644</v>
      </c>
      <c r="G358" s="30" t="s">
        <v>1556</v>
      </c>
      <c r="H358" s="29" t="s">
        <v>3236</v>
      </c>
      <c r="I358" s="29" t="s">
        <v>3236</v>
      </c>
    </row>
    <row r="359">
      <c r="A359" s="28">
        <f>ROW()-ROW(Table_Phrases[N])</f>
        <v>357</v>
      </c>
      <c r="B359" s="28" t="s">
        <v>3237</v>
      </c>
      <c r="C359" s="28">
        <v>1.0</v>
      </c>
      <c r="D359" s="30" t="s">
        <v>2210</v>
      </c>
      <c r="E359" s="30" t="s">
        <v>1644</v>
      </c>
      <c r="F359" s="62" t="s">
        <v>1596</v>
      </c>
      <c r="G359" s="30" t="s">
        <v>1556</v>
      </c>
      <c r="H359" s="29" t="s">
        <v>3238</v>
      </c>
      <c r="I359" s="29" t="s">
        <v>3238</v>
      </c>
    </row>
    <row r="360">
      <c r="A360" s="28">
        <f>ROW()-ROW(Table_Phrases[N])</f>
        <v>358</v>
      </c>
      <c r="B360" s="28" t="s">
        <v>3239</v>
      </c>
      <c r="C360" s="28">
        <v>0.0</v>
      </c>
      <c r="D360" s="30" t="s">
        <v>2219</v>
      </c>
      <c r="E360" s="62" t="s">
        <v>1564</v>
      </c>
      <c r="F360" s="30" t="s">
        <v>1556</v>
      </c>
      <c r="G360" s="30" t="s">
        <v>1556</v>
      </c>
      <c r="H360" s="29" t="s">
        <v>3240</v>
      </c>
      <c r="I360" s="29" t="s">
        <v>3240</v>
      </c>
    </row>
    <row r="361">
      <c r="A361" s="28">
        <f>ROW()-ROW(Table_Phrases[N])</f>
        <v>359</v>
      </c>
      <c r="B361" s="28" t="s">
        <v>3241</v>
      </c>
      <c r="C361" s="28">
        <v>1.0</v>
      </c>
      <c r="D361" s="30" t="s">
        <v>2224</v>
      </c>
      <c r="E361" s="62" t="s">
        <v>2573</v>
      </c>
      <c r="F361" s="30" t="s">
        <v>1596</v>
      </c>
      <c r="G361" s="30" t="s">
        <v>1556</v>
      </c>
      <c r="H361" s="29" t="s">
        <v>3242</v>
      </c>
      <c r="I361" s="29" t="s">
        <v>3242</v>
      </c>
    </row>
    <row r="362">
      <c r="A362" s="28">
        <f>ROW()-ROW(Table_Phrases[N])</f>
        <v>360</v>
      </c>
      <c r="B362" s="28" t="s">
        <v>3243</v>
      </c>
      <c r="C362" s="28">
        <v>0.0</v>
      </c>
      <c r="D362" s="30" t="s">
        <v>2230</v>
      </c>
      <c r="E362" s="62" t="s">
        <v>2625</v>
      </c>
      <c r="F362" s="30" t="s">
        <v>1644</v>
      </c>
      <c r="G362" s="30" t="s">
        <v>1556</v>
      </c>
      <c r="H362" s="29" t="s">
        <v>3244</v>
      </c>
      <c r="I362" s="29" t="s">
        <v>3244</v>
      </c>
    </row>
    <row r="363">
      <c r="A363" s="28">
        <f>ROW()-ROW(Table_Phrases[N])</f>
        <v>361</v>
      </c>
      <c r="B363" s="28" t="s">
        <v>3245</v>
      </c>
      <c r="C363" s="28">
        <v>1.0</v>
      </c>
      <c r="D363" s="30" t="s">
        <v>2235</v>
      </c>
      <c r="E363" s="62" t="s">
        <v>2573</v>
      </c>
      <c r="F363" s="30" t="s">
        <v>1596</v>
      </c>
      <c r="G363" s="30" t="s">
        <v>1556</v>
      </c>
      <c r="H363" s="29" t="s">
        <v>3246</v>
      </c>
      <c r="I363" s="29" t="s">
        <v>3246</v>
      </c>
    </row>
    <row r="364">
      <c r="A364" s="28">
        <f>ROW()-ROW(Table_Phrases[N])</f>
        <v>362</v>
      </c>
      <c r="B364" s="28" t="s">
        <v>3247</v>
      </c>
      <c r="C364" s="28">
        <v>1.0</v>
      </c>
      <c r="D364" s="30" t="s">
        <v>2239</v>
      </c>
      <c r="E364" s="62" t="s">
        <v>2573</v>
      </c>
      <c r="F364" s="30" t="s">
        <v>1596</v>
      </c>
      <c r="G364" s="30" t="s">
        <v>1556</v>
      </c>
      <c r="H364" s="29" t="s">
        <v>3248</v>
      </c>
      <c r="I364" s="29" t="s">
        <v>3248</v>
      </c>
    </row>
    <row r="365">
      <c r="A365" s="28">
        <f>ROW()-ROW(Table_Phrases[N])</f>
        <v>363</v>
      </c>
      <c r="B365" s="28" t="s">
        <v>3249</v>
      </c>
      <c r="C365" s="28">
        <v>0.0</v>
      </c>
      <c r="D365" s="30" t="s">
        <v>2245</v>
      </c>
      <c r="E365" s="62" t="s">
        <v>2625</v>
      </c>
      <c r="F365" s="30" t="s">
        <v>1644</v>
      </c>
      <c r="G365" s="30" t="s">
        <v>1556</v>
      </c>
      <c r="H365" s="29" t="s">
        <v>3251</v>
      </c>
      <c r="I365" s="29" t="s">
        <v>3251</v>
      </c>
    </row>
    <row r="366">
      <c r="A366" s="28">
        <f>ROW()-ROW(Table_Phrases[N])</f>
        <v>364</v>
      </c>
      <c r="B366" s="28" t="s">
        <v>3252</v>
      </c>
      <c r="C366" s="28">
        <v>1.0</v>
      </c>
      <c r="D366" s="30" t="s">
        <v>2251</v>
      </c>
      <c r="E366" s="62" t="s">
        <v>2573</v>
      </c>
      <c r="F366" s="30" t="s">
        <v>1596</v>
      </c>
      <c r="G366" s="30" t="s">
        <v>1556</v>
      </c>
      <c r="H366" s="29" t="s">
        <v>3253</v>
      </c>
      <c r="I366" s="29" t="s">
        <v>3253</v>
      </c>
    </row>
    <row r="367">
      <c r="A367" s="28">
        <f>ROW()-ROW(Table_Phrases[N])</f>
        <v>365</v>
      </c>
      <c r="B367" s="28" t="s">
        <v>3254</v>
      </c>
      <c r="C367" s="28">
        <v>1.0</v>
      </c>
      <c r="D367" s="30" t="s">
        <v>2255</v>
      </c>
      <c r="E367" s="62" t="s">
        <v>2573</v>
      </c>
      <c r="F367" s="30" t="s">
        <v>1596</v>
      </c>
      <c r="G367" s="30" t="s">
        <v>1556</v>
      </c>
      <c r="H367" s="29" t="s">
        <v>3255</v>
      </c>
      <c r="I367" s="29" t="s">
        <v>3255</v>
      </c>
    </row>
    <row r="368">
      <c r="A368" s="28">
        <f>ROW()-ROW(Table_Phrases[N])</f>
        <v>366</v>
      </c>
      <c r="B368" s="28" t="s">
        <v>3256</v>
      </c>
      <c r="C368" s="28">
        <v>0.0</v>
      </c>
      <c r="D368" s="30" t="s">
        <v>2260</v>
      </c>
      <c r="E368" s="62" t="s">
        <v>2625</v>
      </c>
      <c r="F368" s="30" t="s">
        <v>1644</v>
      </c>
      <c r="G368" s="30" t="s">
        <v>1556</v>
      </c>
      <c r="H368" s="29" t="s">
        <v>3257</v>
      </c>
      <c r="I368" s="29" t="s">
        <v>3257</v>
      </c>
    </row>
    <row r="369">
      <c r="A369" s="28">
        <f>ROW()-ROW(Table_Phrases[N])</f>
        <v>367</v>
      </c>
      <c r="B369" s="28" t="s">
        <v>3258</v>
      </c>
      <c r="C369" s="28">
        <v>1.0</v>
      </c>
      <c r="D369" s="30" t="s">
        <v>2265</v>
      </c>
      <c r="E369" s="62" t="s">
        <v>2573</v>
      </c>
      <c r="F369" s="30" t="s">
        <v>1596</v>
      </c>
      <c r="G369" s="30" t="s">
        <v>1556</v>
      </c>
      <c r="H369" s="29" t="s">
        <v>3259</v>
      </c>
      <c r="I369" s="29" t="s">
        <v>3259</v>
      </c>
    </row>
    <row r="370">
      <c r="A370" s="28">
        <f>ROW()-ROW(Table_Phrases[N])</f>
        <v>368</v>
      </c>
      <c r="B370" s="28" t="s">
        <v>3260</v>
      </c>
      <c r="C370" s="28">
        <v>0.0</v>
      </c>
      <c r="D370" s="30" t="s">
        <v>2270</v>
      </c>
      <c r="E370" s="62" t="s">
        <v>2625</v>
      </c>
      <c r="F370" s="30" t="s">
        <v>1644</v>
      </c>
      <c r="G370" s="30" t="s">
        <v>1556</v>
      </c>
      <c r="H370" s="29" t="s">
        <v>3261</v>
      </c>
      <c r="I370" s="29" t="s">
        <v>3261</v>
      </c>
    </row>
    <row r="371">
      <c r="A371" s="28">
        <f>ROW()-ROW(Table_Phrases[N])</f>
        <v>369</v>
      </c>
      <c r="B371" s="28" t="s">
        <v>3262</v>
      </c>
      <c r="C371" s="28">
        <v>1.0</v>
      </c>
      <c r="D371" s="30" t="s">
        <v>2276</v>
      </c>
      <c r="E371" s="62" t="s">
        <v>2573</v>
      </c>
      <c r="F371" s="30" t="s">
        <v>1596</v>
      </c>
      <c r="G371" s="30" t="s">
        <v>1556</v>
      </c>
      <c r="H371" s="29" t="s">
        <v>3263</v>
      </c>
      <c r="I371" s="29" t="s">
        <v>3263</v>
      </c>
    </row>
    <row r="372">
      <c r="A372" s="28">
        <f>ROW()-ROW(Table_Phrases[N])</f>
        <v>370</v>
      </c>
      <c r="B372" s="28" t="s">
        <v>3264</v>
      </c>
      <c r="C372" s="28">
        <v>0.0</v>
      </c>
      <c r="D372" s="30" t="s">
        <v>2286</v>
      </c>
      <c r="E372" s="62" t="s">
        <v>1564</v>
      </c>
      <c r="F372" s="30" t="s">
        <v>1556</v>
      </c>
      <c r="G372" s="30" t="s">
        <v>1556</v>
      </c>
      <c r="H372" s="29" t="s">
        <v>3265</v>
      </c>
      <c r="I372" s="29" t="s">
        <v>3265</v>
      </c>
    </row>
    <row r="373">
      <c r="A373" s="28">
        <f>ROW()-ROW(Table_Phrases[N])</f>
        <v>371</v>
      </c>
      <c r="B373" s="28" t="s">
        <v>3266</v>
      </c>
      <c r="C373" s="28">
        <v>0.0</v>
      </c>
      <c r="D373" s="30" t="s">
        <v>2293</v>
      </c>
      <c r="E373" s="62" t="s">
        <v>1564</v>
      </c>
      <c r="F373" s="30" t="s">
        <v>1556</v>
      </c>
      <c r="G373" s="30" t="s">
        <v>1556</v>
      </c>
      <c r="H373" s="29" t="s">
        <v>51</v>
      </c>
      <c r="I373" s="29" t="s">
        <v>51</v>
      </c>
    </row>
    <row r="374">
      <c r="A374" s="28">
        <f>ROW()-ROW(Table_Phrases[N])</f>
        <v>372</v>
      </c>
      <c r="B374" s="28" t="s">
        <v>3267</v>
      </c>
      <c r="C374" s="28">
        <v>0.0</v>
      </c>
      <c r="D374" s="30" t="s">
        <v>2303</v>
      </c>
      <c r="E374" s="62" t="s">
        <v>1596</v>
      </c>
      <c r="F374" s="30" t="s">
        <v>1556</v>
      </c>
      <c r="G374" s="30" t="s">
        <v>1556</v>
      </c>
      <c r="H374" s="29" t="s">
        <v>3268</v>
      </c>
      <c r="I374" s="29" t="s">
        <v>3268</v>
      </c>
    </row>
    <row r="375">
      <c r="A375" s="28">
        <f>ROW()-ROW(Table_Phrases[N])</f>
        <v>373</v>
      </c>
      <c r="B375" s="28" t="s">
        <v>3269</v>
      </c>
      <c r="C375" s="28">
        <v>0.0</v>
      </c>
      <c r="D375" s="30" t="s">
        <v>2308</v>
      </c>
      <c r="E375" s="62" t="s">
        <v>1564</v>
      </c>
      <c r="F375" s="30" t="s">
        <v>1556</v>
      </c>
      <c r="G375" s="30" t="s">
        <v>1556</v>
      </c>
      <c r="H375" s="29" t="s">
        <v>3270</v>
      </c>
      <c r="I375" s="29" t="s">
        <v>3270</v>
      </c>
    </row>
    <row r="376">
      <c r="A376" s="28">
        <f>ROW()-ROW(Table_Phrases[N])</f>
        <v>374</v>
      </c>
      <c r="B376" s="28" t="s">
        <v>3271</v>
      </c>
      <c r="C376" s="28">
        <v>0.0</v>
      </c>
      <c r="D376" s="30" t="s">
        <v>825</v>
      </c>
      <c r="E376" s="62" t="s">
        <v>1596</v>
      </c>
      <c r="F376" s="30" t="s">
        <v>1556</v>
      </c>
      <c r="G376" s="30" t="s">
        <v>1556</v>
      </c>
      <c r="H376" s="29" t="s">
        <v>3272</v>
      </c>
      <c r="I376" s="29" t="s">
        <v>3272</v>
      </c>
    </row>
  </sheetData>
  <dataValidations>
    <dataValidation type="list" allowBlank="1" sqref="D2:G37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0</v>
      </c>
      <c r="B1" s="1" t="s">
        <v>2357</v>
      </c>
      <c r="C1" s="5" t="s">
        <v>2358</v>
      </c>
      <c r="D1" s="5" t="s">
        <v>2359</v>
      </c>
      <c r="E1" s="5" t="s">
        <v>2360</v>
      </c>
      <c r="F1" s="5" t="s">
        <v>2361</v>
      </c>
      <c r="G1" s="5" t="s">
        <v>2362</v>
      </c>
      <c r="H1" s="5" t="s">
        <v>2364</v>
      </c>
      <c r="I1" s="5" t="s">
        <v>2366</v>
      </c>
      <c r="J1" s="71" t="s">
        <v>2367</v>
      </c>
      <c r="K1" s="71" t="s">
        <v>2369</v>
      </c>
    </row>
    <row r="2" ht="186.0" customHeight="1">
      <c r="A2" s="72">
        <f t="shared" ref="A2:A28" si="1">ROW()-ROW($A$2)-1</f>
        <v>-1</v>
      </c>
      <c r="B2" s="7" t="s">
        <v>2351</v>
      </c>
      <c r="C2" s="73" t="s">
        <v>48</v>
      </c>
      <c r="D2" s="74" t="s">
        <v>825</v>
      </c>
      <c r="E2" s="20" t="s">
        <v>48</v>
      </c>
      <c r="F2" s="20" t="s">
        <v>42</v>
      </c>
      <c r="G2" s="20" t="s">
        <v>56</v>
      </c>
      <c r="H2" s="20" t="s">
        <v>825</v>
      </c>
      <c r="I2" s="20" t="s">
        <v>1671</v>
      </c>
      <c r="J2" s="20" t="s">
        <v>1671</v>
      </c>
      <c r="K2" s="20" t="s">
        <v>1671</v>
      </c>
    </row>
    <row r="3">
      <c r="A3" s="72">
        <f t="shared" si="1"/>
        <v>0</v>
      </c>
      <c r="B3" s="7" t="s">
        <v>2380</v>
      </c>
      <c r="C3" s="73" t="s">
        <v>528</v>
      </c>
      <c r="D3" s="74" t="s">
        <v>875</v>
      </c>
      <c r="E3" s="20" t="s">
        <v>2382</v>
      </c>
      <c r="F3" s="20" t="s">
        <v>2383</v>
      </c>
      <c r="G3" s="20" t="s">
        <v>56</v>
      </c>
      <c r="H3" s="20" t="s">
        <v>875</v>
      </c>
      <c r="I3" s="20" t="s">
        <v>1671</v>
      </c>
      <c r="J3" s="20" t="s">
        <v>2385</v>
      </c>
      <c r="K3" s="20" t="s">
        <v>1671</v>
      </c>
    </row>
    <row r="4">
      <c r="A4" s="72">
        <f t="shared" si="1"/>
        <v>1</v>
      </c>
      <c r="B4" s="7" t="s">
        <v>2390</v>
      </c>
      <c r="C4" s="73" t="s">
        <v>2392</v>
      </c>
      <c r="D4" s="74" t="s">
        <v>875</v>
      </c>
      <c r="E4" s="20" t="s">
        <v>2392</v>
      </c>
      <c r="F4" s="20" t="s">
        <v>2394</v>
      </c>
      <c r="G4" s="20" t="s">
        <v>56</v>
      </c>
      <c r="H4" s="20" t="s">
        <v>875</v>
      </c>
      <c r="I4" s="20" t="s">
        <v>1671</v>
      </c>
      <c r="J4" s="20" t="s">
        <v>1671</v>
      </c>
      <c r="K4" s="20" t="s">
        <v>1671</v>
      </c>
    </row>
    <row r="5">
      <c r="A5" s="72">
        <f t="shared" si="1"/>
        <v>2</v>
      </c>
      <c r="B5" s="7" t="s">
        <v>2404</v>
      </c>
      <c r="C5" s="73" t="s">
        <v>2406</v>
      </c>
      <c r="D5" s="74" t="s">
        <v>875</v>
      </c>
      <c r="E5" s="20" t="s">
        <v>2406</v>
      </c>
      <c r="F5" s="20" t="s">
        <v>2409</v>
      </c>
      <c r="G5" s="20" t="s">
        <v>56</v>
      </c>
      <c r="H5" s="20" t="s">
        <v>875</v>
      </c>
      <c r="I5" s="20" t="s">
        <v>2022</v>
      </c>
      <c r="J5" s="20" t="s">
        <v>1671</v>
      </c>
      <c r="K5" s="20" t="s">
        <v>1671</v>
      </c>
    </row>
    <row r="6">
      <c r="A6" s="72">
        <f t="shared" si="1"/>
        <v>3</v>
      </c>
      <c r="B6" s="7" t="s">
        <v>2417</v>
      </c>
      <c r="C6" s="73" t="s">
        <v>2418</v>
      </c>
      <c r="D6" s="74" t="s">
        <v>875</v>
      </c>
      <c r="E6" s="20" t="s">
        <v>2418</v>
      </c>
      <c r="F6" s="20" t="s">
        <v>2422</v>
      </c>
      <c r="G6" s="20" t="s">
        <v>56</v>
      </c>
      <c r="H6" s="20" t="s">
        <v>875</v>
      </c>
      <c r="I6" s="20" t="s">
        <v>2022</v>
      </c>
      <c r="J6" s="20" t="s">
        <v>1671</v>
      </c>
      <c r="K6" s="20" t="s">
        <v>1918</v>
      </c>
    </row>
    <row r="7">
      <c r="A7" s="72">
        <f t="shared" si="1"/>
        <v>4</v>
      </c>
      <c r="B7" s="7" t="s">
        <v>2429</v>
      </c>
      <c r="C7" s="12" t="s">
        <v>2430</v>
      </c>
      <c r="D7" s="74" t="s">
        <v>2431</v>
      </c>
      <c r="E7" s="20" t="s">
        <v>2430</v>
      </c>
      <c r="F7" s="20" t="s">
        <v>2432</v>
      </c>
      <c r="G7" s="20" t="s">
        <v>56</v>
      </c>
      <c r="H7" s="20" t="s">
        <v>2431</v>
      </c>
      <c r="I7" s="20" t="s">
        <v>1671</v>
      </c>
      <c r="J7" s="20" t="s">
        <v>1671</v>
      </c>
      <c r="K7" s="20" t="s">
        <v>1671</v>
      </c>
    </row>
    <row r="8">
      <c r="A8" s="72">
        <f t="shared" si="1"/>
        <v>5</v>
      </c>
      <c r="B8" s="7" t="s">
        <v>2438</v>
      </c>
      <c r="C8" s="12" t="s">
        <v>2440</v>
      </c>
      <c r="D8" s="74" t="s">
        <v>2431</v>
      </c>
      <c r="E8" s="20" t="s">
        <v>2440</v>
      </c>
      <c r="F8" s="20" t="s">
        <v>2443</v>
      </c>
      <c r="G8" s="20" t="s">
        <v>56</v>
      </c>
      <c r="H8" s="20" t="s">
        <v>2431</v>
      </c>
      <c r="I8" s="20" t="s">
        <v>1671</v>
      </c>
      <c r="J8" s="20" t="s">
        <v>1671</v>
      </c>
      <c r="K8" s="20" t="s">
        <v>1671</v>
      </c>
    </row>
    <row r="9">
      <c r="A9" s="72">
        <f t="shared" si="1"/>
        <v>6</v>
      </c>
      <c r="B9" s="7" t="s">
        <v>2451</v>
      </c>
      <c r="C9" s="12" t="s">
        <v>620</v>
      </c>
      <c r="D9" s="74" t="s">
        <v>860</v>
      </c>
      <c r="E9" s="20" t="s">
        <v>620</v>
      </c>
      <c r="F9" s="20" t="s">
        <v>2455</v>
      </c>
      <c r="G9" s="20" t="s">
        <v>56</v>
      </c>
      <c r="H9" s="20" t="s">
        <v>860</v>
      </c>
      <c r="I9" s="20" t="s">
        <v>1671</v>
      </c>
      <c r="J9" s="20" t="s">
        <v>1671</v>
      </c>
      <c r="K9" s="20" t="s">
        <v>1671</v>
      </c>
    </row>
    <row r="10">
      <c r="A10" s="72">
        <f t="shared" si="1"/>
        <v>7</v>
      </c>
      <c r="B10" s="7" t="s">
        <v>2462</v>
      </c>
      <c r="C10" s="12" t="s">
        <v>2463</v>
      </c>
      <c r="D10" s="74" t="s">
        <v>864</v>
      </c>
      <c r="E10" s="20" t="s">
        <v>2463</v>
      </c>
      <c r="F10" s="20" t="s">
        <v>2465</v>
      </c>
      <c r="G10" s="20" t="s">
        <v>56</v>
      </c>
      <c r="H10" s="20" t="s">
        <v>2467</v>
      </c>
      <c r="I10" s="20" t="s">
        <v>2011</v>
      </c>
      <c r="J10" s="20" t="s">
        <v>1671</v>
      </c>
      <c r="K10" s="20" t="s">
        <v>1671</v>
      </c>
    </row>
    <row r="11">
      <c r="A11" s="72">
        <f t="shared" si="1"/>
        <v>8</v>
      </c>
      <c r="B11" s="7" t="s">
        <v>2472</v>
      </c>
      <c r="C11" s="12" t="s">
        <v>2473</v>
      </c>
      <c r="D11" s="74" t="s">
        <v>2431</v>
      </c>
      <c r="E11" s="20" t="s">
        <v>2473</v>
      </c>
      <c r="F11" s="20" t="s">
        <v>2476</v>
      </c>
      <c r="G11" s="20" t="s">
        <v>56</v>
      </c>
      <c r="H11" s="20" t="s">
        <v>2478</v>
      </c>
      <c r="I11" s="20" t="s">
        <v>1671</v>
      </c>
      <c r="J11" s="20" t="s">
        <v>1671</v>
      </c>
      <c r="K11" s="20" t="s">
        <v>1671</v>
      </c>
    </row>
    <row r="12">
      <c r="A12" s="72">
        <f t="shared" si="1"/>
        <v>9</v>
      </c>
      <c r="B12" s="7" t="s">
        <v>2486</v>
      </c>
      <c r="C12" s="12" t="s">
        <v>2487</v>
      </c>
      <c r="D12" s="74" t="s">
        <v>863</v>
      </c>
      <c r="E12" s="20" t="s">
        <v>2487</v>
      </c>
      <c r="F12" s="20" t="s">
        <v>2489</v>
      </c>
      <c r="G12" s="20" t="s">
        <v>56</v>
      </c>
      <c r="H12" s="20" t="s">
        <v>863</v>
      </c>
      <c r="I12" s="20" t="s">
        <v>1671</v>
      </c>
      <c r="J12" s="20" t="s">
        <v>1671</v>
      </c>
      <c r="K12" s="20" t="s">
        <v>1671</v>
      </c>
    </row>
    <row r="13">
      <c r="A13" s="72">
        <f t="shared" si="1"/>
        <v>10</v>
      </c>
      <c r="B13" s="7" t="s">
        <v>2496</v>
      </c>
      <c r="C13" s="12" t="s">
        <v>2497</v>
      </c>
      <c r="D13" s="74" t="s">
        <v>2501</v>
      </c>
      <c r="E13" s="20" t="s">
        <v>2497</v>
      </c>
      <c r="F13" s="20" t="s">
        <v>2502</v>
      </c>
      <c r="G13" s="20" t="s">
        <v>56</v>
      </c>
      <c r="H13" s="20" t="s">
        <v>2505</v>
      </c>
      <c r="I13" s="20" t="s">
        <v>1671</v>
      </c>
      <c r="J13" s="20" t="s">
        <v>1671</v>
      </c>
      <c r="K13" s="20" t="s">
        <v>1671</v>
      </c>
    </row>
    <row r="14">
      <c r="A14" s="72">
        <f t="shared" si="1"/>
        <v>11</v>
      </c>
      <c r="B14" s="7" t="s">
        <v>71</v>
      </c>
      <c r="C14" s="12" t="s">
        <v>72</v>
      </c>
      <c r="D14" s="74" t="s">
        <v>74</v>
      </c>
      <c r="E14" s="20" t="s">
        <v>2513</v>
      </c>
      <c r="F14" s="20" t="s">
        <v>2514</v>
      </c>
      <c r="G14" s="20" t="s">
        <v>56</v>
      </c>
      <c r="H14" s="20" t="s">
        <v>2515</v>
      </c>
      <c r="I14" s="20" t="s">
        <v>1671</v>
      </c>
      <c r="J14" s="20" t="s">
        <v>1671</v>
      </c>
      <c r="K14" s="20" t="s">
        <v>1671</v>
      </c>
    </row>
    <row r="15">
      <c r="A15" s="72">
        <f t="shared" si="1"/>
        <v>12</v>
      </c>
      <c r="B15" s="7" t="s">
        <v>2523</v>
      </c>
      <c r="C15" s="12" t="s">
        <v>739</v>
      </c>
      <c r="D15" s="20" t="s">
        <v>74</v>
      </c>
      <c r="E15" s="20" t="s">
        <v>2527</v>
      </c>
      <c r="F15" s="20" t="s">
        <v>2528</v>
      </c>
      <c r="G15" s="20" t="s">
        <v>56</v>
      </c>
      <c r="H15" s="20" t="s">
        <v>2531</v>
      </c>
      <c r="I15" s="20" t="s">
        <v>1671</v>
      </c>
      <c r="J15" s="20" t="s">
        <v>1671</v>
      </c>
      <c r="K15" s="20" t="s">
        <v>1671</v>
      </c>
    </row>
    <row r="16">
      <c r="A16" s="72">
        <f t="shared" si="1"/>
        <v>13</v>
      </c>
      <c r="B16" s="7" t="s">
        <v>2537</v>
      </c>
      <c r="C16" s="12" t="s">
        <v>774</v>
      </c>
      <c r="D16" s="20" t="s">
        <v>872</v>
      </c>
      <c r="E16" s="20" t="s">
        <v>774</v>
      </c>
      <c r="F16" s="20" t="s">
        <v>2541</v>
      </c>
      <c r="G16" s="20" t="s">
        <v>56</v>
      </c>
      <c r="H16" s="20" t="s">
        <v>872</v>
      </c>
      <c r="I16" s="20" t="s">
        <v>1671</v>
      </c>
      <c r="J16" s="20" t="s">
        <v>2120</v>
      </c>
      <c r="K16" s="20" t="s">
        <v>1671</v>
      </c>
    </row>
    <row r="17">
      <c r="A17" s="72">
        <f t="shared" si="1"/>
        <v>14</v>
      </c>
      <c r="B17" s="7" t="s">
        <v>2548</v>
      </c>
      <c r="C17" s="12" t="s">
        <v>774</v>
      </c>
      <c r="D17" s="20" t="s">
        <v>872</v>
      </c>
      <c r="E17" s="20" t="s">
        <v>2550</v>
      </c>
      <c r="F17" s="20" t="s">
        <v>2551</v>
      </c>
      <c r="G17" s="20" t="s">
        <v>2552</v>
      </c>
      <c r="H17" s="20" t="s">
        <v>872</v>
      </c>
      <c r="I17" s="20" t="s">
        <v>1671</v>
      </c>
      <c r="J17" s="20" t="s">
        <v>2148</v>
      </c>
      <c r="K17" s="20" t="s">
        <v>1671</v>
      </c>
    </row>
    <row r="18">
      <c r="A18" s="72">
        <f t="shared" si="1"/>
        <v>15</v>
      </c>
      <c r="B18" s="7" t="s">
        <v>2559</v>
      </c>
      <c r="C18" s="12" t="s">
        <v>136</v>
      </c>
      <c r="D18" s="20" t="s">
        <v>825</v>
      </c>
      <c r="E18" s="20" t="s">
        <v>136</v>
      </c>
      <c r="F18" s="20" t="s">
        <v>148</v>
      </c>
      <c r="G18" s="20" t="s">
        <v>56</v>
      </c>
      <c r="H18" s="20" t="s">
        <v>825</v>
      </c>
      <c r="I18" s="20" t="s">
        <v>1671</v>
      </c>
      <c r="J18" s="20" t="s">
        <v>2189</v>
      </c>
      <c r="K18" s="20" t="s">
        <v>1671</v>
      </c>
    </row>
    <row r="19">
      <c r="A19" s="72">
        <f t="shared" si="1"/>
        <v>16</v>
      </c>
      <c r="B19" s="7" t="s">
        <v>2567</v>
      </c>
      <c r="C19" s="12" t="s">
        <v>786</v>
      </c>
      <c r="D19" s="20" t="s">
        <v>2072</v>
      </c>
      <c r="E19" s="20" t="s">
        <v>786</v>
      </c>
      <c r="F19" s="20" t="s">
        <v>2570</v>
      </c>
      <c r="G19" s="20" t="s">
        <v>56</v>
      </c>
      <c r="H19" s="20" t="s">
        <v>2072</v>
      </c>
      <c r="I19" s="20" t="s">
        <v>1671</v>
      </c>
      <c r="J19" s="20" t="s">
        <v>2574</v>
      </c>
      <c r="K19" s="20" t="s">
        <v>2204</v>
      </c>
    </row>
    <row r="20">
      <c r="A20" s="72">
        <f t="shared" si="1"/>
        <v>17</v>
      </c>
      <c r="B20" s="7" t="s">
        <v>2578</v>
      </c>
      <c r="C20" s="12" t="s">
        <v>789</v>
      </c>
      <c r="D20" s="20" t="s">
        <v>2072</v>
      </c>
      <c r="E20" s="20" t="s">
        <v>789</v>
      </c>
      <c r="F20" s="20" t="s">
        <v>2581</v>
      </c>
      <c r="G20" s="20" t="s">
        <v>56</v>
      </c>
      <c r="H20" s="20" t="s">
        <v>2072</v>
      </c>
      <c r="I20" s="20" t="s">
        <v>1671</v>
      </c>
      <c r="J20" s="20" t="s">
        <v>2215</v>
      </c>
      <c r="K20" s="20" t="s">
        <v>1671</v>
      </c>
    </row>
    <row r="21">
      <c r="A21" s="72">
        <f t="shared" si="1"/>
        <v>18</v>
      </c>
      <c r="B21" s="7" t="s">
        <v>2589</v>
      </c>
      <c r="C21" s="12" t="s">
        <v>793</v>
      </c>
      <c r="D21" s="20" t="s">
        <v>2072</v>
      </c>
      <c r="E21" s="20" t="s">
        <v>793</v>
      </c>
      <c r="F21" s="20" t="s">
        <v>2593</v>
      </c>
      <c r="G21" s="20" t="s">
        <v>56</v>
      </c>
      <c r="H21" s="20" t="s">
        <v>2072</v>
      </c>
      <c r="I21" s="20" t="s">
        <v>1671</v>
      </c>
      <c r="J21" s="20" t="s">
        <v>1671</v>
      </c>
      <c r="K21" s="20" t="s">
        <v>1671</v>
      </c>
    </row>
    <row r="22">
      <c r="A22" s="72">
        <f t="shared" si="1"/>
        <v>19</v>
      </c>
      <c r="B22" s="7" t="s">
        <v>2598</v>
      </c>
      <c r="C22" s="12" t="s">
        <v>796</v>
      </c>
      <c r="D22" s="20" t="s">
        <v>2072</v>
      </c>
      <c r="E22" s="20" t="s">
        <v>796</v>
      </c>
      <c r="F22" s="20" t="s">
        <v>2601</v>
      </c>
      <c r="G22" s="20" t="s">
        <v>56</v>
      </c>
      <c r="H22" s="20" t="s">
        <v>2072</v>
      </c>
      <c r="I22" s="20" t="s">
        <v>1671</v>
      </c>
      <c r="J22" s="20" t="s">
        <v>1671</v>
      </c>
      <c r="K22" s="20" t="s">
        <v>1671</v>
      </c>
    </row>
    <row r="23">
      <c r="A23" s="72">
        <f t="shared" si="1"/>
        <v>20</v>
      </c>
      <c r="B23" s="7" t="s">
        <v>2608</v>
      </c>
      <c r="C23" s="12" t="s">
        <v>806</v>
      </c>
      <c r="D23" s="20" t="s">
        <v>2072</v>
      </c>
      <c r="E23" s="20" t="s">
        <v>2611</v>
      </c>
      <c r="F23" s="20" t="s">
        <v>2612</v>
      </c>
      <c r="G23" s="20" t="s">
        <v>2615</v>
      </c>
      <c r="H23" s="20" t="s">
        <v>2072</v>
      </c>
      <c r="I23" s="20" t="s">
        <v>1671</v>
      </c>
      <c r="J23" s="20" t="s">
        <v>2229</v>
      </c>
      <c r="K23" s="20" t="s">
        <v>1671</v>
      </c>
    </row>
    <row r="24">
      <c r="A24" s="72">
        <f t="shared" si="1"/>
        <v>21</v>
      </c>
      <c r="B24" s="7" t="s">
        <v>2622</v>
      </c>
      <c r="C24" s="12" t="s">
        <v>811</v>
      </c>
      <c r="D24" s="20" t="s">
        <v>2282</v>
      </c>
      <c r="E24" s="20" t="s">
        <v>811</v>
      </c>
      <c r="F24" s="20" t="s">
        <v>2624</v>
      </c>
      <c r="G24" s="20" t="s">
        <v>56</v>
      </c>
      <c r="H24" s="20" t="s">
        <v>2282</v>
      </c>
      <c r="I24" s="20" t="s">
        <v>1671</v>
      </c>
      <c r="J24" s="20" t="s">
        <v>2244</v>
      </c>
      <c r="K24" s="20" t="s">
        <v>1671</v>
      </c>
    </row>
    <row r="25">
      <c r="A25" s="72">
        <f t="shared" si="1"/>
        <v>22</v>
      </c>
      <c r="B25" s="7" t="s">
        <v>54</v>
      </c>
      <c r="C25" s="12" t="s">
        <v>821</v>
      </c>
      <c r="D25" s="20" t="s">
        <v>2282</v>
      </c>
      <c r="E25" s="20" t="s">
        <v>821</v>
      </c>
      <c r="F25" s="20" t="s">
        <v>2633</v>
      </c>
      <c r="G25" s="20" t="s">
        <v>56</v>
      </c>
      <c r="H25" s="20" t="s">
        <v>2282</v>
      </c>
      <c r="I25" s="20" t="s">
        <v>1671</v>
      </c>
      <c r="J25" s="20" t="s">
        <v>2244</v>
      </c>
      <c r="K25" s="20" t="s">
        <v>1671</v>
      </c>
    </row>
    <row r="26">
      <c r="A26" s="72">
        <f t="shared" si="1"/>
        <v>23</v>
      </c>
      <c r="B26" s="7" t="s">
        <v>2638</v>
      </c>
      <c r="C26" s="12" t="s">
        <v>842</v>
      </c>
      <c r="D26" s="20" t="s">
        <v>2320</v>
      </c>
      <c r="E26" s="20" t="s">
        <v>842</v>
      </c>
      <c r="F26" s="20" t="s">
        <v>2643</v>
      </c>
      <c r="G26" s="20" t="s">
        <v>56</v>
      </c>
      <c r="H26" s="20" t="s">
        <v>2320</v>
      </c>
      <c r="I26" s="20" t="s">
        <v>1671</v>
      </c>
      <c r="J26" s="20" t="s">
        <v>1671</v>
      </c>
      <c r="K26" s="20" t="s">
        <v>1671</v>
      </c>
    </row>
    <row r="27">
      <c r="A27" s="72">
        <f t="shared" si="1"/>
        <v>24</v>
      </c>
      <c r="B27" s="7" t="s">
        <v>2649</v>
      </c>
      <c r="C27" s="12" t="s">
        <v>2651</v>
      </c>
      <c r="D27" s="20" t="s">
        <v>2312</v>
      </c>
      <c r="E27" s="20" t="s">
        <v>2651</v>
      </c>
      <c r="F27" s="20" t="s">
        <v>2654</v>
      </c>
      <c r="G27" s="20" t="s">
        <v>56</v>
      </c>
      <c r="H27" s="20" t="s">
        <v>2312</v>
      </c>
      <c r="I27" s="20" t="s">
        <v>1671</v>
      </c>
      <c r="J27" s="20" t="s">
        <v>1671</v>
      </c>
      <c r="K27" s="20" t="s">
        <v>1671</v>
      </c>
    </row>
    <row r="28">
      <c r="A28" s="72">
        <f t="shared" si="1"/>
        <v>25</v>
      </c>
      <c r="B28" s="7" t="s">
        <v>2661</v>
      </c>
      <c r="C28" s="73" t="s">
        <v>48</v>
      </c>
      <c r="D28" s="74" t="s">
        <v>825</v>
      </c>
      <c r="E28" s="20" t="s">
        <v>853</v>
      </c>
      <c r="F28" s="20" t="s">
        <v>975</v>
      </c>
      <c r="G28" s="20" t="s">
        <v>56</v>
      </c>
      <c r="H28" s="20" t="s">
        <v>825</v>
      </c>
      <c r="I28" s="20" t="s">
        <v>1671</v>
      </c>
      <c r="J28" s="20" t="s">
        <v>1671</v>
      </c>
      <c r="K28" s="20" t="s">
        <v>1671</v>
      </c>
    </row>
  </sheetData>
  <dataValidations>
    <dataValidation type="list" allowBlank="1" sqref="C2:K28">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0</v>
      </c>
      <c r="B1" s="1" t="s">
        <v>2378</v>
      </c>
      <c r="D1" s="75" t="s">
        <v>0</v>
      </c>
      <c r="E1" s="75" t="s">
        <v>2381</v>
      </c>
    </row>
    <row r="2" ht="22.5" customHeight="1">
      <c r="A2" s="28">
        <f>ROW()-ROW(Table_Characters[N])</f>
        <v>0</v>
      </c>
      <c r="B2" s="28" t="s">
        <v>185</v>
      </c>
      <c r="D2" s="76">
        <v>0.0</v>
      </c>
      <c r="E2" s="77" t="s">
        <v>2386</v>
      </c>
    </row>
    <row r="3" ht="22.5" customHeight="1">
      <c r="A3" s="28">
        <f>ROW()-ROW(Table_Characters[N])</f>
        <v>1</v>
      </c>
      <c r="B3" s="28" t="s">
        <v>201</v>
      </c>
      <c r="D3" s="76">
        <v>1.0</v>
      </c>
      <c r="E3" s="77" t="s">
        <v>2389</v>
      </c>
    </row>
    <row r="4" ht="22.5" customHeight="1">
      <c r="A4" s="28">
        <f>ROW()-ROW(Table_Characters[N])</f>
        <v>2</v>
      </c>
      <c r="B4" s="28" t="s">
        <v>49</v>
      </c>
      <c r="D4" s="76">
        <v>2.0</v>
      </c>
      <c r="E4" s="77" t="s">
        <v>2352</v>
      </c>
    </row>
    <row r="5">
      <c r="A5" s="28">
        <f>ROW()-ROW(Table_Characters[N])</f>
        <v>3</v>
      </c>
      <c r="B5" s="28" t="s">
        <v>2396</v>
      </c>
    </row>
    <row r="6">
      <c r="A6" s="28">
        <f>ROW()-ROW(Table_Characters[N])</f>
        <v>4</v>
      </c>
      <c r="B6" s="28" t="s">
        <v>2399</v>
      </c>
    </row>
    <row r="7">
      <c r="A7" s="41"/>
      <c r="B7" s="41"/>
    </row>
    <row r="8">
      <c r="A8" s="1" t="s">
        <v>0</v>
      </c>
      <c r="B8" s="1" t="s">
        <v>2401</v>
      </c>
    </row>
    <row r="9">
      <c r="A9" s="28">
        <v>0.0</v>
      </c>
      <c r="B9" s="28" t="s">
        <v>2405</v>
      </c>
    </row>
    <row r="10">
      <c r="A10" s="28">
        <v>1.0</v>
      </c>
      <c r="B10" s="28" t="s">
        <v>2407</v>
      </c>
    </row>
    <row r="11">
      <c r="A11" s="28">
        <v>2.0</v>
      </c>
      <c r="B11" s="28" t="s">
        <v>2408</v>
      </c>
    </row>
    <row r="12">
      <c r="A12" s="28">
        <v>3.0</v>
      </c>
      <c r="B12" s="28" t="s">
        <v>2411</v>
      </c>
    </row>
    <row r="13">
      <c r="A13" s="28">
        <v>4.0</v>
      </c>
      <c r="B13" s="28" t="s">
        <v>2412</v>
      </c>
    </row>
    <row r="14">
      <c r="A14" s="28">
        <v>5.0</v>
      </c>
      <c r="B14" s="28" t="s">
        <v>2414</v>
      </c>
    </row>
    <row r="16">
      <c r="A16" s="1" t="s">
        <v>0</v>
      </c>
      <c r="B16" s="1" t="s">
        <v>2415</v>
      </c>
    </row>
    <row r="17">
      <c r="A17" s="28">
        <f>ROW()-ROW(Table_Interaction[N])</f>
        <v>0</v>
      </c>
      <c r="B17" s="28" t="s">
        <v>186</v>
      </c>
    </row>
    <row r="18">
      <c r="A18" s="28">
        <f>ROW()-ROW(Table_Interaction[N])</f>
        <v>1</v>
      </c>
      <c r="B18" s="28" t="s">
        <v>2421</v>
      </c>
    </row>
    <row r="19">
      <c r="A19" s="28">
        <f>ROW()-ROW(Table_Interaction[N])</f>
        <v>2</v>
      </c>
      <c r="B19" s="28" t="s">
        <v>329</v>
      </c>
    </row>
    <row r="20">
      <c r="A20" s="28">
        <f>ROW()-ROW(Table_Interaction[N])</f>
        <v>3</v>
      </c>
      <c r="B20" s="28" t="s">
        <v>203</v>
      </c>
    </row>
    <row r="21">
      <c r="A21" s="28">
        <f>ROW()-ROW(Table_Interaction[N])</f>
        <v>4</v>
      </c>
      <c r="B21" s="28" t="s">
        <v>274</v>
      </c>
    </row>
    <row r="22">
      <c r="A22" s="28">
        <f>ROW()-ROW(Table_Interaction[N])</f>
        <v>5</v>
      </c>
      <c r="B22" s="28" t="s">
        <v>263</v>
      </c>
    </row>
    <row r="23">
      <c r="A23" s="28">
        <f>ROW()-ROW(Table_Interaction[N])</f>
        <v>6</v>
      </c>
      <c r="B23" s="28" t="s">
        <v>2434</v>
      </c>
    </row>
    <row r="24">
      <c r="A24" s="28">
        <f>ROW()-ROW(Table_Interaction[N])</f>
        <v>7</v>
      </c>
      <c r="B24" s="28" t="s">
        <v>284</v>
      </c>
    </row>
    <row r="26">
      <c r="A26" s="1" t="s">
        <v>0</v>
      </c>
      <c r="B26" s="1" t="s">
        <v>2437</v>
      </c>
    </row>
    <row r="27">
      <c r="A27" s="28">
        <f>ROW()-ROW(Table_Action_Type[N])</f>
        <v>0</v>
      </c>
      <c r="B27" s="28" t="s">
        <v>2345</v>
      </c>
    </row>
    <row r="28">
      <c r="A28" s="28">
        <f>ROW()-ROW(Table_Action_Type[N])</f>
        <v>1</v>
      </c>
      <c r="B28" s="28" t="s">
        <v>2446</v>
      </c>
    </row>
    <row r="29">
      <c r="A29" s="28">
        <f>ROW()-ROW(Table_Action_Type[N])</f>
        <v>2</v>
      </c>
      <c r="B29" s="28" t="s">
        <v>2447</v>
      </c>
    </row>
    <row r="30">
      <c r="A30" s="28">
        <f>ROW()-ROW(Table_Action_Type[N])</f>
        <v>3</v>
      </c>
      <c r="B30" s="28" t="s">
        <v>2449</v>
      </c>
    </row>
    <row r="31">
      <c r="A31" s="28">
        <f>ROW()-ROW(Table_Action_Type[N])</f>
        <v>4</v>
      </c>
      <c r="B31" s="28" t="s">
        <v>2450</v>
      </c>
    </row>
    <row r="32">
      <c r="A32" s="28">
        <f>ROW()-ROW(Table_Action_Type[N])</f>
        <v>5</v>
      </c>
      <c r="B32" s="28" t="s">
        <v>2454</v>
      </c>
    </row>
    <row r="33">
      <c r="A33" s="28">
        <f>ROW()-ROW(Table_Action_Type[N])</f>
        <v>6</v>
      </c>
      <c r="B33" s="28" t="s">
        <v>2456</v>
      </c>
    </row>
    <row r="34">
      <c r="A34" s="28">
        <f>ROW()-ROW(Table_Action_Type[N])</f>
        <v>7</v>
      </c>
      <c r="B34" s="28" t="s">
        <v>2442</v>
      </c>
    </row>
    <row r="35">
      <c r="A35" s="28">
        <f>ROW()-ROW(Table_Action_Type[N])</f>
        <v>8</v>
      </c>
      <c r="B35" s="28" t="s">
        <v>2461</v>
      </c>
    </row>
    <row r="36">
      <c r="A36" s="28">
        <f>ROW()-ROW(Table_Action_Type[N])</f>
        <v>9</v>
      </c>
      <c r="B36" s="28" t="s">
        <v>2464</v>
      </c>
    </row>
    <row r="37">
      <c r="A37" s="28">
        <f>ROW()-ROW(Table_Action_Type[N])</f>
        <v>10</v>
      </c>
      <c r="B37" s="28" t="s">
        <v>2466</v>
      </c>
    </row>
    <row r="38">
      <c r="A38" s="28">
        <f>ROW()-ROW(Table_Action_Type[N])</f>
        <v>11</v>
      </c>
      <c r="B38" s="28" t="s">
        <v>2400</v>
      </c>
    </row>
    <row r="39">
      <c r="A39" s="28">
        <f>ROW()-ROW(Table_Action_Type[N])</f>
        <v>12</v>
      </c>
      <c r="B39" s="28" t="s">
        <v>2469</v>
      </c>
    </row>
    <row r="40">
      <c r="A40" s="28">
        <f>ROW()-ROW(Table_Action_Type[N])</f>
        <v>13</v>
      </c>
      <c r="B40" s="28" t="s">
        <v>2424</v>
      </c>
    </row>
    <row r="41">
      <c r="A41" s="28">
        <f>ROW()-ROW(Table_Action_Type[N])</f>
        <v>14</v>
      </c>
      <c r="B41" s="28" t="s">
        <v>2474</v>
      </c>
    </row>
    <row r="42">
      <c r="A42" s="28">
        <f>ROW()-ROW(Table_Action_Type[N])</f>
        <v>15</v>
      </c>
      <c r="B42" s="28" t="s">
        <v>2477</v>
      </c>
    </row>
    <row r="43">
      <c r="A43" s="28">
        <f>ROW()-ROW(Table_Action_Type[N])</f>
        <v>16</v>
      </c>
      <c r="B43" s="28" t="s">
        <v>2480</v>
      </c>
    </row>
    <row r="44">
      <c r="A44" s="28">
        <f>ROW()-ROW(Table_Action_Type[N])</f>
        <v>17</v>
      </c>
      <c r="B44" s="28" t="s">
        <v>2483</v>
      </c>
    </row>
    <row r="45">
      <c r="A45" s="28">
        <f>ROW()-ROW(Table_Action_Type[N])</f>
        <v>18</v>
      </c>
      <c r="B45" s="28" t="s">
        <v>2484</v>
      </c>
    </row>
    <row r="46">
      <c r="A46" s="28">
        <f>ROW()-ROW(Table_Action_Type[N])</f>
        <v>19</v>
      </c>
      <c r="B46" s="28" t="s">
        <v>2488</v>
      </c>
    </row>
    <row r="47">
      <c r="A47" s="28">
        <f>ROW()-ROW(Table_Action_Type[N])</f>
        <v>20</v>
      </c>
      <c r="B47" s="28" t="s">
        <v>2492</v>
      </c>
    </row>
    <row r="48">
      <c r="A48" s="28">
        <f>ROW()-ROW(Table_Action_Type[N])</f>
        <v>21</v>
      </c>
      <c r="B48" s="28" t="s">
        <v>2493</v>
      </c>
    </row>
    <row r="49">
      <c r="A49" s="28">
        <f>ROW()-ROW(Table_Action_Type[N])</f>
        <v>22</v>
      </c>
      <c r="B49" s="28" t="s">
        <v>2495</v>
      </c>
    </row>
    <row r="50">
      <c r="A50" s="28">
        <f>ROW()-ROW(Table_Action_Type[N])</f>
        <v>23</v>
      </c>
      <c r="B50" s="28" t="s">
        <v>2499</v>
      </c>
    </row>
    <row r="51">
      <c r="A51" s="28">
        <f>ROW()-ROW(Table_Action_Type[N])</f>
        <v>24</v>
      </c>
      <c r="B51" s="28" t="s">
        <v>2503</v>
      </c>
    </row>
    <row r="52">
      <c r="A52" s="28">
        <f>ROW()-ROW(Table_Action_Type[N])</f>
        <v>25</v>
      </c>
      <c r="B52" s="28" t="s">
        <v>2506</v>
      </c>
    </row>
    <row r="53">
      <c r="A53" s="28">
        <f>ROW()-ROW(Table_Action_Type[N])</f>
        <v>26</v>
      </c>
      <c r="B53" s="28" t="s">
        <v>2508</v>
      </c>
    </row>
    <row r="54">
      <c r="A54" s="28">
        <f>ROW()-ROW(Table_Action_Type[N])</f>
        <v>27</v>
      </c>
      <c r="B54" s="28" t="s">
        <v>2368</v>
      </c>
    </row>
    <row r="56">
      <c r="A56" s="1" t="s">
        <v>0</v>
      </c>
      <c r="B56" s="1" t="s">
        <v>2511</v>
      </c>
      <c r="C56" s="42" t="s">
        <v>2512</v>
      </c>
    </row>
    <row r="57">
      <c r="A57" s="28">
        <f>ROW()-ROW(Table_Animation_Trigger[N])</f>
        <v>0</v>
      </c>
      <c r="B57" s="28" t="s">
        <v>1556</v>
      </c>
      <c r="C57" s="28" t="s">
        <v>2517</v>
      </c>
    </row>
    <row r="58">
      <c r="A58" s="28">
        <f>ROW()-ROW(Table_Animation_Trigger[N])</f>
        <v>1</v>
      </c>
      <c r="B58" s="28" t="s">
        <v>2520</v>
      </c>
      <c r="C58" s="28" t="s">
        <v>2521</v>
      </c>
    </row>
    <row r="59">
      <c r="A59" s="28">
        <f>ROW()-ROW(Table_Animation_Trigger[N])</f>
        <v>2</v>
      </c>
      <c r="B59" s="28" t="s">
        <v>2522</v>
      </c>
    </row>
    <row r="60">
      <c r="A60" s="28">
        <f>ROW()-ROW(Table_Animation_Trigger[N])</f>
        <v>3</v>
      </c>
      <c r="B60" s="28" t="s">
        <v>2525</v>
      </c>
    </row>
    <row r="61">
      <c r="A61" s="28">
        <f>ROW()-ROW(Table_Animation_Trigger[N])</f>
        <v>4</v>
      </c>
      <c r="B61" s="28" t="s">
        <v>2530</v>
      </c>
    </row>
    <row r="62">
      <c r="A62" s="28">
        <f>ROW()-ROW(Table_Animation_Trigger[N])</f>
        <v>5</v>
      </c>
      <c r="B62" s="28" t="s">
        <v>2533</v>
      </c>
    </row>
    <row r="63">
      <c r="A63" s="28">
        <f>ROW()-ROW(Table_Animation_Trigger[N])</f>
        <v>6</v>
      </c>
      <c r="B63" s="28" t="s">
        <v>2534</v>
      </c>
    </row>
    <row r="64">
      <c r="A64" s="28">
        <f>ROW()-ROW(Table_Animation_Trigger[N])</f>
        <v>7</v>
      </c>
      <c r="B64" s="28" t="s">
        <v>2536</v>
      </c>
    </row>
    <row r="65">
      <c r="A65" s="28">
        <f>ROW()-ROW(Table_Animation_Trigger[N])</f>
        <v>8</v>
      </c>
      <c r="B65" s="28" t="s">
        <v>2540</v>
      </c>
    </row>
    <row r="66">
      <c r="A66" s="28">
        <f>ROW()-ROW(Table_Animation_Trigger[N])</f>
        <v>9</v>
      </c>
      <c r="B66" s="28" t="s">
        <v>2542</v>
      </c>
      <c r="C66" s="28"/>
    </row>
    <row r="67">
      <c r="A67" s="28">
        <f>ROW()-ROW(Table_Animation_Trigger[N])</f>
        <v>10</v>
      </c>
      <c r="B67" s="28" t="s">
        <v>2544</v>
      </c>
      <c r="C67" s="28"/>
    </row>
    <row r="68">
      <c r="A68" s="28">
        <f>ROW()-ROW(Table_Animation_Trigger[N])</f>
        <v>11</v>
      </c>
      <c r="B68" s="28" t="s">
        <v>2549</v>
      </c>
      <c r="C68" s="28"/>
    </row>
    <row r="69">
      <c r="A69" s="28">
        <f>ROW()-ROW(Table_Animation_Trigger[N])</f>
        <v>12</v>
      </c>
      <c r="B69" s="28" t="s">
        <v>2553</v>
      </c>
      <c r="C69" s="28"/>
    </row>
    <row r="70">
      <c r="A70" s="28">
        <f>ROW()-ROW(Table_Animation_Trigger[N])</f>
        <v>13</v>
      </c>
      <c r="B70" s="28" t="s">
        <v>2555</v>
      </c>
      <c r="C70" s="28"/>
    </row>
    <row r="71">
      <c r="A71" s="28">
        <f>ROW()-ROW(Table_Animation_Trigger[N])</f>
        <v>14</v>
      </c>
      <c r="B71" s="28" t="s">
        <v>2558</v>
      </c>
      <c r="C71" s="28"/>
    </row>
    <row r="72">
      <c r="A72" s="28">
        <f>ROW()-ROW(Table_Animation_Trigger[N])</f>
        <v>15</v>
      </c>
      <c r="B72" s="28" t="s">
        <v>2560</v>
      </c>
      <c r="C72" s="28"/>
    </row>
    <row r="73">
      <c r="A73" s="28">
        <f>ROW()-ROW(Table_Animation_Trigger[N])</f>
        <v>16</v>
      </c>
      <c r="B73" s="28" t="s">
        <v>2562</v>
      </c>
      <c r="C73" s="28"/>
    </row>
    <row r="74">
      <c r="A74" s="28">
        <f>ROW()-ROW(Table_Animation_Trigger[N])</f>
        <v>17</v>
      </c>
      <c r="B74" s="28" t="s">
        <v>2565</v>
      </c>
      <c r="C74" s="28" t="s">
        <v>2566</v>
      </c>
    </row>
    <row r="75">
      <c r="A75" s="28">
        <f>ROW()-ROW(Table_Animation_Trigger[N])</f>
        <v>18</v>
      </c>
      <c r="B75" s="28" t="s">
        <v>2568</v>
      </c>
    </row>
    <row r="76">
      <c r="A76" s="28">
        <f>ROW()-ROW(Table_Animation_Trigger[N])</f>
        <v>19</v>
      </c>
      <c r="B76" s="28" t="s">
        <v>2571</v>
      </c>
    </row>
    <row r="77">
      <c r="A77" s="28">
        <f>ROW()-ROW(Table_Animation_Trigger[N])</f>
        <v>20</v>
      </c>
      <c r="B77" s="28" t="s">
        <v>2573</v>
      </c>
    </row>
    <row r="78">
      <c r="A78" s="28">
        <f>ROW()-ROW(Table_Animation_Trigger[N])</f>
        <v>21</v>
      </c>
      <c r="B78" s="28" t="s">
        <v>2576</v>
      </c>
    </row>
    <row r="79">
      <c r="A79" s="28">
        <f>ROW()-ROW(Table_Animation_Trigger[N])</f>
        <v>22</v>
      </c>
      <c r="B79" s="28" t="s">
        <v>2579</v>
      </c>
    </row>
    <row r="80">
      <c r="A80" s="28">
        <f>ROW()-ROW(Table_Animation_Trigger[N])</f>
        <v>23</v>
      </c>
      <c r="B80" s="28" t="s">
        <v>2583</v>
      </c>
    </row>
    <row r="81">
      <c r="A81" s="28">
        <f>ROW()-ROW(Table_Animation_Trigger[N])</f>
        <v>24</v>
      </c>
      <c r="B81" s="28" t="s">
        <v>2584</v>
      </c>
    </row>
    <row r="82">
      <c r="A82" s="28">
        <f>ROW()-ROW(Table_Animation_Trigger[N])</f>
        <v>25</v>
      </c>
      <c r="B82" s="28" t="s">
        <v>2586</v>
      </c>
      <c r="C82" s="28"/>
    </row>
    <row r="83">
      <c r="A83" s="28">
        <f>ROW()-ROW(Table_Animation_Trigger[N])</f>
        <v>26</v>
      </c>
      <c r="B83" s="28" t="s">
        <v>2588</v>
      </c>
      <c r="C83" s="28"/>
    </row>
    <row r="84">
      <c r="A84" s="28">
        <f>ROW()-ROW(Table_Animation_Trigger[N])</f>
        <v>27</v>
      </c>
      <c r="B84" s="28" t="s">
        <v>2592</v>
      </c>
      <c r="C84" s="28"/>
    </row>
    <row r="85">
      <c r="A85" s="28">
        <f>ROW()-ROW(Table_Animation_Trigger[N])</f>
        <v>28</v>
      </c>
      <c r="B85" s="28" t="s">
        <v>2594</v>
      </c>
      <c r="C85" s="28"/>
    </row>
    <row r="86">
      <c r="A86" s="28">
        <f>ROW()-ROW(Table_Animation_Trigger[N])</f>
        <v>29</v>
      </c>
      <c r="B86" s="28" t="s">
        <v>1644</v>
      </c>
      <c r="C86" s="28" t="s">
        <v>2596</v>
      </c>
    </row>
    <row r="87">
      <c r="A87" s="28">
        <f>ROW()-ROW(Table_Animation_Trigger[N])</f>
        <v>30</v>
      </c>
      <c r="B87" s="28" t="s">
        <v>2599</v>
      </c>
    </row>
    <row r="88">
      <c r="A88" s="28">
        <f>ROW()-ROW(Table_Animation_Trigger[N])</f>
        <v>31</v>
      </c>
      <c r="B88" s="28" t="s">
        <v>2600</v>
      </c>
    </row>
    <row r="89">
      <c r="A89" s="28">
        <f>ROW()-ROW(Table_Animation_Trigger[N])</f>
        <v>32</v>
      </c>
      <c r="B89" s="28" t="s">
        <v>2604</v>
      </c>
    </row>
    <row r="90">
      <c r="A90" s="28">
        <f>ROW()-ROW(Table_Animation_Trigger[N])</f>
        <v>33</v>
      </c>
      <c r="B90" s="28" t="s">
        <v>2607</v>
      </c>
      <c r="C90" s="28"/>
    </row>
    <row r="91">
      <c r="A91" s="28">
        <f>ROW()-ROW(Table_Animation_Trigger[N])</f>
        <v>34</v>
      </c>
      <c r="B91" s="28" t="s">
        <v>2610</v>
      </c>
      <c r="C91" s="28"/>
    </row>
    <row r="92">
      <c r="A92" s="28">
        <f>ROW()-ROW(Table_Animation_Trigger[N])</f>
        <v>35</v>
      </c>
      <c r="B92" s="28" t="s">
        <v>2613</v>
      </c>
      <c r="C92" s="28"/>
    </row>
    <row r="93">
      <c r="A93" s="28">
        <f>ROW()-ROW(Table_Animation_Trigger[N])</f>
        <v>36</v>
      </c>
      <c r="B93" s="28" t="s">
        <v>2617</v>
      </c>
      <c r="C93" s="28"/>
    </row>
    <row r="94">
      <c r="A94" s="28">
        <f>ROW()-ROW(Table_Animation_Trigger[N])</f>
        <v>37</v>
      </c>
      <c r="B94" s="28" t="s">
        <v>1596</v>
      </c>
      <c r="C94" s="28" t="s">
        <v>2619</v>
      </c>
    </row>
    <row r="95">
      <c r="A95" s="28">
        <f>ROW()-ROW(Table_Animation_Trigger[N])</f>
        <v>38</v>
      </c>
      <c r="B95" s="28" t="s">
        <v>1564</v>
      </c>
    </row>
    <row r="96">
      <c r="A96" s="28">
        <f>ROW()-ROW(Table_Animation_Trigger[N])</f>
        <v>39</v>
      </c>
      <c r="B96" s="28" t="s">
        <v>2625</v>
      </c>
    </row>
    <row r="97">
      <c r="A97" s="28">
        <f>ROW()-ROW(Table_Animation_Trigger[N])</f>
        <v>40</v>
      </c>
      <c r="B97" s="28" t="s">
        <v>2627</v>
      </c>
    </row>
    <row r="98">
      <c r="A98" s="28">
        <f>ROW()-ROW(Table_Animation_Trigger[N])</f>
        <v>41</v>
      </c>
      <c r="B98" s="28" t="s">
        <v>2630</v>
      </c>
      <c r="C98" s="28"/>
    </row>
    <row r="99">
      <c r="A99" s="28">
        <f>ROW()-ROW(Table_Animation_Trigger[N])</f>
        <v>42</v>
      </c>
      <c r="B99" s="28" t="s">
        <v>2632</v>
      </c>
      <c r="C99" s="28"/>
    </row>
    <row r="100">
      <c r="A100" s="28">
        <f>ROW()-ROW(Table_Animation_Trigger[N])</f>
        <v>43</v>
      </c>
      <c r="B100" s="28" t="s">
        <v>2636</v>
      </c>
      <c r="C100" s="28"/>
    </row>
    <row r="101">
      <c r="A101" s="28">
        <f>ROW()-ROW(Table_Animation_Trigger[N])</f>
        <v>44</v>
      </c>
      <c r="B101" s="28" t="s">
        <v>2637</v>
      </c>
      <c r="C101" s="28"/>
    </row>
    <row r="102">
      <c r="A102" s="28">
        <f>ROW()-ROW(Table_Animation_Trigger[N])</f>
        <v>45</v>
      </c>
      <c r="B102" s="28" t="s">
        <v>2639</v>
      </c>
      <c r="C102" s="28" t="s">
        <v>2640</v>
      </c>
    </row>
    <row r="103">
      <c r="A103" s="28">
        <f>ROW()-ROW(Table_Animation_Trigger[N])</f>
        <v>46</v>
      </c>
      <c r="B103" s="28" t="s">
        <v>2644</v>
      </c>
      <c r="C103" s="28" t="s">
        <v>2645</v>
      </c>
    </row>
    <row r="104">
      <c r="A104" s="28">
        <f>ROW()-ROW(Table_Animation_Trigger[N])</f>
        <v>47</v>
      </c>
      <c r="B104" s="28" t="s">
        <v>2646</v>
      </c>
    </row>
    <row r="105">
      <c r="A105" s="28">
        <f>ROW()-ROW(Table_Animation_Trigger[N])</f>
        <v>48</v>
      </c>
      <c r="B105" s="28" t="s">
        <v>2648</v>
      </c>
    </row>
    <row r="106">
      <c r="A106" s="28">
        <f>ROW()-ROW(Table_Animation_Trigger[N])</f>
        <v>49</v>
      </c>
      <c r="B106" s="28" t="s">
        <v>2653</v>
      </c>
    </row>
    <row r="107">
      <c r="A107" s="28">
        <f>ROW()-ROW(Table_Animation_Trigger[N])</f>
        <v>50</v>
      </c>
      <c r="B107" s="28" t="s">
        <v>2655</v>
      </c>
    </row>
    <row r="109">
      <c r="A109" s="1" t="s">
        <v>0</v>
      </c>
      <c r="B109" s="1" t="s">
        <v>2657</v>
      </c>
    </row>
    <row r="110">
      <c r="A110" s="28">
        <f>ROW()-ROW(Table_Item_Family_Type[N])</f>
        <v>0</v>
      </c>
      <c r="B110" s="28" t="s">
        <v>47</v>
      </c>
    </row>
    <row r="111">
      <c r="A111" s="28">
        <f>ROW()-ROW(Table_Item_Family_Type[N])</f>
        <v>1</v>
      </c>
      <c r="B111" s="28" t="s">
        <v>928</v>
      </c>
    </row>
    <row r="112">
      <c r="A112" s="28">
        <f>ROW()-ROW(Table_Item_Family_Type[N])</f>
        <v>2</v>
      </c>
      <c r="B112" s="28" t="s">
        <v>76</v>
      </c>
    </row>
    <row r="113">
      <c r="A113" s="28">
        <f>ROW()-ROW(Table_Item_Family_Type[N])</f>
        <v>3</v>
      </c>
      <c r="B113" s="1" t="s">
        <v>150</v>
      </c>
    </row>
    <row r="114">
      <c r="A114" s="28">
        <f>ROW()-ROW(Table_Item_Family_Type[N])</f>
        <v>4</v>
      </c>
      <c r="B114" s="1" t="s">
        <v>158</v>
      </c>
    </row>
    <row r="115">
      <c r="A115" s="28">
        <f>ROW()-ROW(Table_Item_Family_Type[N])</f>
        <v>5</v>
      </c>
      <c r="B115" s="78" t="s">
        <v>101</v>
      </c>
    </row>
    <row r="117">
      <c r="A117" s="1" t="s">
        <v>0</v>
      </c>
      <c r="B117" s="1" t="s">
        <v>2667</v>
      </c>
    </row>
    <row r="118">
      <c r="A118" s="28">
        <f>ROW()-ROW(Table_Moment_Day[N])</f>
        <v>0</v>
      </c>
      <c r="B118" s="28" t="s">
        <v>461</v>
      </c>
    </row>
    <row r="119">
      <c r="A119" s="28">
        <f>ROW()-ROW(Table_Moment_Day[N])</f>
        <v>1</v>
      </c>
      <c r="B119" s="28" t="s">
        <v>473</v>
      </c>
    </row>
    <row r="120">
      <c r="A120" s="28">
        <f>ROW()-ROW(Table_Moment_Day[N])</f>
        <v>2</v>
      </c>
      <c r="B120" s="28" t="s">
        <v>184</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0</v>
      </c>
      <c r="B1" s="1" t="s">
        <v>2689</v>
      </c>
    </row>
    <row r="2">
      <c r="A2" s="28">
        <f t="shared" ref="A2:A59" si="1">ROW()-ROW($A$2)</f>
        <v>0</v>
      </c>
      <c r="B2" s="28" t="s">
        <v>183</v>
      </c>
    </row>
    <row r="3">
      <c r="A3" s="28">
        <f t="shared" si="1"/>
        <v>1</v>
      </c>
      <c r="B3" s="28" t="s">
        <v>2692</v>
      </c>
    </row>
    <row r="4">
      <c r="A4" s="28">
        <f t="shared" si="1"/>
        <v>2</v>
      </c>
      <c r="B4" s="28" t="s">
        <v>2695</v>
      </c>
    </row>
    <row r="5">
      <c r="A5" s="28">
        <f t="shared" si="1"/>
        <v>3</v>
      </c>
      <c r="B5" s="28" t="s">
        <v>1690</v>
      </c>
    </row>
    <row r="6">
      <c r="A6" s="28">
        <f t="shared" si="1"/>
        <v>4</v>
      </c>
      <c r="B6" s="28" t="s">
        <v>215</v>
      </c>
    </row>
    <row r="7">
      <c r="A7" s="28">
        <f t="shared" si="1"/>
        <v>5</v>
      </c>
      <c r="B7" s="28" t="s">
        <v>1728</v>
      </c>
    </row>
    <row r="8">
      <c r="A8" s="28">
        <f t="shared" si="1"/>
        <v>6</v>
      </c>
      <c r="B8" s="28" t="s">
        <v>249</v>
      </c>
    </row>
    <row r="9">
      <c r="A9" s="28">
        <f t="shared" si="1"/>
        <v>7</v>
      </c>
      <c r="B9" s="28" t="s">
        <v>2700</v>
      </c>
    </row>
    <row r="10">
      <c r="A10" s="28">
        <f t="shared" si="1"/>
        <v>8</v>
      </c>
      <c r="B10" s="28" t="s">
        <v>386</v>
      </c>
    </row>
    <row r="11">
      <c r="A11" s="28">
        <f t="shared" si="1"/>
        <v>9</v>
      </c>
      <c r="B11" s="28" t="s">
        <v>341</v>
      </c>
    </row>
    <row r="12">
      <c r="A12" s="28">
        <f t="shared" si="1"/>
        <v>10</v>
      </c>
      <c r="B12" s="28" t="s">
        <v>1757</v>
      </c>
    </row>
    <row r="13">
      <c r="A13" s="28">
        <f t="shared" si="1"/>
        <v>11</v>
      </c>
      <c r="B13" s="28" t="s">
        <v>2705</v>
      </c>
    </row>
    <row r="14">
      <c r="A14" s="28">
        <f t="shared" si="1"/>
        <v>12</v>
      </c>
      <c r="B14" s="28" t="s">
        <v>1442</v>
      </c>
    </row>
    <row r="15">
      <c r="A15" s="28">
        <f t="shared" si="1"/>
        <v>13</v>
      </c>
      <c r="B15" s="28" t="s">
        <v>2708</v>
      </c>
    </row>
    <row r="16">
      <c r="A16" s="28">
        <f t="shared" si="1"/>
        <v>14</v>
      </c>
      <c r="B16" s="28" t="s">
        <v>1866</v>
      </c>
    </row>
    <row r="17">
      <c r="A17" s="28">
        <f t="shared" si="1"/>
        <v>15</v>
      </c>
      <c r="B17" s="28" t="s">
        <v>547</v>
      </c>
    </row>
    <row r="18">
      <c r="A18" s="28">
        <f t="shared" si="1"/>
        <v>16</v>
      </c>
      <c r="B18" s="28" t="s">
        <v>2711</v>
      </c>
    </row>
    <row r="19">
      <c r="A19" s="28">
        <f t="shared" si="1"/>
        <v>17</v>
      </c>
      <c r="B19" s="28" t="s">
        <v>612</v>
      </c>
    </row>
    <row r="20">
      <c r="A20" s="28">
        <f t="shared" si="1"/>
        <v>18</v>
      </c>
      <c r="B20" s="28" t="s">
        <v>631</v>
      </c>
    </row>
    <row r="21">
      <c r="A21" s="28">
        <f t="shared" si="1"/>
        <v>19</v>
      </c>
      <c r="B21" s="28" t="s">
        <v>1908</v>
      </c>
    </row>
    <row r="22">
      <c r="A22" s="28">
        <f t="shared" si="1"/>
        <v>20</v>
      </c>
      <c r="B22" s="28" t="s">
        <v>696</v>
      </c>
    </row>
    <row r="23">
      <c r="A23" s="28">
        <f t="shared" si="1"/>
        <v>21</v>
      </c>
      <c r="B23" s="28" t="s">
        <v>1940</v>
      </c>
    </row>
    <row r="24">
      <c r="A24" s="28">
        <f t="shared" si="1"/>
        <v>22</v>
      </c>
      <c r="B24" s="28" t="s">
        <v>1954</v>
      </c>
    </row>
    <row r="25">
      <c r="A25" s="28">
        <f t="shared" si="1"/>
        <v>23</v>
      </c>
      <c r="B25" s="28" t="s">
        <v>760</v>
      </c>
    </row>
    <row r="26">
      <c r="A26" s="28">
        <f t="shared" si="1"/>
        <v>24</v>
      </c>
      <c r="B26" s="28" t="s">
        <v>2718</v>
      </c>
    </row>
    <row r="27">
      <c r="A27" s="28">
        <f t="shared" si="1"/>
        <v>25</v>
      </c>
      <c r="B27" s="28" t="s">
        <v>1582</v>
      </c>
    </row>
    <row r="28">
      <c r="A28" s="28">
        <f t="shared" si="1"/>
        <v>26</v>
      </c>
      <c r="B28" s="28" t="s">
        <v>2719</v>
      </c>
    </row>
    <row r="29">
      <c r="A29" s="28">
        <f t="shared" si="1"/>
        <v>27</v>
      </c>
      <c r="B29" s="28" t="s">
        <v>849</v>
      </c>
    </row>
    <row r="30">
      <c r="A30" s="28">
        <f t="shared" si="1"/>
        <v>28</v>
      </c>
      <c r="B30" s="28" t="s">
        <v>866</v>
      </c>
    </row>
    <row r="31">
      <c r="A31" s="28">
        <f t="shared" si="1"/>
        <v>29</v>
      </c>
      <c r="B31" s="28" t="s">
        <v>1983</v>
      </c>
    </row>
    <row r="32">
      <c r="A32" s="28">
        <f t="shared" si="1"/>
        <v>30</v>
      </c>
      <c r="B32" s="28" t="s">
        <v>790</v>
      </c>
    </row>
    <row r="33">
      <c r="A33" s="28">
        <f t="shared" si="1"/>
        <v>31</v>
      </c>
      <c r="B33" s="28" t="s">
        <v>1741</v>
      </c>
    </row>
    <row r="34">
      <c r="A34" s="28">
        <f t="shared" si="1"/>
        <v>32</v>
      </c>
      <c r="B34" s="28" t="s">
        <v>2054</v>
      </c>
    </row>
    <row r="35">
      <c r="A35" s="28">
        <f t="shared" si="1"/>
        <v>33</v>
      </c>
      <c r="B35" s="28" t="s">
        <v>2723</v>
      </c>
    </row>
    <row r="36">
      <c r="A36" s="28">
        <f t="shared" si="1"/>
        <v>34</v>
      </c>
      <c r="B36" s="28" t="s">
        <v>1100</v>
      </c>
    </row>
    <row r="37">
      <c r="A37" s="28">
        <f t="shared" si="1"/>
        <v>35</v>
      </c>
      <c r="B37" s="28" t="s">
        <v>2725</v>
      </c>
    </row>
    <row r="38">
      <c r="A38" s="28">
        <f t="shared" si="1"/>
        <v>36</v>
      </c>
      <c r="B38" s="28" t="s">
        <v>1842</v>
      </c>
    </row>
    <row r="39">
      <c r="A39" s="28">
        <f t="shared" si="1"/>
        <v>37</v>
      </c>
      <c r="B39" s="28" t="s">
        <v>2726</v>
      </c>
    </row>
    <row r="40">
      <c r="A40" s="28">
        <f t="shared" si="1"/>
        <v>38</v>
      </c>
      <c r="B40" s="28" t="s">
        <v>1901</v>
      </c>
    </row>
    <row r="41">
      <c r="A41" s="28">
        <f t="shared" si="1"/>
        <v>39</v>
      </c>
      <c r="B41" s="28" t="s">
        <v>2095</v>
      </c>
    </row>
    <row r="42">
      <c r="A42" s="28">
        <f t="shared" si="1"/>
        <v>40</v>
      </c>
      <c r="B42" s="28" t="s">
        <v>2728</v>
      </c>
    </row>
    <row r="43">
      <c r="A43" s="28">
        <f t="shared" si="1"/>
        <v>41</v>
      </c>
      <c r="B43" s="28" t="s">
        <v>2109</v>
      </c>
    </row>
    <row r="44">
      <c r="A44" s="28">
        <f t="shared" si="1"/>
        <v>42</v>
      </c>
      <c r="B44" s="28" t="s">
        <v>2730</v>
      </c>
    </row>
    <row r="45">
      <c r="A45" s="28">
        <f t="shared" si="1"/>
        <v>43</v>
      </c>
      <c r="B45" s="28" t="s">
        <v>2731</v>
      </c>
    </row>
    <row r="46">
      <c r="A46" s="28">
        <f t="shared" si="1"/>
        <v>44</v>
      </c>
      <c r="B46" s="28" t="s">
        <v>2732</v>
      </c>
    </row>
    <row r="47">
      <c r="A47" s="28">
        <f t="shared" si="1"/>
        <v>45</v>
      </c>
      <c r="B47" s="28" t="s">
        <v>2734</v>
      </c>
    </row>
    <row r="48">
      <c r="A48" s="28">
        <f t="shared" si="1"/>
        <v>46</v>
      </c>
      <c r="B48" s="28" t="s">
        <v>2081</v>
      </c>
    </row>
    <row r="49">
      <c r="A49" s="28">
        <f t="shared" si="1"/>
        <v>47</v>
      </c>
      <c r="B49" s="28" t="s">
        <v>2124</v>
      </c>
    </row>
    <row r="50">
      <c r="A50" s="28">
        <f t="shared" si="1"/>
        <v>48</v>
      </c>
      <c r="B50" s="28" t="s">
        <v>2138</v>
      </c>
    </row>
    <row r="51">
      <c r="A51" s="28">
        <f t="shared" si="1"/>
        <v>49</v>
      </c>
      <c r="B51" s="28" t="s">
        <v>2166</v>
      </c>
    </row>
    <row r="52">
      <c r="A52" s="28">
        <f t="shared" si="1"/>
        <v>50</v>
      </c>
      <c r="B52" s="28" t="s">
        <v>1411</v>
      </c>
    </row>
    <row r="53">
      <c r="A53" s="28">
        <f t="shared" si="1"/>
        <v>51</v>
      </c>
      <c r="B53" s="28" t="s">
        <v>2218</v>
      </c>
    </row>
    <row r="54">
      <c r="A54" s="28">
        <f t="shared" si="1"/>
        <v>52</v>
      </c>
      <c r="B54" s="28" t="s">
        <v>1461</v>
      </c>
    </row>
    <row r="55">
      <c r="A55" s="28">
        <f t="shared" si="1"/>
        <v>53</v>
      </c>
      <c r="B55" s="28" t="s">
        <v>2738</v>
      </c>
    </row>
    <row r="56">
      <c r="A56" s="28">
        <f t="shared" si="1"/>
        <v>54</v>
      </c>
      <c r="B56" s="28" t="s">
        <v>2739</v>
      </c>
    </row>
    <row r="57">
      <c r="A57" s="28">
        <f t="shared" si="1"/>
        <v>55</v>
      </c>
      <c r="B57" s="28" t="s">
        <v>2274</v>
      </c>
    </row>
    <row r="58">
      <c r="A58" s="28">
        <f t="shared" si="1"/>
        <v>56</v>
      </c>
      <c r="B58" s="28" t="s">
        <v>2291</v>
      </c>
    </row>
    <row r="59">
      <c r="A59" s="28">
        <f t="shared" si="1"/>
        <v>57</v>
      </c>
      <c r="B59" s="28" t="s">
        <v>2741</v>
      </c>
    </row>
    <row r="61">
      <c r="A61" s="1" t="s">
        <v>0</v>
      </c>
      <c r="B61" s="1" t="s">
        <v>2744</v>
      </c>
      <c r="C61" s="81" t="s">
        <v>2</v>
      </c>
      <c r="D61" s="81" t="s">
        <v>2746</v>
      </c>
      <c r="E61" s="81" t="s">
        <v>2748</v>
      </c>
    </row>
    <row r="62">
      <c r="A62" s="28">
        <f>ROW()-ROW(Table_Memento_Parent[N])</f>
        <v>0</v>
      </c>
      <c r="B62" s="28" t="s">
        <v>2750</v>
      </c>
      <c r="C62" s="30" t="s">
        <v>45</v>
      </c>
      <c r="D62" s="30" t="s">
        <v>48</v>
      </c>
      <c r="E62" s="82" t="str">
        <f>IFERROR(__xludf.DUMMYFUNCTION("ArrayFormula(SUBSTITUTE(SUBSTITUTE(JOIN(""|"",UNIQUE(IF(Table_Memento[Parent]=B62,Table_Memento[MEMENTO_ID],""Ñ""))),""Ñ|"",""""),""|Ñ"",""""))"),"MEMENTO_NONE")</f>
        <v>MEMENTO_NONE</v>
      </c>
    </row>
    <row r="63">
      <c r="A63" s="28">
        <f>ROW()-ROW(Table_Memento_Parent[N])</f>
        <v>1</v>
      </c>
      <c r="B63" s="28" t="s">
        <v>2755</v>
      </c>
      <c r="C63" s="30" t="s">
        <v>1224</v>
      </c>
      <c r="D63" s="30" t="s">
        <v>575</v>
      </c>
      <c r="E63" s="82" t="str">
        <f>IFERROR(__xludf.DUMMYFUNCTION("ArrayFormula(SUBSTITUTE(SUBSTITUTE(JOIN(""|"",UNIQUE(IF(Table_Memento[Parent]=B63,Table_Memento[MEMENTO_ID],""Ñ""))),""Ñ|"",""""),""|Ñ"",""""))"),"MEMENTO_JOB_FIND_1_1|MEMENTO_JOB_FIND_1_2")</f>
        <v>MEMENTO_JOB_FIND_1_1|MEMENTO_JOB_FIND_1_2</v>
      </c>
    </row>
    <row r="64">
      <c r="A64" s="28">
        <f>ROW()-ROW(Table_Memento_Parent[N])</f>
        <v>2</v>
      </c>
      <c r="B64" s="28" t="s">
        <v>2757</v>
      </c>
      <c r="C64" s="30" t="s">
        <v>1316</v>
      </c>
      <c r="D64" s="30" t="s">
        <v>648</v>
      </c>
      <c r="E64" s="82" t="str">
        <f>IFERROR(__xludf.DUMMYFUNCTION("ArrayFormula(SUBSTITUTE(SUBSTITUTE(JOIN(""|"",UNIQUE(IF(Table_Memento[Parent]=B64,Table_Memento[MEMENTO_ID],""Ñ""))),""Ñ|"",""""),""|Ñ"",""""))"),"MEMENTO_RECIPE_MISSION_1")</f>
        <v>MEMENTO_RECIPE_MISSION_1</v>
      </c>
    </row>
    <row r="65">
      <c r="A65" s="28">
        <f>ROW()-ROW(Table_Memento_Parent[N])</f>
        <v>3</v>
      </c>
      <c r="B65" s="28" t="s">
        <v>118</v>
      </c>
      <c r="C65" s="30" t="s">
        <v>1330</v>
      </c>
      <c r="D65" s="30" t="s">
        <v>120</v>
      </c>
      <c r="E65" s="82" t="str">
        <f>IFERROR(__xludf.DUMMYFUNCTION("ArrayFormula(SUBSTITUTE(SUBSTITUTE(JOIN(""|"",UNIQUE(IF(Table_Memento[Parent]=B65,Table_Memento[MEMENTO_ID],""Ñ""))),""Ñ|"",""""),""|Ñ"",""""))"),"MEMENTO_POOR_MAN_WC_1|MEMENTO_POOR_MAN_WC_2|MEMENTO_POOR_MAN_WC_3")</f>
        <v>MEMENTO_POOR_MAN_WC_1|MEMENTO_POOR_MAN_WC_2|MEMENTO_POOR_MAN_WC_3</v>
      </c>
    </row>
    <row r="66">
      <c r="A66" s="28">
        <f>ROW()-ROW(Table_Memento_Parent[N])</f>
        <v>4</v>
      </c>
      <c r="B66" s="28" t="s">
        <v>2762</v>
      </c>
      <c r="C66" s="30" t="s">
        <v>976</v>
      </c>
      <c r="D66" s="30" t="s">
        <v>48</v>
      </c>
      <c r="E66" s="82" t="str">
        <f>IFERROR(__xludf.DUMMYFUNCTION("ArrayFormula(SUBSTITUTE(SUBSTITUTE(JOIN(""|"",UNIQUE(IF(Table_Memento[Parent]=B66,Table_Memento[MEMENTO_ID],""Ñ""))),""Ñ|"",""""),""|Ñ"",""""))"),"MEMENTO_LAST")</f>
        <v>MEMENTO_LAST</v>
      </c>
    </row>
    <row r="68">
      <c r="A68" s="1" t="s">
        <v>0</v>
      </c>
      <c r="B68" s="1" t="s">
        <v>2764</v>
      </c>
      <c r="C68" s="78" t="s">
        <v>2765</v>
      </c>
      <c r="D68" s="78" t="s">
        <v>1071</v>
      </c>
      <c r="E68" s="81" t="s">
        <v>2766</v>
      </c>
      <c r="F68" s="78" t="s">
        <v>2767</v>
      </c>
    </row>
    <row r="69">
      <c r="A69" s="28">
        <f>ROW()-ROW(Table_Memento[N])</f>
        <v>0</v>
      </c>
      <c r="B69" s="28" t="s">
        <v>2346</v>
      </c>
      <c r="C69" s="62" t="s">
        <v>2750</v>
      </c>
      <c r="D69" s="62" t="s">
        <v>1075</v>
      </c>
      <c r="E69" s="68" t="s">
        <v>2774</v>
      </c>
      <c r="F69" s="66" t="b">
        <v>0</v>
      </c>
    </row>
    <row r="70">
      <c r="A70" s="28">
        <f>ROW()-ROW(Table_Memento[N])</f>
        <v>1</v>
      </c>
      <c r="B70" s="28" t="s">
        <v>2425</v>
      </c>
      <c r="C70" s="62" t="s">
        <v>2755</v>
      </c>
      <c r="D70" s="62" t="s">
        <v>1715</v>
      </c>
      <c r="E70" s="68" t="s">
        <v>2774</v>
      </c>
      <c r="F70" s="66" t="b">
        <v>0</v>
      </c>
    </row>
    <row r="71">
      <c r="A71" s="28">
        <f>ROW()-ROW(Table_Memento[N])</f>
        <v>2</v>
      </c>
      <c r="B71" s="28" t="s">
        <v>2682</v>
      </c>
      <c r="C71" s="62" t="s">
        <v>2755</v>
      </c>
      <c r="D71" s="62" t="s">
        <v>1727</v>
      </c>
      <c r="E71" s="68" t="s">
        <v>2774</v>
      </c>
      <c r="F71" s="66" t="b">
        <v>0</v>
      </c>
    </row>
    <row r="72">
      <c r="A72" s="28">
        <f>ROW()-ROW(Table_Memento[N])</f>
        <v>3</v>
      </c>
      <c r="B72" s="28" t="s">
        <v>2786</v>
      </c>
      <c r="C72" s="62" t="s">
        <v>2757</v>
      </c>
      <c r="D72" s="62" t="s">
        <v>2136</v>
      </c>
      <c r="E72" s="68" t="s">
        <v>2774</v>
      </c>
      <c r="F72" s="66" t="b">
        <v>0</v>
      </c>
    </row>
    <row r="73">
      <c r="A73" s="28">
        <f>ROW()-ROW(Table_Memento[N])</f>
        <v>4</v>
      </c>
      <c r="B73" s="28" t="s">
        <v>2790</v>
      </c>
      <c r="C73" s="62" t="s">
        <v>118</v>
      </c>
      <c r="D73" s="62" t="s">
        <v>2376</v>
      </c>
      <c r="E73" s="68" t="s">
        <v>2774</v>
      </c>
      <c r="F73" s="66" t="b">
        <v>0</v>
      </c>
    </row>
    <row r="74">
      <c r="A74" s="28">
        <f>ROW()-ROW(Table_Memento[N])</f>
        <v>5</v>
      </c>
      <c r="B74" s="28" t="s">
        <v>2792</v>
      </c>
      <c r="C74" s="62" t="s">
        <v>118</v>
      </c>
      <c r="D74" s="62" t="s">
        <v>2384</v>
      </c>
      <c r="E74" s="68" t="s">
        <v>2774</v>
      </c>
      <c r="F74" s="66" t="b">
        <v>0</v>
      </c>
    </row>
    <row r="75">
      <c r="A75" s="28">
        <f>ROW()-ROW(Table_Memento[N])</f>
        <v>6</v>
      </c>
      <c r="B75" s="28" t="s">
        <v>2795</v>
      </c>
      <c r="C75" s="62" t="s">
        <v>118</v>
      </c>
      <c r="D75" s="62" t="s">
        <v>2391</v>
      </c>
      <c r="E75" s="68" t="s">
        <v>2774</v>
      </c>
      <c r="F75" s="66" t="b">
        <v>1</v>
      </c>
    </row>
    <row r="76">
      <c r="A76" s="28">
        <f>ROW()-ROW(Table_Memento[N])</f>
        <v>7</v>
      </c>
      <c r="B76" s="28" t="s">
        <v>2797</v>
      </c>
      <c r="C76" s="62" t="s">
        <v>2762</v>
      </c>
      <c r="D76" s="62" t="s">
        <v>1075</v>
      </c>
      <c r="E76" s="68" t="s">
        <v>2774</v>
      </c>
      <c r="F76" s="66" t="b">
        <v>0</v>
      </c>
    </row>
    <row r="78">
      <c r="A78" s="1" t="s">
        <v>0</v>
      </c>
      <c r="B78" s="1" t="s">
        <v>2799</v>
      </c>
      <c r="C78" s="5" t="s">
        <v>2800</v>
      </c>
    </row>
    <row r="79">
      <c r="A79" s="28">
        <f>ROW()-ROW(Table_Memento_Combi[N])</f>
        <v>0</v>
      </c>
      <c r="B79" s="28" t="s">
        <v>2774</v>
      </c>
      <c r="C79" s="83" t="s">
        <v>183</v>
      </c>
    </row>
    <row r="81">
      <c r="A81" s="1" t="s">
        <v>0</v>
      </c>
      <c r="B81" s="1" t="s">
        <v>2802</v>
      </c>
    </row>
    <row r="82">
      <c r="A82" s="57">
        <f>ROW()-ROW(Table_EventsCombi[N])</f>
        <v>0</v>
      </c>
      <c r="B82" s="67" t="str">
        <f>IFERROR(__xludf.DUMMYFUNCTION("ArrayFormula(FLATTEN(Table_Events[EVENT_ID],""(NOT)""&amp;Table_Events[EVENT_ID]))"),"EVENT_NONE")</f>
        <v>EVENT_NONE</v>
      </c>
    </row>
    <row r="83">
      <c r="A83" s="57">
        <f>ROW()-ROW(Table_EventsCombi[N])</f>
        <v>1</v>
      </c>
      <c r="B83" s="67" t="str">
        <f>IFERROR(__xludf.DUMMYFUNCTION("""COMPUTED_VALUE"""),"EVENT_MASTER_CHANGE_ROOM")</f>
        <v>EVENT_MASTER_CHANGE_ROOM</v>
      </c>
    </row>
    <row r="84">
      <c r="A84" s="57">
        <f>ROW()-ROW(Table_EventsCombi[N])</f>
        <v>2</v>
      </c>
      <c r="B84" s="67" t="str">
        <f>IFERROR(__xludf.DUMMYFUNCTION("""COMPUTED_VALUE"""),"EVENT_MASTER_CHANGE_MOMENT_DAY")</f>
        <v>EVENT_MASTER_CHANGE_MOMENT_DAY</v>
      </c>
    </row>
    <row r="85">
      <c r="A85" s="57">
        <f>ROW()-ROW(Table_EventsCombi[N])</f>
        <v>3</v>
      </c>
      <c r="B85" s="67" t="str">
        <f>IFERROR(__xludf.DUMMYFUNCTION("""COMPUTED_VALUE"""),"EVENT_FIRST")</f>
        <v>EVENT_FIRST</v>
      </c>
    </row>
    <row r="86">
      <c r="A86" s="57">
        <f>ROW()-ROW(Table_EventsCombi[N])</f>
        <v>4</v>
      </c>
      <c r="B86" s="67" t="str">
        <f>IFERROR(__xludf.DUMMYFUNCTION("""COMPUTED_VALUE"""),"EVENT_HIVE1_CHEST_OPENED")</f>
        <v>EVENT_HIVE1_CHEST_OPENED</v>
      </c>
    </row>
    <row r="87">
      <c r="A87" s="57">
        <f>ROW()-ROW(Table_EventsCombi[N])</f>
        <v>5</v>
      </c>
      <c r="B87" s="67" t="str">
        <f>IFERROR(__xludf.DUMMYFUNCTION("""COMPUTED_VALUE"""),"EVENT_CARDS_PICKABLE_TAKEN")</f>
        <v>EVENT_CARDS_PICKABLE_TAKEN</v>
      </c>
    </row>
    <row r="88">
      <c r="A88" s="57">
        <f>ROW()-ROW(Table_EventsCombi[N])</f>
        <v>6</v>
      </c>
      <c r="B88" s="67" t="str">
        <f>IFERROR(__xludf.DUMMYFUNCTION("""COMPUTED_VALUE"""),"EVENT_HIVE1_WARDROBE_OPENED")</f>
        <v>EVENT_HIVE1_WARDROBE_OPENED</v>
      </c>
    </row>
    <row r="89">
      <c r="A89" s="57">
        <f>ROW()-ROW(Table_EventsCombi[N])</f>
        <v>7</v>
      </c>
      <c r="B89" s="67" t="str">
        <f>IFERROR(__xludf.DUMMYFUNCTION("""COMPUTED_VALUE"""),"EVENT_HIVE1_AD_BOARD_OBSERVED_1")</f>
        <v>EVENT_HIVE1_AD_BOARD_OBSERVED_1</v>
      </c>
    </row>
    <row r="90">
      <c r="A90" s="57">
        <f>ROW()-ROW(Table_EventsCombi[N])</f>
        <v>8</v>
      </c>
      <c r="B90" s="67" t="str">
        <f>IFERROR(__xludf.DUMMYFUNCTION("""COMPUTED_VALUE"""),"EVENT_HIVE1_USED_PERFUME")</f>
        <v>EVENT_HIVE1_USED_PERFUME</v>
      </c>
    </row>
    <row r="91">
      <c r="A91" s="57">
        <f>ROW()-ROW(Table_EventsCombi[N])</f>
        <v>9</v>
      </c>
      <c r="B91" s="67" t="str">
        <f>IFERROR(__xludf.DUMMYFUNCTION("""COMPUTED_VALUE"""),"EVENT_HIVE1_USED_BASIN")</f>
        <v>EVENT_HIVE1_USED_BASIN</v>
      </c>
    </row>
    <row r="92">
      <c r="A92" s="57">
        <f>ROW()-ROW(Table_EventsCombi[N])</f>
        <v>10</v>
      </c>
      <c r="B92" s="67" t="str">
        <f>IFERROR(__xludf.DUMMYFUNCTION("""COMPUTED_VALUE"""),"EVENT_SOAP_PICKABLE_TAKEN")</f>
        <v>EVENT_SOAP_PICKABLE_TAKEN</v>
      </c>
    </row>
    <row r="93">
      <c r="A93" s="57">
        <f>ROW()-ROW(Table_EventsCombi[N])</f>
        <v>11</v>
      </c>
      <c r="B93" s="67" t="str">
        <f>IFERROR(__xludf.DUMMYFUNCTION("""COMPUTED_VALUE"""),"EVENT_PHARMACY_EMPTY")</f>
        <v>EVENT_PHARMACY_EMPTY</v>
      </c>
    </row>
    <row r="94">
      <c r="A94" s="57">
        <f>ROW()-ROW(Table_EventsCombi[N])</f>
        <v>12</v>
      </c>
      <c r="B94" s="67" t="str">
        <f>IFERROR(__xludf.DUMMYFUNCTION("""COMPUTED_VALUE"""),"EVENT_MANYO_REFUSED_WORK")</f>
        <v>EVENT_MANYO_REFUSED_WORK</v>
      </c>
    </row>
    <row r="95">
      <c r="A95" s="57">
        <f>ROW()-ROW(Table_EventsCombi[N])</f>
        <v>13</v>
      </c>
      <c r="B95" s="67" t="str">
        <f>IFERROR(__xludf.DUMMYFUNCTION("""COMPUTED_VALUE"""),"EVENT_MANYO_LOOK_FOR_RECIPE_MISSION")</f>
        <v>EVENT_MANYO_LOOK_FOR_RECIPE_MISSION</v>
      </c>
    </row>
    <row r="96">
      <c r="A96" s="57">
        <f>ROW()-ROW(Table_EventsCombi[N])</f>
        <v>14</v>
      </c>
      <c r="B96" s="67" t="str">
        <f>IFERROR(__xludf.DUMMYFUNCTION("""COMPUTED_VALUE"""),"EVENT_UMBRELLA_PICKABLE_TAKEN")</f>
        <v>EVENT_UMBRELLA_PICKABLE_TAKEN</v>
      </c>
    </row>
    <row r="97">
      <c r="A97" s="57">
        <f>ROW()-ROW(Table_EventsCombi[N])</f>
        <v>15</v>
      </c>
      <c r="B97" s="67" t="str">
        <f>IFERROR(__xludf.DUMMYFUNCTION("""COMPUTED_VALUE"""),"EVENT_POOR_MAN_WC_NEED_WATER")</f>
        <v>EVENT_POOR_MAN_WC_NEED_WATER</v>
      </c>
    </row>
    <row r="98">
      <c r="A98" s="57">
        <f>ROW()-ROW(Table_EventsCombi[N])</f>
        <v>16</v>
      </c>
      <c r="B98" s="67" t="str">
        <f>IFERROR(__xludf.DUMMYFUNCTION("""COMPUTED_VALUE"""),"EVENT_COCKROACH_CHEATED")</f>
        <v>EVENT_COCKROACH_CHEATED</v>
      </c>
    </row>
    <row r="99">
      <c r="A99" s="57">
        <f>ROW()-ROW(Table_EventsCombi[N])</f>
        <v>17</v>
      </c>
      <c r="B99" s="67" t="str">
        <f>IFERROR(__xludf.DUMMYFUNCTION("""COMPUTED_VALUE"""),"EVENT_PIPE_OBSERVATION_1")</f>
        <v>EVENT_PIPE_OBSERVATION_1</v>
      </c>
    </row>
    <row r="100">
      <c r="A100" s="57">
        <f>ROW()-ROW(Table_EventsCombi[N])</f>
        <v>18</v>
      </c>
      <c r="B100" s="67" t="str">
        <f>IFERROR(__xludf.DUMMYFUNCTION("""COMPUTED_VALUE"""),"EVENT_PIPE_OBSERVATION_2")</f>
        <v>EVENT_PIPE_OBSERVATION_2</v>
      </c>
    </row>
    <row r="101">
      <c r="A101" s="57">
        <f>ROW()-ROW(Table_EventsCombi[N])</f>
        <v>19</v>
      </c>
      <c r="B101" s="67" t="str">
        <f>IFERROR(__xludf.DUMMYFUNCTION("""COMPUTED_VALUE"""),"EVENT_COCKROACH_SCARED")</f>
        <v>EVENT_COCKROACH_SCARED</v>
      </c>
    </row>
    <row r="102">
      <c r="A102" s="57">
        <f>ROW()-ROW(Table_EventsCombi[N])</f>
        <v>20</v>
      </c>
      <c r="B102" s="67" t="str">
        <f>IFERROR(__xludf.DUMMYFUNCTION("""COMPUTED_VALUE"""),"EVENT_VALVE_BOX_NEED_OPEN")</f>
        <v>EVENT_VALVE_BOX_NEED_OPEN</v>
      </c>
    </row>
    <row r="103">
      <c r="A103" s="57">
        <f>ROW()-ROW(Table_EventsCombi[N])</f>
        <v>21</v>
      </c>
      <c r="B103" s="67" t="str">
        <f>IFERROR(__xludf.DUMMYFUNCTION("""COMPUTED_VALUE"""),"EVENT_ITEM_HIVE1_SHOELACE_PICKABLE_TAKEN")</f>
        <v>EVENT_ITEM_HIVE1_SHOELACE_PICKABLE_TAKEN</v>
      </c>
    </row>
    <row r="104">
      <c r="A104" s="57">
        <f>ROW()-ROW(Table_EventsCombi[N])</f>
        <v>22</v>
      </c>
      <c r="B104" s="67" t="str">
        <f>IFERROR(__xludf.DUMMYFUNCTION("""COMPUTED_VALUE"""),"EVENT_VALVE_BOX_OPENED")</f>
        <v>EVENT_VALVE_BOX_OPENED</v>
      </c>
    </row>
    <row r="105">
      <c r="A105" s="57">
        <f>ROW()-ROW(Table_EventsCombi[N])</f>
        <v>23</v>
      </c>
      <c r="B105" s="67" t="str">
        <f>IFERROR(__xludf.DUMMYFUNCTION("""COMPUTED_VALUE"""),"EVENT_HIVE1_VALVE_ACTIVATED")</f>
        <v>EVENT_HIVE1_VALVE_ACTIVATED</v>
      </c>
    </row>
    <row r="106">
      <c r="A106" s="57">
        <f>ROW()-ROW(Table_EventsCombi[N])</f>
        <v>24</v>
      </c>
      <c r="B106" s="67" t="str">
        <f>IFERROR(__xludf.DUMMYFUNCTION("""COMPUTED_VALUE"""),"EVENT_TALKED_ARTURO_HALL_INN_COMPLETED")</f>
        <v>EVENT_TALKED_ARTURO_HALL_INN_COMPLETED</v>
      </c>
    </row>
    <row r="107">
      <c r="A107" s="57">
        <f>ROW()-ROW(Table_EventsCombi[N])</f>
        <v>25</v>
      </c>
      <c r="B107" s="67" t="str">
        <f>IFERROR(__xludf.DUMMYFUNCTION("""COMPUTED_VALUE"""),"EVENT_TALKED_ARTURO_HALL_PUB")</f>
        <v>EVENT_TALKED_ARTURO_HALL_PUB</v>
      </c>
    </row>
    <row r="108">
      <c r="A108" s="57">
        <f>ROW()-ROW(Table_EventsCombi[N])</f>
        <v>26</v>
      </c>
      <c r="B108" s="67" t="str">
        <f>IFERROR(__xludf.DUMMYFUNCTION("""COMPUTED_VALUE"""),"EVENT_ITEM_EXTRAPERLO_INVITATION_PICKABLE_TAKEN")</f>
        <v>EVENT_ITEM_EXTRAPERLO_INVITATION_PICKABLE_TAKEN</v>
      </c>
    </row>
    <row r="109">
      <c r="A109" s="57">
        <f>ROW()-ROW(Table_EventsCombi[N])</f>
        <v>27</v>
      </c>
      <c r="B109" s="67" t="str">
        <f>IFERROR(__xludf.DUMMYFUNCTION("""COMPUTED_VALUE"""),"EVENT_OBSERVED_INVITATION_RELIEF")</f>
        <v>EVENT_OBSERVED_INVITATION_RELIEF</v>
      </c>
    </row>
    <row r="110">
      <c r="A110" s="57">
        <f>ROW()-ROW(Table_EventsCombi[N])</f>
        <v>28</v>
      </c>
      <c r="B110" s="67" t="str">
        <f>IFERROR(__xludf.DUMMYFUNCTION("""COMPUTED_VALUE"""),"EVENT_INKWELL_NOT_TOUCH_WARN")</f>
        <v>EVENT_INKWELL_NOT_TOUCH_WARN</v>
      </c>
    </row>
    <row r="111">
      <c r="A111" s="57">
        <f>ROW()-ROW(Table_EventsCombi[N])</f>
        <v>29</v>
      </c>
      <c r="B111" s="67" t="str">
        <f>IFERROR(__xludf.DUMMYFUNCTION("""COMPUTED_VALUE"""),"EVENT_INKWELL_WASTED")</f>
        <v>EVENT_INKWELL_WASTED</v>
      </c>
    </row>
    <row r="112">
      <c r="A112" s="57">
        <f>ROW()-ROW(Table_EventsCombi[N])</f>
        <v>30</v>
      </c>
      <c r="B112" s="67" t="str">
        <f>IFERROR(__xludf.DUMMYFUNCTION("""COMPUTED_VALUE"""),"EVENT_INVITATION_REVEALED")</f>
        <v>EVENT_INVITATION_REVEALED</v>
      </c>
    </row>
    <row r="113">
      <c r="A113" s="57">
        <f>ROW()-ROW(Table_EventsCombi[N])</f>
        <v>31</v>
      </c>
      <c r="B113" s="67" t="str">
        <f>IFERROR(__xludf.DUMMYFUNCTION("""COMPUTED_VALUE"""),"EVENT_INVITATION_UNDERSTOOD_PHRASE")</f>
        <v>EVENT_INVITATION_UNDERSTOOD_PHRASE</v>
      </c>
    </row>
    <row r="114">
      <c r="A114" s="57">
        <f>ROW()-ROW(Table_EventsCombi[N])</f>
        <v>32</v>
      </c>
      <c r="B114" s="67" t="str">
        <f>IFERROR(__xludf.DUMMYFUNCTION("""COMPUTED_VALUE"""),"EVENT_EXTRAPERLO_SAID_PHRASE")</f>
        <v>EVENT_EXTRAPERLO_SAID_PHRASE</v>
      </c>
    </row>
    <row r="115">
      <c r="A115" s="57">
        <f>ROW()-ROW(Table_EventsCombi[N])</f>
        <v>33</v>
      </c>
      <c r="B115" s="67" t="str">
        <f>IFERROR(__xludf.DUMMYFUNCTION("""COMPUTED_VALUE"""),"EVENT_EXTRAPERLO_SHOWN_OLD_INVITATION")</f>
        <v>EVENT_EXTRAPERLO_SHOWN_OLD_INVITATION</v>
      </c>
    </row>
    <row r="116">
      <c r="A116" s="57">
        <f>ROW()-ROW(Table_EventsCombi[N])</f>
        <v>34</v>
      </c>
      <c r="B116" s="67" t="str">
        <f>IFERROR(__xludf.DUMMYFUNCTION("""COMPUTED_VALUE"""),"EVENT_EXTRAPERLO_SHOWN_NEW_INVITATION")</f>
        <v>EVENT_EXTRAPERLO_SHOWN_NEW_INVITATION</v>
      </c>
    </row>
    <row r="117">
      <c r="A117" s="57">
        <f>ROW()-ROW(Table_EventsCombi[N])</f>
        <v>35</v>
      </c>
      <c r="B117" s="67" t="str">
        <f>IFERROR(__xludf.DUMMYFUNCTION("""COMPUTED_VALUE"""),"EVENT_EXTRAPERLO_INV_FOLDED_CORNERS")</f>
        <v>EVENT_EXTRAPERLO_INV_FOLDED_CORNERS</v>
      </c>
    </row>
    <row r="118">
      <c r="A118" s="57">
        <f>ROW()-ROW(Table_EventsCombi[N])</f>
        <v>36</v>
      </c>
      <c r="B118" s="67" t="str">
        <f>IFERROR(__xludf.DUMMYFUNCTION("""COMPUTED_VALUE"""),"EVENT_EXTRAPERLO_WON_CARDS_ARTURO")</f>
        <v>EVENT_EXTRAPERLO_WON_CARDS_ARTURO</v>
      </c>
    </row>
    <row r="119">
      <c r="A119" s="57">
        <f>ROW()-ROW(Table_EventsCombi[N])</f>
        <v>37</v>
      </c>
      <c r="B119" s="67" t="str">
        <f>IFERROR(__xludf.DUMMYFUNCTION("""COMPUTED_VALUE"""),"EVENT_EXTRAPERLO_ARTURO_MENTIONED_SILVANA")</f>
        <v>EVENT_EXTRAPERLO_ARTURO_MENTIONED_SILVANA</v>
      </c>
    </row>
    <row r="120">
      <c r="A120" s="57">
        <f>ROW()-ROW(Table_EventsCombi[N])</f>
        <v>38</v>
      </c>
      <c r="B120" s="67" t="str">
        <f>IFERROR(__xludf.DUMMYFUNCTION("""COMPUTED_VALUE"""),"EVENT_EXTRAPERLO_SILVANA_REFUSED_MAINCHAR")</f>
        <v>EVENT_EXTRAPERLO_SILVANA_REFUSED_MAINCHAR</v>
      </c>
    </row>
    <row r="121">
      <c r="A121" s="57">
        <f>ROW()-ROW(Table_EventsCombi[N])</f>
        <v>39</v>
      </c>
      <c r="B121" s="67" t="str">
        <f>IFERROR(__xludf.DUMMYFUNCTION("""COMPUTED_VALUE"""),"EVENT_WAITER_EXTRAPERLO_GAVE_OLIVES")</f>
        <v>EVENT_WAITER_EXTRAPERLO_GAVE_OLIVES</v>
      </c>
    </row>
    <row r="122">
      <c r="A122" s="57">
        <f>ROW()-ROW(Table_EventsCombi[N])</f>
        <v>40</v>
      </c>
      <c r="B122" s="67" t="str">
        <f>IFERROR(__xludf.DUMMYFUNCTION("""COMPUTED_VALUE"""),"EVENT_TOOK_OLIVE_FROM_BOWL")</f>
        <v>EVENT_TOOK_OLIVE_FROM_BOWL</v>
      </c>
    </row>
    <row r="123">
      <c r="A123" s="57">
        <f>ROW()-ROW(Table_EventsCombi[N])</f>
        <v>41</v>
      </c>
      <c r="B123" s="67" t="str">
        <f>IFERROR(__xludf.DUMMYFUNCTION("""COMPUTED_VALUE"""),"EVENT_BEER_JAR_READY")</f>
        <v>EVENT_BEER_JAR_READY</v>
      </c>
    </row>
    <row r="124">
      <c r="A124" s="57">
        <f>ROW()-ROW(Table_EventsCombi[N])</f>
        <v>42</v>
      </c>
      <c r="B124" s="67" t="str">
        <f>IFERROR(__xludf.DUMMYFUNCTION("""COMPUTED_VALUE"""),"EVENT_BEER_FIRST_ROUND")</f>
        <v>EVENT_BEER_FIRST_ROUND</v>
      </c>
    </row>
    <row r="125">
      <c r="A125" s="57">
        <f>ROW()-ROW(Table_EventsCombi[N])</f>
        <v>43</v>
      </c>
      <c r="B125" s="67" t="str">
        <f>IFERROR(__xludf.DUMMYFUNCTION("""COMPUTED_VALUE"""),"EVENT_BEER_SECOND_ROUND")</f>
        <v>EVENT_BEER_SECOND_ROUND</v>
      </c>
    </row>
    <row r="126">
      <c r="A126" s="57">
        <f>ROW()-ROW(Table_EventsCombi[N])</f>
        <v>44</v>
      </c>
      <c r="B126" s="67" t="str">
        <f>IFERROR(__xludf.DUMMYFUNCTION("""COMPUTED_VALUE"""),"EVENT_BEER_THIRD_ROUND")</f>
        <v>EVENT_BEER_THIRD_ROUND</v>
      </c>
    </row>
    <row r="127">
      <c r="A127" s="57">
        <f>ROW()-ROW(Table_EventsCombi[N])</f>
        <v>45</v>
      </c>
      <c r="B127" s="67" t="str">
        <f>IFERROR(__xludf.DUMMYFUNCTION("""COMPUTED_VALUE"""),"EVENT_DRUNK_STATE")</f>
        <v>EVENT_DRUNK_STATE</v>
      </c>
    </row>
    <row r="128">
      <c r="A128" s="57">
        <f>ROW()-ROW(Table_EventsCombi[N])</f>
        <v>46</v>
      </c>
      <c r="B128" s="67" t="str">
        <f>IFERROR(__xludf.DUMMYFUNCTION("""COMPUTED_VALUE"""),"EVENT_OLIVE_OFFERED")</f>
        <v>EVENT_OLIVE_OFFERED</v>
      </c>
    </row>
    <row r="129">
      <c r="A129" s="57">
        <f>ROW()-ROW(Table_EventsCombi[N])</f>
        <v>47</v>
      </c>
      <c r="B129" s="67" t="str">
        <f>IFERROR(__xludf.DUMMYFUNCTION("""COMPUTED_VALUE"""),"EVENT_NEED_ORINE_SAID")</f>
        <v>EVENT_NEED_ORINE_SAID</v>
      </c>
    </row>
    <row r="130">
      <c r="A130" s="57">
        <f>ROW()-ROW(Table_EventsCombi[N])</f>
        <v>48</v>
      </c>
      <c r="B130" s="67" t="str">
        <f>IFERROR(__xludf.DUMMYFUNCTION("""COMPUTED_VALUE"""),"EVENT_USED_ORINE_FLOWER")</f>
        <v>EVENT_USED_ORINE_FLOWER</v>
      </c>
    </row>
    <row r="131">
      <c r="A131" s="57">
        <f>ROW()-ROW(Table_EventsCombi[N])</f>
        <v>49</v>
      </c>
      <c r="B131" s="67" t="str">
        <f>IFERROR(__xludf.DUMMYFUNCTION("""COMPUTED_VALUE"""),"EVENT_PENDING_RECAP_EXTRAPERLO_GARDEN")</f>
        <v>EVENT_PENDING_RECAP_EXTRAPERLO_GARDEN</v>
      </c>
    </row>
    <row r="132">
      <c r="A132" s="57">
        <f>ROW()-ROW(Table_EventsCombi[N])</f>
        <v>50</v>
      </c>
      <c r="B132" s="67" t="str">
        <f>IFERROR(__xludf.DUMMYFUNCTION("""COMPUTED_VALUE"""),"EVENT_PENDING_DREAM_1")</f>
        <v>EVENT_PENDING_DREAM_1</v>
      </c>
    </row>
    <row r="133">
      <c r="A133" s="57">
        <f>ROW()-ROW(Table_EventsCombi[N])</f>
        <v>51</v>
      </c>
      <c r="B133" s="67" t="str">
        <f>IFERROR(__xludf.DUMMYFUNCTION("""COMPUTED_VALUE"""),"EVENT_PENDING_DESCRIBE_DREAM_FRAMEWORK")</f>
        <v>EVENT_PENDING_DESCRIBE_DREAM_FRAMEWORK</v>
      </c>
    </row>
    <row r="134">
      <c r="A134" s="57">
        <f>ROW()-ROW(Table_EventsCombi[N])</f>
        <v>52</v>
      </c>
      <c r="B134" s="67" t="str">
        <f>IFERROR(__xludf.DUMMYFUNCTION("""COMPUTED_VALUE"""),"EVENT_EPHIMERAL_ON")</f>
        <v>EVENT_EPHIMERAL_ON</v>
      </c>
    </row>
    <row r="135">
      <c r="A135" s="57">
        <f>ROW()-ROW(Table_EventsCombi[N])</f>
        <v>53</v>
      </c>
      <c r="B135" s="67" t="str">
        <f>IFERROR(__xludf.DUMMYFUNCTION("""COMPUTED_VALUE"""),"EVENT_SULTAN_ATE_FOOD")</f>
        <v>EVENT_SULTAN_ATE_FOOD</v>
      </c>
    </row>
    <row r="136">
      <c r="A136" s="57">
        <f>ROW()-ROW(Table_EventsCombi[N])</f>
        <v>54</v>
      </c>
      <c r="B136" s="67" t="str">
        <f>IFERROR(__xludf.DUMMYFUNCTION("""COMPUTED_VALUE"""),"EVENT_ALTER_EGO_DREAM_1_TALKED")</f>
        <v>EVENT_ALTER_EGO_DREAM_1_TALKED</v>
      </c>
    </row>
    <row r="137">
      <c r="A137" s="57">
        <f>ROW()-ROW(Table_EventsCombi[N])</f>
        <v>55</v>
      </c>
      <c r="B137" s="67" t="str">
        <f>IFERROR(__xludf.DUMMYFUNCTION("""COMPUTED_VALUE"""),"EVENT_ITEM_FIG_PICKABLE_TAKEN")</f>
        <v>EVENT_ITEM_FIG_PICKABLE_TAKEN</v>
      </c>
    </row>
    <row r="138">
      <c r="A138" s="57">
        <f>ROW()-ROW(Table_EventsCombi[N])</f>
        <v>56</v>
      </c>
      <c r="B138" s="67" t="str">
        <f>IFERROR(__xludf.DUMMYFUNCTION("""COMPUTED_VALUE"""),"EVENT_PENDING_RECAP_DREAM_1")</f>
        <v>EVENT_PENDING_RECAP_DREAM_1</v>
      </c>
    </row>
    <row r="139">
      <c r="A139" s="57">
        <f>ROW()-ROW(Table_EventsCombi[N])</f>
        <v>57</v>
      </c>
      <c r="B139" s="67" t="str">
        <f>IFERROR(__xludf.DUMMYFUNCTION("""COMPUTED_VALUE"""),"EVENT_LAST")</f>
        <v>EVENT_LAST</v>
      </c>
    </row>
    <row r="140">
      <c r="A140" s="57">
        <f>ROW()-ROW(Table_EventsCombi[N])</f>
        <v>58</v>
      </c>
      <c r="B140" s="67" t="str">
        <f>IFERROR(__xludf.DUMMYFUNCTION("""COMPUTED_VALUE"""),"(NOT)EVENT_NONE")</f>
        <v>(NOT)EVENT_NONE</v>
      </c>
    </row>
    <row r="141">
      <c r="A141" s="57">
        <f>ROW()-ROW(Table_EventsCombi[N])</f>
        <v>59</v>
      </c>
      <c r="B141" s="67" t="str">
        <f>IFERROR(__xludf.DUMMYFUNCTION("""COMPUTED_VALUE"""),"(NOT)EVENT_MASTER_CHANGE_ROOM")</f>
        <v>(NOT)EVENT_MASTER_CHANGE_ROOM</v>
      </c>
    </row>
    <row r="142">
      <c r="A142" s="57">
        <f>ROW()-ROW(Table_EventsCombi[N])</f>
        <v>60</v>
      </c>
      <c r="B142" s="67" t="str">
        <f>IFERROR(__xludf.DUMMYFUNCTION("""COMPUTED_VALUE"""),"(NOT)EVENT_MASTER_CHANGE_MOMENT_DAY")</f>
        <v>(NOT)EVENT_MASTER_CHANGE_MOMENT_DAY</v>
      </c>
    </row>
    <row r="143">
      <c r="A143" s="57">
        <f>ROW()-ROW(Table_EventsCombi[N])</f>
        <v>61</v>
      </c>
      <c r="B143" s="67" t="str">
        <f>IFERROR(__xludf.DUMMYFUNCTION("""COMPUTED_VALUE"""),"(NOT)EVENT_FIRST")</f>
        <v>(NOT)EVENT_FIRST</v>
      </c>
    </row>
    <row r="144">
      <c r="A144" s="57">
        <f>ROW()-ROW(Table_EventsCombi[N])</f>
        <v>62</v>
      </c>
      <c r="B144" s="67" t="str">
        <f>IFERROR(__xludf.DUMMYFUNCTION("""COMPUTED_VALUE"""),"(NOT)EVENT_HIVE1_CHEST_OPENED")</f>
        <v>(NOT)EVENT_HIVE1_CHEST_OPENED</v>
      </c>
    </row>
    <row r="145">
      <c r="A145" s="57">
        <f>ROW()-ROW(Table_EventsCombi[N])</f>
        <v>63</v>
      </c>
      <c r="B145" s="67" t="str">
        <f>IFERROR(__xludf.DUMMYFUNCTION("""COMPUTED_VALUE"""),"(NOT)EVENT_CARDS_PICKABLE_TAKEN")</f>
        <v>(NOT)EVENT_CARDS_PICKABLE_TAKEN</v>
      </c>
    </row>
    <row r="146">
      <c r="A146" s="57">
        <f>ROW()-ROW(Table_EventsCombi[N])</f>
        <v>64</v>
      </c>
      <c r="B146" s="67" t="str">
        <f>IFERROR(__xludf.DUMMYFUNCTION("""COMPUTED_VALUE"""),"(NOT)EVENT_HIVE1_WARDROBE_OPENED")</f>
        <v>(NOT)EVENT_HIVE1_WARDROBE_OPENED</v>
      </c>
    </row>
    <row r="147">
      <c r="A147" s="57">
        <f>ROW()-ROW(Table_EventsCombi[N])</f>
        <v>65</v>
      </c>
      <c r="B147" s="67" t="str">
        <f>IFERROR(__xludf.DUMMYFUNCTION("""COMPUTED_VALUE"""),"(NOT)EVENT_HIVE1_AD_BOARD_OBSERVED_1")</f>
        <v>(NOT)EVENT_HIVE1_AD_BOARD_OBSERVED_1</v>
      </c>
    </row>
    <row r="148">
      <c r="A148" s="57">
        <f>ROW()-ROW(Table_EventsCombi[N])</f>
        <v>66</v>
      </c>
      <c r="B148" s="67" t="str">
        <f>IFERROR(__xludf.DUMMYFUNCTION("""COMPUTED_VALUE"""),"(NOT)EVENT_HIVE1_USED_PERFUME")</f>
        <v>(NOT)EVENT_HIVE1_USED_PERFUME</v>
      </c>
    </row>
    <row r="149">
      <c r="A149" s="57">
        <f>ROW()-ROW(Table_EventsCombi[N])</f>
        <v>67</v>
      </c>
      <c r="B149" s="67" t="str">
        <f>IFERROR(__xludf.DUMMYFUNCTION("""COMPUTED_VALUE"""),"(NOT)EVENT_HIVE1_USED_BASIN")</f>
        <v>(NOT)EVENT_HIVE1_USED_BASIN</v>
      </c>
    </row>
    <row r="150">
      <c r="A150" s="57">
        <f>ROW()-ROW(Table_EventsCombi[N])</f>
        <v>68</v>
      </c>
      <c r="B150" s="67" t="str">
        <f>IFERROR(__xludf.DUMMYFUNCTION("""COMPUTED_VALUE"""),"(NOT)EVENT_SOAP_PICKABLE_TAKEN")</f>
        <v>(NOT)EVENT_SOAP_PICKABLE_TAKEN</v>
      </c>
    </row>
    <row r="151">
      <c r="A151" s="57">
        <f>ROW()-ROW(Table_EventsCombi[N])</f>
        <v>69</v>
      </c>
      <c r="B151" s="67" t="str">
        <f>IFERROR(__xludf.DUMMYFUNCTION("""COMPUTED_VALUE"""),"(NOT)EVENT_PHARMACY_EMPTY")</f>
        <v>(NOT)EVENT_PHARMACY_EMPTY</v>
      </c>
    </row>
    <row r="152">
      <c r="A152" s="57">
        <f>ROW()-ROW(Table_EventsCombi[N])</f>
        <v>70</v>
      </c>
      <c r="B152" s="67" t="str">
        <f>IFERROR(__xludf.DUMMYFUNCTION("""COMPUTED_VALUE"""),"(NOT)EVENT_MANYO_REFUSED_WORK")</f>
        <v>(NOT)EVENT_MANYO_REFUSED_WORK</v>
      </c>
    </row>
    <row r="153">
      <c r="A153" s="57">
        <f>ROW()-ROW(Table_EventsCombi[N])</f>
        <v>71</v>
      </c>
      <c r="B153" s="67" t="str">
        <f>IFERROR(__xludf.DUMMYFUNCTION("""COMPUTED_VALUE"""),"(NOT)EVENT_MANYO_LOOK_FOR_RECIPE_MISSION")</f>
        <v>(NOT)EVENT_MANYO_LOOK_FOR_RECIPE_MISSION</v>
      </c>
    </row>
    <row r="154">
      <c r="A154" s="57">
        <f>ROW()-ROW(Table_EventsCombi[N])</f>
        <v>72</v>
      </c>
      <c r="B154" s="67" t="str">
        <f>IFERROR(__xludf.DUMMYFUNCTION("""COMPUTED_VALUE"""),"(NOT)EVENT_UMBRELLA_PICKABLE_TAKEN")</f>
        <v>(NOT)EVENT_UMBRELLA_PICKABLE_TAKEN</v>
      </c>
    </row>
    <row r="155">
      <c r="A155" s="57">
        <f>ROW()-ROW(Table_EventsCombi[N])</f>
        <v>73</v>
      </c>
      <c r="B155" s="67" t="str">
        <f>IFERROR(__xludf.DUMMYFUNCTION("""COMPUTED_VALUE"""),"(NOT)EVENT_POOR_MAN_WC_NEED_WATER")</f>
        <v>(NOT)EVENT_POOR_MAN_WC_NEED_WATER</v>
      </c>
    </row>
    <row r="156">
      <c r="A156" s="57">
        <f>ROW()-ROW(Table_EventsCombi[N])</f>
        <v>74</v>
      </c>
      <c r="B156" s="67" t="str">
        <f>IFERROR(__xludf.DUMMYFUNCTION("""COMPUTED_VALUE"""),"(NOT)EVENT_COCKROACH_CHEATED")</f>
        <v>(NOT)EVENT_COCKROACH_CHEATED</v>
      </c>
    </row>
    <row r="157">
      <c r="A157" s="57">
        <f>ROW()-ROW(Table_EventsCombi[N])</f>
        <v>75</v>
      </c>
      <c r="B157" s="67" t="str">
        <f>IFERROR(__xludf.DUMMYFUNCTION("""COMPUTED_VALUE"""),"(NOT)EVENT_PIPE_OBSERVATION_1")</f>
        <v>(NOT)EVENT_PIPE_OBSERVATION_1</v>
      </c>
    </row>
    <row r="158">
      <c r="A158" s="57">
        <f>ROW()-ROW(Table_EventsCombi[N])</f>
        <v>76</v>
      </c>
      <c r="B158" s="67" t="str">
        <f>IFERROR(__xludf.DUMMYFUNCTION("""COMPUTED_VALUE"""),"(NOT)EVENT_PIPE_OBSERVATION_2")</f>
        <v>(NOT)EVENT_PIPE_OBSERVATION_2</v>
      </c>
    </row>
    <row r="159">
      <c r="A159" s="57">
        <f>ROW()-ROW(Table_EventsCombi[N])</f>
        <v>77</v>
      </c>
      <c r="B159" s="67" t="str">
        <f>IFERROR(__xludf.DUMMYFUNCTION("""COMPUTED_VALUE"""),"(NOT)EVENT_COCKROACH_SCARED")</f>
        <v>(NOT)EVENT_COCKROACH_SCARED</v>
      </c>
    </row>
    <row r="160">
      <c r="A160" s="57">
        <f>ROW()-ROW(Table_EventsCombi[N])</f>
        <v>78</v>
      </c>
      <c r="B160" s="67" t="str">
        <f>IFERROR(__xludf.DUMMYFUNCTION("""COMPUTED_VALUE"""),"(NOT)EVENT_VALVE_BOX_NEED_OPEN")</f>
        <v>(NOT)EVENT_VALVE_BOX_NEED_OPEN</v>
      </c>
    </row>
    <row r="161">
      <c r="A161" s="57">
        <f>ROW()-ROW(Table_EventsCombi[N])</f>
        <v>79</v>
      </c>
      <c r="B161" s="67" t="str">
        <f>IFERROR(__xludf.DUMMYFUNCTION("""COMPUTED_VALUE"""),"(NOT)EVENT_ITEM_HIVE1_SHOELACE_PICKABLE_TAKEN")</f>
        <v>(NOT)EVENT_ITEM_HIVE1_SHOELACE_PICKABLE_TAKEN</v>
      </c>
    </row>
    <row r="162">
      <c r="A162" s="57">
        <f>ROW()-ROW(Table_EventsCombi[N])</f>
        <v>80</v>
      </c>
      <c r="B162" s="67" t="str">
        <f>IFERROR(__xludf.DUMMYFUNCTION("""COMPUTED_VALUE"""),"(NOT)EVENT_VALVE_BOX_OPENED")</f>
        <v>(NOT)EVENT_VALVE_BOX_OPENED</v>
      </c>
    </row>
    <row r="163">
      <c r="A163" s="57">
        <f>ROW()-ROW(Table_EventsCombi[N])</f>
        <v>81</v>
      </c>
      <c r="B163" s="67" t="str">
        <f>IFERROR(__xludf.DUMMYFUNCTION("""COMPUTED_VALUE"""),"(NOT)EVENT_HIVE1_VALVE_ACTIVATED")</f>
        <v>(NOT)EVENT_HIVE1_VALVE_ACTIVATED</v>
      </c>
    </row>
    <row r="164">
      <c r="A164" s="57">
        <f>ROW()-ROW(Table_EventsCombi[N])</f>
        <v>82</v>
      </c>
      <c r="B164" s="67" t="str">
        <f>IFERROR(__xludf.DUMMYFUNCTION("""COMPUTED_VALUE"""),"(NOT)EVENT_TALKED_ARTURO_HALL_INN_COMPLETED")</f>
        <v>(NOT)EVENT_TALKED_ARTURO_HALL_INN_COMPLETED</v>
      </c>
    </row>
    <row r="165">
      <c r="A165" s="57">
        <f>ROW()-ROW(Table_EventsCombi[N])</f>
        <v>83</v>
      </c>
      <c r="B165" s="67" t="str">
        <f>IFERROR(__xludf.DUMMYFUNCTION("""COMPUTED_VALUE"""),"(NOT)EVENT_TALKED_ARTURO_HALL_PUB")</f>
        <v>(NOT)EVENT_TALKED_ARTURO_HALL_PUB</v>
      </c>
    </row>
    <row r="166">
      <c r="A166" s="57">
        <f>ROW()-ROW(Table_EventsCombi[N])</f>
        <v>84</v>
      </c>
      <c r="B166" s="67" t="str">
        <f>IFERROR(__xludf.DUMMYFUNCTION("""COMPUTED_VALUE"""),"(NOT)EVENT_ITEM_EXTRAPERLO_INVITATION_PICKABLE_TAKEN")</f>
        <v>(NOT)EVENT_ITEM_EXTRAPERLO_INVITATION_PICKABLE_TAKEN</v>
      </c>
    </row>
    <row r="167">
      <c r="A167" s="57">
        <f>ROW()-ROW(Table_EventsCombi[N])</f>
        <v>85</v>
      </c>
      <c r="B167" s="67" t="str">
        <f>IFERROR(__xludf.DUMMYFUNCTION("""COMPUTED_VALUE"""),"(NOT)EVENT_OBSERVED_INVITATION_RELIEF")</f>
        <v>(NOT)EVENT_OBSERVED_INVITATION_RELIEF</v>
      </c>
    </row>
    <row r="168">
      <c r="A168" s="57">
        <f>ROW()-ROW(Table_EventsCombi[N])</f>
        <v>86</v>
      </c>
      <c r="B168" s="67" t="str">
        <f>IFERROR(__xludf.DUMMYFUNCTION("""COMPUTED_VALUE"""),"(NOT)EVENT_INKWELL_NOT_TOUCH_WARN")</f>
        <v>(NOT)EVENT_INKWELL_NOT_TOUCH_WARN</v>
      </c>
    </row>
    <row r="169">
      <c r="A169" s="57">
        <f>ROW()-ROW(Table_EventsCombi[N])</f>
        <v>87</v>
      </c>
      <c r="B169" s="67" t="str">
        <f>IFERROR(__xludf.DUMMYFUNCTION("""COMPUTED_VALUE"""),"(NOT)EVENT_INKWELL_WASTED")</f>
        <v>(NOT)EVENT_INKWELL_WASTED</v>
      </c>
    </row>
    <row r="170">
      <c r="A170" s="57">
        <f>ROW()-ROW(Table_EventsCombi[N])</f>
        <v>88</v>
      </c>
      <c r="B170" s="67" t="str">
        <f>IFERROR(__xludf.DUMMYFUNCTION("""COMPUTED_VALUE"""),"(NOT)EVENT_INVITATION_REVEALED")</f>
        <v>(NOT)EVENT_INVITATION_REVEALED</v>
      </c>
    </row>
    <row r="171">
      <c r="A171" s="57">
        <f>ROW()-ROW(Table_EventsCombi[N])</f>
        <v>89</v>
      </c>
      <c r="B171" s="67" t="str">
        <f>IFERROR(__xludf.DUMMYFUNCTION("""COMPUTED_VALUE"""),"(NOT)EVENT_INVITATION_UNDERSTOOD_PHRASE")</f>
        <v>(NOT)EVENT_INVITATION_UNDERSTOOD_PHRASE</v>
      </c>
    </row>
    <row r="172">
      <c r="A172" s="57">
        <f>ROW()-ROW(Table_EventsCombi[N])</f>
        <v>90</v>
      </c>
      <c r="B172" s="67" t="str">
        <f>IFERROR(__xludf.DUMMYFUNCTION("""COMPUTED_VALUE"""),"(NOT)EVENT_EXTRAPERLO_SAID_PHRASE")</f>
        <v>(NOT)EVENT_EXTRAPERLO_SAID_PHRASE</v>
      </c>
    </row>
    <row r="173">
      <c r="A173" s="57">
        <f>ROW()-ROW(Table_EventsCombi[N])</f>
        <v>91</v>
      </c>
      <c r="B173" s="67" t="str">
        <f>IFERROR(__xludf.DUMMYFUNCTION("""COMPUTED_VALUE"""),"(NOT)EVENT_EXTRAPERLO_SHOWN_OLD_INVITATION")</f>
        <v>(NOT)EVENT_EXTRAPERLO_SHOWN_OLD_INVITATION</v>
      </c>
    </row>
    <row r="174">
      <c r="A174" s="57">
        <f>ROW()-ROW(Table_EventsCombi[N])</f>
        <v>92</v>
      </c>
      <c r="B174" s="67" t="str">
        <f>IFERROR(__xludf.DUMMYFUNCTION("""COMPUTED_VALUE"""),"(NOT)EVENT_EXTRAPERLO_SHOWN_NEW_INVITATION")</f>
        <v>(NOT)EVENT_EXTRAPERLO_SHOWN_NEW_INVITATION</v>
      </c>
    </row>
    <row r="175">
      <c r="A175" s="57">
        <f>ROW()-ROW(Table_EventsCombi[N])</f>
        <v>93</v>
      </c>
      <c r="B175" s="67" t="str">
        <f>IFERROR(__xludf.DUMMYFUNCTION("""COMPUTED_VALUE"""),"(NOT)EVENT_EXTRAPERLO_INV_FOLDED_CORNERS")</f>
        <v>(NOT)EVENT_EXTRAPERLO_INV_FOLDED_CORNERS</v>
      </c>
    </row>
    <row r="176">
      <c r="A176" s="57">
        <f>ROW()-ROW(Table_EventsCombi[N])</f>
        <v>94</v>
      </c>
      <c r="B176" s="67" t="str">
        <f>IFERROR(__xludf.DUMMYFUNCTION("""COMPUTED_VALUE"""),"(NOT)EVENT_EXTRAPERLO_WON_CARDS_ARTURO")</f>
        <v>(NOT)EVENT_EXTRAPERLO_WON_CARDS_ARTURO</v>
      </c>
    </row>
    <row r="177">
      <c r="A177" s="57">
        <f>ROW()-ROW(Table_EventsCombi[N])</f>
        <v>95</v>
      </c>
      <c r="B177" s="67" t="str">
        <f>IFERROR(__xludf.DUMMYFUNCTION("""COMPUTED_VALUE"""),"(NOT)EVENT_EXTRAPERLO_ARTURO_MENTIONED_SILVANA")</f>
        <v>(NOT)EVENT_EXTRAPERLO_ARTURO_MENTIONED_SILVANA</v>
      </c>
    </row>
    <row r="178">
      <c r="A178" s="57">
        <f>ROW()-ROW(Table_EventsCombi[N])</f>
        <v>96</v>
      </c>
      <c r="B178" s="67" t="str">
        <f>IFERROR(__xludf.DUMMYFUNCTION("""COMPUTED_VALUE"""),"(NOT)EVENT_EXTRAPERLO_SILVANA_REFUSED_MAINCHAR")</f>
        <v>(NOT)EVENT_EXTRAPERLO_SILVANA_REFUSED_MAINCHAR</v>
      </c>
    </row>
    <row r="179">
      <c r="A179" s="57">
        <f>ROW()-ROW(Table_EventsCombi[N])</f>
        <v>97</v>
      </c>
      <c r="B179" s="67" t="str">
        <f>IFERROR(__xludf.DUMMYFUNCTION("""COMPUTED_VALUE"""),"(NOT)EVENT_WAITER_EXTRAPERLO_GAVE_OLIVES")</f>
        <v>(NOT)EVENT_WAITER_EXTRAPERLO_GAVE_OLIVES</v>
      </c>
    </row>
    <row r="180">
      <c r="A180" s="57">
        <f>ROW()-ROW(Table_EventsCombi[N])</f>
        <v>98</v>
      </c>
      <c r="B180" s="67" t="str">
        <f>IFERROR(__xludf.DUMMYFUNCTION("""COMPUTED_VALUE"""),"(NOT)EVENT_TOOK_OLIVE_FROM_BOWL")</f>
        <v>(NOT)EVENT_TOOK_OLIVE_FROM_BOWL</v>
      </c>
    </row>
    <row r="181">
      <c r="A181" s="57">
        <f>ROW()-ROW(Table_EventsCombi[N])</f>
        <v>99</v>
      </c>
      <c r="B181" s="67" t="str">
        <f>IFERROR(__xludf.DUMMYFUNCTION("""COMPUTED_VALUE"""),"(NOT)EVENT_BEER_JAR_READY")</f>
        <v>(NOT)EVENT_BEER_JAR_READY</v>
      </c>
    </row>
    <row r="182">
      <c r="A182" s="57">
        <f>ROW()-ROW(Table_EventsCombi[N])</f>
        <v>100</v>
      </c>
      <c r="B182" s="67" t="str">
        <f>IFERROR(__xludf.DUMMYFUNCTION("""COMPUTED_VALUE"""),"(NOT)EVENT_BEER_FIRST_ROUND")</f>
        <v>(NOT)EVENT_BEER_FIRST_ROUND</v>
      </c>
    </row>
    <row r="183">
      <c r="A183" s="57">
        <f>ROW()-ROW(Table_EventsCombi[N])</f>
        <v>101</v>
      </c>
      <c r="B183" s="67" t="str">
        <f>IFERROR(__xludf.DUMMYFUNCTION("""COMPUTED_VALUE"""),"(NOT)EVENT_BEER_SECOND_ROUND")</f>
        <v>(NOT)EVENT_BEER_SECOND_ROUND</v>
      </c>
    </row>
    <row r="184">
      <c r="A184" s="57">
        <f>ROW()-ROW(Table_EventsCombi[N])</f>
        <v>102</v>
      </c>
      <c r="B184" s="67" t="str">
        <f>IFERROR(__xludf.DUMMYFUNCTION("""COMPUTED_VALUE"""),"(NOT)EVENT_BEER_THIRD_ROUND")</f>
        <v>(NOT)EVENT_BEER_THIRD_ROUND</v>
      </c>
    </row>
    <row r="185">
      <c r="A185" s="57">
        <f>ROW()-ROW(Table_EventsCombi[N])</f>
        <v>103</v>
      </c>
      <c r="B185" s="67" t="str">
        <f>IFERROR(__xludf.DUMMYFUNCTION("""COMPUTED_VALUE"""),"(NOT)EVENT_DRUNK_STATE")</f>
        <v>(NOT)EVENT_DRUNK_STATE</v>
      </c>
    </row>
    <row r="186">
      <c r="A186" s="57">
        <f>ROW()-ROW(Table_EventsCombi[N])</f>
        <v>104</v>
      </c>
      <c r="B186" s="67" t="str">
        <f>IFERROR(__xludf.DUMMYFUNCTION("""COMPUTED_VALUE"""),"(NOT)EVENT_OLIVE_OFFERED")</f>
        <v>(NOT)EVENT_OLIVE_OFFERED</v>
      </c>
    </row>
    <row r="187">
      <c r="A187" s="57">
        <f>ROW()-ROW(Table_EventsCombi[N])</f>
        <v>105</v>
      </c>
      <c r="B187" s="67" t="str">
        <f>IFERROR(__xludf.DUMMYFUNCTION("""COMPUTED_VALUE"""),"(NOT)EVENT_NEED_ORINE_SAID")</f>
        <v>(NOT)EVENT_NEED_ORINE_SAID</v>
      </c>
    </row>
    <row r="188">
      <c r="A188" s="57">
        <f>ROW()-ROW(Table_EventsCombi[N])</f>
        <v>106</v>
      </c>
      <c r="B188" s="67" t="str">
        <f>IFERROR(__xludf.DUMMYFUNCTION("""COMPUTED_VALUE"""),"(NOT)EVENT_USED_ORINE_FLOWER")</f>
        <v>(NOT)EVENT_USED_ORINE_FLOWER</v>
      </c>
    </row>
    <row r="189">
      <c r="A189" s="57">
        <f>ROW()-ROW(Table_EventsCombi[N])</f>
        <v>107</v>
      </c>
      <c r="B189" s="67" t="str">
        <f>IFERROR(__xludf.DUMMYFUNCTION("""COMPUTED_VALUE"""),"(NOT)EVENT_PENDING_RECAP_EXTRAPERLO_GARDEN")</f>
        <v>(NOT)EVENT_PENDING_RECAP_EXTRAPERLO_GARDEN</v>
      </c>
    </row>
    <row r="190">
      <c r="A190" s="57">
        <f>ROW()-ROW(Table_EventsCombi[N])</f>
        <v>108</v>
      </c>
      <c r="B190" s="67" t="str">
        <f>IFERROR(__xludf.DUMMYFUNCTION("""COMPUTED_VALUE"""),"(NOT)EVENT_PENDING_DREAM_1")</f>
        <v>(NOT)EVENT_PENDING_DREAM_1</v>
      </c>
    </row>
    <row r="191">
      <c r="A191" s="57">
        <f>ROW()-ROW(Table_EventsCombi[N])</f>
        <v>109</v>
      </c>
      <c r="B191" s="67" t="str">
        <f>IFERROR(__xludf.DUMMYFUNCTION("""COMPUTED_VALUE"""),"(NOT)EVENT_PENDING_DESCRIBE_DREAM_FRAMEWORK")</f>
        <v>(NOT)EVENT_PENDING_DESCRIBE_DREAM_FRAMEWORK</v>
      </c>
    </row>
    <row r="192">
      <c r="A192" s="57">
        <f>ROW()-ROW(Table_EventsCombi[N])</f>
        <v>110</v>
      </c>
      <c r="B192" s="67" t="str">
        <f>IFERROR(__xludf.DUMMYFUNCTION("""COMPUTED_VALUE"""),"(NOT)EVENT_EPHIMERAL_ON")</f>
        <v>(NOT)EVENT_EPHIMERAL_ON</v>
      </c>
    </row>
    <row r="193">
      <c r="A193" s="57">
        <f>ROW()-ROW(Table_EventsCombi[N])</f>
        <v>111</v>
      </c>
      <c r="B193" s="67" t="str">
        <f>IFERROR(__xludf.DUMMYFUNCTION("""COMPUTED_VALUE"""),"(NOT)EVENT_SULTAN_ATE_FOOD")</f>
        <v>(NOT)EVENT_SULTAN_ATE_FOOD</v>
      </c>
    </row>
    <row r="194">
      <c r="A194" s="57">
        <f>ROW()-ROW(Table_EventsCombi[N])</f>
        <v>112</v>
      </c>
      <c r="B194" s="67" t="str">
        <f>IFERROR(__xludf.DUMMYFUNCTION("""COMPUTED_VALUE"""),"(NOT)EVENT_ALTER_EGO_DREAM_1_TALKED")</f>
        <v>(NOT)EVENT_ALTER_EGO_DREAM_1_TALKED</v>
      </c>
    </row>
    <row r="195">
      <c r="A195" s="57">
        <f>ROW()-ROW(Table_EventsCombi[N])</f>
        <v>113</v>
      </c>
      <c r="B195" s="67" t="str">
        <f>IFERROR(__xludf.DUMMYFUNCTION("""COMPUTED_VALUE"""),"(NOT)EVENT_ITEM_FIG_PICKABLE_TAKEN")</f>
        <v>(NOT)EVENT_ITEM_FIG_PICKABLE_TAKEN</v>
      </c>
    </row>
    <row r="196">
      <c r="A196" s="57">
        <f>ROW()-ROW(Table_EventsCombi[N])</f>
        <v>114</v>
      </c>
      <c r="B196" s="67" t="str">
        <f>IFERROR(__xludf.DUMMYFUNCTION("""COMPUTED_VALUE"""),"(NOT)EVENT_PENDING_RECAP_DREAM_1")</f>
        <v>(NOT)EVENT_PENDING_RECAP_DREAM_1</v>
      </c>
    </row>
    <row r="197">
      <c r="A197" s="57">
        <f>ROW()-ROW(Table_EventsCombi[N])</f>
        <v>115</v>
      </c>
      <c r="B197" s="67" t="str">
        <f>IFERROR(__xludf.DUMMYFUNCTION("""COMPUTED_VALUE"""),"(NOT)EVENT_LAST")</f>
        <v>(NOT)EVENT_LAST</v>
      </c>
    </row>
    <row r="198">
      <c r="A198" s="57">
        <f>ROW()-ROW(Table_EventsCombi[N])</f>
        <v>116</v>
      </c>
      <c r="B198" s="67"/>
    </row>
    <row r="199">
      <c r="A199" s="57">
        <f>ROW()-ROW(Table_EventsCombi[N])</f>
        <v>117</v>
      </c>
      <c r="B199" s="67"/>
    </row>
    <row r="200">
      <c r="A200" s="57">
        <f>ROW()-ROW(Table_EventsCombi[N])</f>
        <v>118</v>
      </c>
      <c r="B200" s="67"/>
    </row>
    <row r="201">
      <c r="A201" s="57">
        <f>ROW()-ROW(Table_EventsCombi[N])</f>
        <v>119</v>
      </c>
      <c r="B201" s="67"/>
    </row>
    <row r="202">
      <c r="A202" s="57">
        <f>ROW()-ROW(Table_EventsCombi[N])</f>
        <v>120</v>
      </c>
      <c r="B202" s="67"/>
    </row>
    <row r="203">
      <c r="A203" s="57">
        <f>ROW()-ROW(Table_EventsCombi[N])</f>
        <v>121</v>
      </c>
      <c r="B203" s="67"/>
    </row>
    <row r="204">
      <c r="A204" s="57">
        <f>ROW()-ROW(Table_EventsCombi[N])</f>
        <v>122</v>
      </c>
      <c r="B204" s="67"/>
    </row>
    <row r="205">
      <c r="A205" s="57">
        <f>ROW()-ROW(Table_EventsCombi[N])</f>
        <v>123</v>
      </c>
      <c r="B205" s="67"/>
    </row>
    <row r="206">
      <c r="A206" s="57">
        <f>ROW()-ROW(Table_EventsCombi[N])</f>
        <v>124</v>
      </c>
      <c r="B206" s="67"/>
    </row>
    <row r="207">
      <c r="A207" s="57">
        <f>ROW()-ROW(Table_EventsCombi[N])</f>
        <v>125</v>
      </c>
      <c r="B207" s="67"/>
    </row>
    <row r="208">
      <c r="A208" s="57">
        <f>ROW()-ROW(Table_EventsCombi[N])</f>
        <v>126</v>
      </c>
      <c r="B208" s="67"/>
    </row>
    <row r="209">
      <c r="A209" s="57">
        <f>ROW()-ROW(Table_EventsCombi[N])</f>
        <v>127</v>
      </c>
      <c r="B209" s="67"/>
    </row>
    <row r="210">
      <c r="A210" s="57">
        <f>ROW()-ROW(Table_EventsCombi[N])</f>
        <v>128</v>
      </c>
      <c r="B210" s="67"/>
    </row>
    <row r="211">
      <c r="A211" s="57">
        <f>ROW()-ROW(Table_EventsCombi[N])</f>
        <v>129</v>
      </c>
      <c r="B211" s="67"/>
    </row>
    <row r="212">
      <c r="A212" s="57">
        <f>ROW()-ROW(Table_EventsCombi[N])</f>
        <v>130</v>
      </c>
      <c r="B212" s="67"/>
    </row>
    <row r="213">
      <c r="A213" s="57">
        <f>ROW()-ROW(Table_EventsCombi[N])</f>
        <v>131</v>
      </c>
      <c r="B213" s="67"/>
    </row>
    <row r="214">
      <c r="A214" s="57">
        <f>ROW()-ROW(Table_EventsCombi[N])</f>
        <v>132</v>
      </c>
      <c r="B214" s="67"/>
    </row>
    <row r="215">
      <c r="A215" s="57">
        <f>ROW()-ROW(Table_EventsCombi[N])</f>
        <v>133</v>
      </c>
      <c r="B215" s="67"/>
    </row>
    <row r="216">
      <c r="A216" s="57">
        <f>ROW()-ROW(Table_EventsCombi[N])</f>
        <v>134</v>
      </c>
      <c r="B216" s="67"/>
    </row>
    <row r="217">
      <c r="A217" s="57">
        <f>ROW()-ROW(Table_EventsCombi[N])</f>
        <v>135</v>
      </c>
      <c r="B217" s="67"/>
    </row>
    <row r="218">
      <c r="A218" s="57">
        <f>ROW()-ROW(Table_EventsCombi[N])</f>
        <v>136</v>
      </c>
      <c r="B218" s="67"/>
    </row>
    <row r="219">
      <c r="A219" s="57">
        <f>ROW()-ROW(Table_EventsCombi[N])</f>
        <v>137</v>
      </c>
      <c r="B219" s="67"/>
    </row>
    <row r="220">
      <c r="A220" s="57">
        <f>ROW()-ROW(Table_EventsCombi[N])</f>
        <v>138</v>
      </c>
      <c r="B220" s="67"/>
    </row>
    <row r="221">
      <c r="A221" s="57">
        <f>ROW()-ROW(Table_EventsCombi[N])</f>
        <v>139</v>
      </c>
      <c r="B221" s="67"/>
    </row>
    <row r="222">
      <c r="A222" s="57">
        <f>ROW()-ROW(Table_EventsCombi[N])</f>
        <v>140</v>
      </c>
      <c r="B222" s="67"/>
    </row>
    <row r="223">
      <c r="A223" s="57">
        <f>ROW()-ROW(Table_EventsCombi[N])</f>
        <v>141</v>
      </c>
      <c r="B223" s="67"/>
    </row>
    <row r="224">
      <c r="A224" s="57">
        <f>ROW()-ROW(Table_EventsCombi[N])</f>
        <v>142</v>
      </c>
      <c r="B224" s="67"/>
    </row>
    <row r="225">
      <c r="A225" s="57">
        <f>ROW()-ROW(Table_EventsCombi[N])</f>
        <v>143</v>
      </c>
      <c r="B225" s="67"/>
    </row>
  </sheetData>
  <dataValidations>
    <dataValidation type="list" allowBlank="1" sqref="E69:E76">
      <formula1>#REF!</formula1>
    </dataValidation>
    <dataValidation type="list" allowBlank="1" sqref="C62:D66 C69:D76 C7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2693</v>
      </c>
      <c r="C1" s="1" t="s">
        <v>2694</v>
      </c>
    </row>
    <row r="2">
      <c r="A2" s="7">
        <f t="shared" ref="A2:A9" si="1">ROW()-ROW($A$2)</f>
        <v>0</v>
      </c>
      <c r="B2" s="7" t="s">
        <v>56</v>
      </c>
      <c r="C2" s="7" t="s">
        <v>2699</v>
      </c>
    </row>
    <row r="3">
      <c r="A3" s="7">
        <f t="shared" si="1"/>
        <v>1</v>
      </c>
      <c r="B3" s="7" t="s">
        <v>472</v>
      </c>
      <c r="C3" s="7" t="s">
        <v>2701</v>
      </c>
    </row>
    <row r="4">
      <c r="A4" s="7">
        <f t="shared" si="1"/>
        <v>2</v>
      </c>
      <c r="B4" s="7" t="s">
        <v>85</v>
      </c>
      <c r="C4" s="7" t="s">
        <v>2703</v>
      </c>
    </row>
    <row r="5">
      <c r="A5" s="7">
        <f t="shared" si="1"/>
        <v>3</v>
      </c>
      <c r="B5" s="7" t="s">
        <v>2552</v>
      </c>
      <c r="C5" s="7" t="s">
        <v>2706</v>
      </c>
    </row>
    <row r="6">
      <c r="A6" s="7">
        <f t="shared" si="1"/>
        <v>4</v>
      </c>
      <c r="B6" s="7" t="s">
        <v>798</v>
      </c>
      <c r="C6" s="7" t="s">
        <v>2709</v>
      </c>
    </row>
    <row r="7">
      <c r="A7" s="7">
        <f t="shared" si="1"/>
        <v>5</v>
      </c>
      <c r="B7" s="7" t="s">
        <v>2615</v>
      </c>
      <c r="C7" s="7" t="s">
        <v>2712</v>
      </c>
    </row>
    <row r="8">
      <c r="A8" s="7">
        <f t="shared" si="1"/>
        <v>6</v>
      </c>
      <c r="B8" s="7" t="s">
        <v>916</v>
      </c>
      <c r="C8" s="7" t="s">
        <v>2714</v>
      </c>
    </row>
    <row r="9">
      <c r="A9" s="7">
        <f t="shared" si="1"/>
        <v>7</v>
      </c>
      <c r="B9" s="7" t="s">
        <v>2715</v>
      </c>
      <c r="C9" s="7" t="s">
        <v>2699</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0</v>
      </c>
      <c r="B1" s="1" t="s">
        <v>2401</v>
      </c>
    </row>
    <row r="2">
      <c r="A2" s="28">
        <f>ROW()-ROW(Table_Animations[N])</f>
        <v>0</v>
      </c>
      <c r="B2" s="28" t="s">
        <v>2349</v>
      </c>
    </row>
    <row r="3">
      <c r="A3" s="28">
        <f>ROW()-ROW(Table_Animations[N])</f>
        <v>1</v>
      </c>
      <c r="B3" s="28" t="s">
        <v>2740</v>
      </c>
    </row>
    <row r="4">
      <c r="A4" s="28">
        <f>ROW()-ROW(Table_Animations[N])</f>
        <v>2</v>
      </c>
      <c r="B4" s="28" t="s">
        <v>2743</v>
      </c>
    </row>
    <row r="6">
      <c r="A6" s="1" t="s">
        <v>0</v>
      </c>
      <c r="B6" s="1" t="s">
        <v>2745</v>
      </c>
    </row>
    <row r="7">
      <c r="A7" s="28">
        <f>ROW()-ROW(Table_CardGames[N])</f>
        <v>0</v>
      </c>
      <c r="B7" s="28" t="s">
        <v>2353</v>
      </c>
    </row>
    <row r="8">
      <c r="A8" s="28">
        <f>ROW()-ROW(Table_CardGames[N])</f>
        <v>1</v>
      </c>
      <c r="B8" s="28" t="s">
        <v>2749</v>
      </c>
    </row>
    <row r="9">
      <c r="A9" s="28">
        <f>ROW()-ROW(Table_CardGames[N])</f>
        <v>2</v>
      </c>
      <c r="B9" s="28" t="s">
        <v>2751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2768</v>
      </c>
      <c r="B1" s="1" t="s">
        <v>2770</v>
      </c>
      <c r="C1" s="1" t="s">
        <v>2771</v>
      </c>
      <c r="D1" s="1" t="s">
        <v>2772</v>
      </c>
    </row>
    <row r="2">
      <c r="A2" s="29" t="s">
        <v>2773</v>
      </c>
      <c r="B2" s="70">
        <v>5.0</v>
      </c>
      <c r="C2" s="28" t="b">
        <v>0</v>
      </c>
      <c r="D2" s="28" t="b">
        <v>0</v>
      </c>
    </row>
    <row r="3">
      <c r="A3" s="29" t="s">
        <v>2776</v>
      </c>
      <c r="B3" s="70">
        <v>4.0</v>
      </c>
      <c r="C3" s="28" t="b">
        <v>0</v>
      </c>
      <c r="D3" s="28" t="b">
        <v>0</v>
      </c>
    </row>
    <row r="4">
      <c r="A4" s="29" t="s">
        <v>2778</v>
      </c>
      <c r="B4" s="70">
        <v>2.0</v>
      </c>
      <c r="C4" s="28" t="b">
        <v>1</v>
      </c>
      <c r="D4" s="28" t="b">
        <v>1</v>
      </c>
    </row>
    <row r="5">
      <c r="A5" s="29" t="s">
        <v>2779</v>
      </c>
      <c r="B5" s="70">
        <v>5.0</v>
      </c>
      <c r="C5" s="28" t="b">
        <v>0</v>
      </c>
      <c r="D5" s="28" t="b">
        <v>0</v>
      </c>
    </row>
    <row r="6">
      <c r="A6" s="29" t="s">
        <v>2782</v>
      </c>
      <c r="B6" s="70">
        <v>4.0</v>
      </c>
      <c r="C6" s="28" t="b">
        <v>0</v>
      </c>
      <c r="D6" s="28" t="b">
        <v>0</v>
      </c>
    </row>
    <row r="7">
      <c r="A7" s="29" t="s">
        <v>2783</v>
      </c>
      <c r="B7" s="70">
        <v>4.0</v>
      </c>
      <c r="C7" s="28" t="b">
        <v>0</v>
      </c>
      <c r="D7" s="28" t="b">
        <v>0</v>
      </c>
    </row>
    <row r="8">
      <c r="A8" s="29" t="s">
        <v>2785</v>
      </c>
      <c r="B8" s="70">
        <v>2.0</v>
      </c>
      <c r="C8" s="28" t="b">
        <v>1</v>
      </c>
      <c r="D8" s="28" t="b">
        <v>1</v>
      </c>
    </row>
    <row r="9">
      <c r="A9" s="29" t="s">
        <v>1507</v>
      </c>
      <c r="B9" s="70">
        <v>5.0</v>
      </c>
      <c r="C9" s="28" t="b">
        <v>0</v>
      </c>
      <c r="D9" s="28"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