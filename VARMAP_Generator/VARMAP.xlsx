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TODO" sheetId="12" r:id="rId15"/>
    <sheet state="visible" name="_CONSTANTS" sheetId="13" r:id="rId16"/>
  </sheets>
  <definedNames/>
  <calcPr/>
  <extLst>
    <ext uri="GoogleSheetsCustomDataVersion2">
      <go:sheetsCustomData xmlns:go="http://customooxmlschemas.google.com/" r:id="rId17" roundtripDataChecksum="5HS33drY7eJ/7k/79jXx3fchzAfenIqUHKbD9+JjkE0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9">
      <text>
        <t xml:space="preserve">Event triggered after all phrases
======</t>
      </text>
    </comment>
    <comment authorId="0" ref="E9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<sst xmlns="http://schemas.openxmlformats.org/spreadsheetml/2006/main" count="1621" uniqueCount="626">
  <si>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</si>
  <si>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</si>
  <si>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</si>
  <si>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</si>
  <si>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</si>
  <si>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</si>
  <si>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</si>
  <si>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</si>
  <si>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</si>
  <si>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</si>
  <si>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</si>
  <si>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</si>
  <si>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</si>
  <si>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</si>
  <si>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</si>
  <si>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</si>
  <si>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</si>
  <si>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</si>
  <si>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</si>
  <si>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</si>
  <si>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</si>
  <si>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</si>
  <si>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</si>
  <si>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</si>
  <si>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</si>
  <si>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</si>
  <si>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</si>
  <si>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</si>
  <si>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</si>
  <si>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</si>
  <si>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</si>
  <si>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</si>
  <si>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</si>
  <si>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</si>
  <si>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</si>
  <si>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</si>
  <si>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</si>
  <si>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</si>
  <si>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</si>
  <si>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</si>
  <si>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</si>
  <si>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</si>
  <si>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</si>
  <si>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</si>
  <si>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</si>
  <si>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</si>
  <si>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</si>
  <si>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</si>
  <si>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</si>
  <si>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</si>
  <si>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</si>
  <si>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</si>
  <si>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</si>
  <si>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</si>
  <si>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</si>
  <si>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</si>
  <si>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</si>
  <si>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</si>
  <si>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</si>
  <si>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</si>
  <si>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</si>
  <si>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</si>
  <si>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</si>
  <si>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</si>
  <si>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</si>
  <si>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</si>
  <si>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</si>
  <si>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</si>
  <si>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</si>
  <si>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</si>
  <si>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</si>
  <si>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</si>
  <si>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</si>
  <si>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</si>
  <si>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</si>
  <si>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</si>
  <si>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</si>
  <si>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</si>
  <si>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</si>
  <si>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</si>
  <si>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</si>
  <si>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</si>
  <si>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</si>
  <si>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</si>
  <si>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</si>
  <si>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</si>
  <si>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</si>
  <si>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</si>
  <si>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</si>
  <si>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</si>
  <si>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</si>
  <si>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</si>
  <si>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</si>
  <si>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</si>
  <si>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</si>
  <si>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</si>
  <si>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</si>
  <si>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</si>
  <si>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</si>
  <si>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</si>
  <si>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</si>
  <si>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</si>
  <si>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</si>
  <si>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</si>
  <si>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</si>
  <si>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</si>
  <si>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</si>
  <si>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</si>
  <si>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</si>
  <si>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</si>
  <si>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</si>
  <si>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</si>
  <si>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</si>
  <si>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</si>
  <si>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</si>
  <si>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</si>
  <si>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</si>
  <si>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</si>
  <si>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</si>
  <si>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</si>
  <si>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</si>
  <si>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</si>
  <si>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</si>
  <si>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</si>
  <si>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</si>
  <si>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</si>
  <si>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</si>
  <si>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</si>
  <si>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</si>
  <si>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</si>
  <si>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</si>
  <si>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</si>
  <si>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</si>
  <si>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</si>
  <si>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</si>
  <si>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</si>
  <si>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</si>
  <si>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</si>
  <si>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</si>
  <si>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</si>
  <si>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</si>
  <si>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</si>
  <si>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</si>
  <si>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</si>
  <si>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</si>
  <si>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</si>
  <si>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</si>
  <si>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</si>
  <si>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</si>
  <si>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</si>
  <si>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</si>
  <si>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</si>
  <si>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</si>
  <si>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</si>
  <si>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</si>
  <si>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</si>
  <si>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</si>
  <si>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</si>
  <si>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</si>
  <si>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</si>
  <si>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</si>
  <si>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</si>
  <si>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</si>
  <si>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</si>
  <si>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</si>
  <si>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</si>
  <si>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</si>
  <si>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</si>
  <si>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</si>
  <si>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</si>
  <si>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</si>
  <si>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</si>
  <si>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</si>
  <si>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</si>
  <si>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</si>
  <si>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</si>
  <si>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</si>
  <si>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</si>
  <si>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</si>
  <si>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</si>
  <si>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</si>
  <si>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</si>
  <si>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</si>
  <si>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</si>
  <si>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</si>
  <si>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</si>
  <si>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</si>
  <si>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</si>
  <si>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</si>
  <si>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</si>
  <si>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</si>
  <si>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</si>
  <si>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</si>
  <si>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</si>
  <si>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</si>
  <si>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</si>
  <si>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</si>
  <si>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</si>
  <si>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</si>
  <si>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</si>
  <si>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</si>
  <si>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</si>
  <si>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</si>
  <si>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</si>
  <si>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</si>
  <si>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</si>
  <si>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</si>
  <si>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</si>
  <si>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</si>
  <si>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</si>
  <si>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</si>
  <si>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</si>
  <si>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</si>
  <si>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</si>
  <si>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</si>
  <si>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</si>
  <si>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</si>
  <si>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</si>
  <si>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</si>
  <si>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</si>
  <si>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</si>
  <si>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</si>
  <si>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</si>
  <si>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</si>
  <si>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</si>
  <si>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</si>
  <si>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</si>
  <si>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</si>
  <si>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</si>
  <si>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</si>
  <si>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</si>
  <si>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</si>
  <si>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</si>
  <si>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</si>
  <si>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</si>
  <si>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</si>
  <si>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</si>
  <si>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</si>
  <si>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</si>
  <si>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</si>
  <si>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</si>
  <si>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</si>
  <si>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</si>
  <si>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</si>
  <si>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</si>
  <si>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</si>
  <si>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</si>
  <si>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</si>
  <si>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</si>
  <si>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</si>
  <si>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</si>
  <si>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</si>
  <si>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</si>
  <si>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</si>
  <si>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</si>
  <si>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</si>
  <si>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</si>
  <si>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</si>
  <si>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</si>
  <si>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</si>
  <si>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</si>
  <si>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</si>
  <si>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</si>
  <si>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</si>
  <si>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</si>
  <si>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</si>
  <si>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</si>
  <si>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</si>
  <si>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</si>
  <si>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</si>
  <si>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</si>
  <si>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</si>
  <si>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</si>
  <si>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</si>
  <si>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</si>
  <si>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CHARACTER_MAIN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</si>
  <si>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</si>
  <si>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</si>
  <si>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</si>
  <si>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</si>
  <si>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</si>
  <si>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</si>
  <si>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</si>
  <si>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</si>
  <si>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</si>
  <si>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</si>
  <si>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</si>
  <si>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</si>
  <si>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</si>
  <si>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</si>
  <si>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</si>
  <si>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</si>
  <si>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</si>
  <si>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</si>
  <si>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</si>
  <si>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</si>
  <si>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</si>
  <si>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</si>
  <si>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</si>
  <si>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</si>
  <si>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</si>
  <si>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</si>
  <si>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</si>
  <si>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</si>
  <si>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</si>
  <si>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</si>
  <si>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</si>
  <si>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</si>
  <si>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</si>
  <si>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</si>
  <si>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</si>
  <si>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</si>
  <si>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</si>
  <si>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</si>
  <si>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</si>
  <si>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</si>
  <si>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</si>
  <si>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</si>
  <si>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</si>
  <si>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</si>
  <si>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</si>
  <si>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</si>
  <si>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</si>
  <si>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</si>
  <si>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</si>
  <si>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</si>
  <si>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</si>
  <si>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</si>
  <si>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</si>
  <si>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</si>
  <si>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</si>
  <si>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</si>
  <si>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</si>
  <si>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</si>
  <si>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UNCHAIN_ROOM1_INITIAL_MEMENTO_1</t>
  </si>
  <si>
    <t>UNCHAIN_TYPE_EVENT</t>
  </si>
  <si>
    <t>EVENT_FIRST</t>
  </si>
  <si>
    <t>MEMENTO_NONE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</si>
  <si>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</si>
  <si>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</si>
  <si>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</si>
  <si>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</si>
  <si>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</si>
  <si>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</si>
  <si>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</si>
  <si>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</si>
  <si>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</si>
  <si>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</si>
  <si>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</si>
  <si>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</si>
  <si>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</si>
  <si>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</si>
  <si>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</si>
  <si>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</si>
  <si>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</si>
  <si>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</si>
  <si>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</si>
  <si>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</si>
  <si>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</si>
  <si>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</si>
  <si>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</si>
  <si>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</si>
  <si>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</si>
  <si>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</si>
  <si>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</si>
  <si>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</si>
  <si>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</si>
  <si>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</si>
  <si>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</si>
  <si>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</si>
  <si>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</si>
  <si>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</si>
  <si>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</si>
  <si>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</si>
  <si>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</si>
  <si>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</si>
  <si>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</si>
  <si>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</si>
  <si>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</si>
  <si>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</si>
  <si>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</si>
  <si>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</si>
  <si>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</si>
  <si>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</si>
  <si>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</si>
  <si>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</si>
  <si>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</si>
  <si>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</si>
  <si>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</si>
  <si>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</si>
  <si>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</si>
  <si>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</si>
  <si>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</si>
  <si>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</si>
  <si>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</si>
  <si>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</si>
  <si>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</si>
  <si>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</si>
  <si>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</si>
  <si>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</si>
  <si>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</si>
  <si>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</si>
  <si>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</si>
  <si>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</si>
  <si>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</si>
  <si>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DIALOG_ID</t>
  </si>
  <si>
    <t>Talkers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</si>
  <si>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</si>
  <si>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</si>
  <si>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</si>
  <si>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</si>
  <si>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</si>
  <si>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</si>
  <si>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</si>
  <si>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DIALOG_LAST</t>
  </si>
  <si>
    <t>DIALOG_OPTION_ID</t>
  </si>
  <si>
    <t>EventTriggered</t>
  </si>
  <si>
    <t>DialogTriggered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</si>
  <si>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</si>
  <si>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</si>
  <si>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</si>
  <si>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</si>
  <si>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</si>
  <si>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</si>
  <si>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</si>
  <si>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DIALOG_OPTION_LAST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</si>
  <si>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</si>
  <si>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</si>
  <si>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</si>
  <si>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</si>
  <si>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</si>
  <si>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</si>
  <si>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</si>
  <si>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</si>
  <si>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</si>
  <si>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</si>
  <si>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</si>
  <si>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</si>
  <si>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</si>
  <si>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</si>
  <si>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</si>
  <si>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</si>
  <si>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</si>
  <si>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</si>
  <si>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</si>
  <si>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</si>
  <si>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</si>
  <si>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</si>
  <si>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</si>
  <si>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</si>
  <si>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</si>
  <si>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</si>
  <si>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</si>
  <si>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</si>
  <si>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</si>
  <si>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</si>
  <si>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</si>
  <si>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</si>
  <si>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</si>
  <si>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</si>
  <si>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</si>
  <si>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</si>
  <si>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</si>
  <si>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</si>
  <si>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</si>
  <si>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</si>
  <si>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</si>
  <si>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</si>
  <si>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</si>
  <si>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</si>
  <si>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</si>
  <si>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</si>
  <si>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</si>
  <si>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</si>
  <si>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</si>
  <si>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</si>
  <si>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</si>
  <si>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</si>
  <si>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</si>
  <si>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</si>
  <si>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</si>
  <si>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</si>
  <si>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</si>
  <si>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</si>
  <si>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</si>
  <si>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</si>
  <si>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</si>
  <si>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</si>
  <si>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</si>
  <si>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</si>
  <si>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</si>
  <si>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</si>
  <si>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</si>
  <si>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</si>
  <si>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</si>
  <si>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</si>
  <si>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</si>
  <si>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</si>
  <si>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</si>
  <si>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</si>
  <si>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</si>
  <si>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</si>
  <si>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</si>
  <si>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</si>
  <si>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</si>
  <si>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</si>
  <si>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</si>
  <si>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</si>
  <si>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</si>
  <si>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</si>
  <si>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</si>
  <si>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</si>
  <si>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</si>
  <si>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</si>
  <si>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</si>
  <si>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</si>
  <si>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</si>
  <si>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</si>
  <si>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</si>
  <si>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</si>
  <si>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</si>
  <si>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</si>
  <si>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</si>
  <si>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</si>
  <si>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</si>
  <si>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</si>
  <si>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</si>
  <si>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</si>
  <si>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</si>
  <si>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</si>
  <si>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</si>
  <si>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</si>
  <si>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</si>
  <si>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</si>
  <si>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</si>
  <si>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</si>
  <si>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</si>
  <si>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</si>
  <si>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</si>
  <si>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</si>
  <si>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ROOM_ID</t>
  </si>
  <si>
    <t>BackgroundSprite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</si>
  <si>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</si>
  <si>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</si>
  <si>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</si>
  <si>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</si>
  <si>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</si>
  <si>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</si>
  <si>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</si>
  <si>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</si>
  <si>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</si>
  <si>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</t>
  </si>
  <si>
    <t>HIVE1_CORRIDOR_1</t>
  </si>
  <si>
    <t>ITEM_GENERIC_DOOR1, ITEM_HIVE1_NPC_REME</t>
  </si>
  <si>
    <t>HIVE1_HALL_1</t>
  </si>
  <si>
    <t>ITEM_GENERIC_DOOR1, ITEM_GENERIC_DOOR2, ITEM_HIVE1_AD_BOARD, ITEM_HIVE1_EXIT_DOOR</t>
  </si>
  <si>
    <t>HIVE1_WC_1</t>
  </si>
  <si>
    <t>ITEM_GENERIC_DOOR1, ITEM_HIVE1_BASIN</t>
  </si>
  <si>
    <t>ROOM_LAST</t>
  </si>
  <si>
    <t>CHARACTER_TYPE_ID</t>
  </si>
  <si>
    <t>CHARACTER_PARROT</t>
  </si>
  <si>
    <t>CHARACTER_SNAKE</t>
  </si>
  <si>
    <t>ANIMATION_ID</t>
  </si>
  <si>
    <t>ITEM_USE_ANIMATION_POUR</t>
  </si>
  <si>
    <t>INTERACTION_ID</t>
  </si>
  <si>
    <t>INTERACTION_MOVE</t>
  </si>
  <si>
    <t>UNCHAIN_TYPE_ID</t>
  </si>
  <si>
    <t>UNCHAIN_TYPE_UNCLICKABLE</t>
  </si>
  <si>
    <t>UNCHAIN_TYPE_LOSE_ITEM</t>
  </si>
  <si>
    <t>UNCHAIN_TYPE_NOTIF</t>
  </si>
  <si>
    <t>DIALOG_ANIMATION_ID</t>
  </si>
  <si>
    <t>ITEM_FAMILY_TYPE_ID</t>
  </si>
  <si>
    <t>EVENT_ID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</si>
  <si>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</si>
  <si>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</si>
  <si>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</si>
  <si>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</si>
  <si>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</si>
  <si>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</si>
  <si>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MEMENTO_PARENT_LAST</t>
  </si>
  <si>
    <t>MEMENTO_ID</t>
  </si>
  <si>
    <t>Parent</t>
  </si>
  <si>
    <t>Phrase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</si>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</sst>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5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customschemas.google.com/relationships/workbookmetadata" Target="metadata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9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3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17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21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23:K42" displayName="Table_Unchain_Conditions" name="Table_Unchain_Conditions" id="5">
  <tableColumns count="11">
    <tableColumn name="N" id="1"/>
    <tableColumn name="UNCHAIN_ID" id="2"/>
    <tableColumn name="Repeat" id="3"/>
    <tableColumn name="Type" id="4"/>
    <tableColumn name="IgnoreIfEvent" id="5"/>
    <tableColumn name="NeededEvents" id="6"/>
    <tableColumn name="TargetItem" id="7"/>
    <tableColumn name="TargetSprite" id="8"/>
    <tableColumn name="TargetCharacter" id="9"/>
    <tableColumn name="TargetMemento" id="10"/>
    <tableColumn name="TargetEvents" id="11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26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7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9:F16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19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27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I7" displayName="Table_Rooms" name="Table_Rooms" id="11">
  <tableColumns count="9">
    <tableColumn name="N" id="1"/>
    <tableColumn name="ROOM_ID" id="2"/>
    <tableColumn name="BackgroundSprite" id="3"/>
    <tableColumn name="CompoundSpritesText" id="4"/>
    <tableColumn name="CompoundPhrasesText" id="5"/>
    <tableColumn name="CompoundItemsText" id="6"/>
    <tableColumn name="NeededBackgrounds_Sprites" id="7"/>
    <tableColumn name="NeededItems" id="8"/>
    <tableColumn name="NeededPhrases" id="9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2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4:B34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6:B38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40:B45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11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13:E16" displayName="Table_Memento_Parent" name="Table_Memento_Parent" id="19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18:F22" displayName="Table_Memento" name="Table_Memento" id="20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1.xml><?xml version="1.0" encoding="utf-8"?>
<table xmlns="http://schemas.openxmlformats.org/spreadsheetml/2006/main" ref="A24:C25" displayName="Table_Memento_Combi" name="Table_Memento_Combi" id="21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2.xml><?xml version="1.0" encoding="utf-8"?>
<table xmlns="http://schemas.openxmlformats.org/spreadsheetml/2006/main" ref="A27:B69" displayName="Table_EventsCombi" name="Table_EventsCombi" id="22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3.xml><?xml version="1.0" encoding="utf-8"?>
<table xmlns="http://schemas.openxmlformats.org/spreadsheetml/2006/main" ref="A1:D31" displayName="Table_TODO" name="Table_TODO" id="23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4.xml><?xml version="1.0" encoding="utf-8"?>
<table xmlns="http://schemas.openxmlformats.org/spreadsheetml/2006/main" ref="A1:B128" displayName="Table_PickableSprites" name="Table_PickableSprites" id="24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5.xml><?xml version="1.0" encoding="utf-8"?>
<table xmlns="http://schemas.openxmlformats.org/spreadsheetml/2006/main" ref="D1:E128" displayName="Table_PickableNames" name="Table_PickableNames" id="25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9" Type="http://schemas.openxmlformats.org/officeDocument/2006/relationships/table" Target="../tables/table20.xml"/><Relationship Id="rId7" Type="http://schemas.openxmlformats.org/officeDocument/2006/relationships/table" Target="../tables/table18.xml"/><Relationship Id="rId8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24.xml"/><Relationship Id="rId5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9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6">
        <f>CEILING((COUNT(Table_Events[N])-1)/64,1)</f>
        <v>1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5">
        <v>2.0</v>
      </c>
      <c r="E6" s="7">
        <f>CEILING((COUNT(Table_Memento[N])-1)/64,1)</f>
        <v>1</v>
      </c>
      <c r="F6" s="2" t="s">
        <v>33</v>
      </c>
      <c r="G6" s="5" t="s">
        <v>19</v>
      </c>
      <c r="H6" s="3"/>
      <c r="I6" s="5" t="s">
        <v>21</v>
      </c>
      <c r="J6" s="5" t="s">
        <v>21</v>
      </c>
      <c r="K6" s="5" t="s">
        <v>21</v>
      </c>
      <c r="L6" s="5" t="s">
        <v>21</v>
      </c>
      <c r="M6" s="5" t="s">
        <v>21</v>
      </c>
      <c r="N6" s="5" t="s">
        <v>21</v>
      </c>
      <c r="O6" s="5" t="s">
        <v>21</v>
      </c>
      <c r="P6" s="5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5">
        <v>0.0</v>
      </c>
      <c r="E7" s="7">
        <f>CEILING((COUNT(Table_Memento_Parent[N])-1)/64,1)</f>
        <v>1</v>
      </c>
      <c r="F7" s="2" t="s">
        <v>33</v>
      </c>
      <c r="G7" s="5" t="s">
        <v>19</v>
      </c>
      <c r="H7" s="3"/>
      <c r="I7" s="5" t="s">
        <v>21</v>
      </c>
      <c r="J7" s="5" t="s">
        <v>21</v>
      </c>
      <c r="K7" s="5" t="s">
        <v>22</v>
      </c>
      <c r="L7" s="5" t="s">
        <v>21</v>
      </c>
      <c r="M7" s="5" t="s">
        <v>21</v>
      </c>
      <c r="N7" s="5" t="s">
        <v>21</v>
      </c>
      <c r="O7" s="5" t="s">
        <v>21</v>
      </c>
      <c r="P7" s="5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5">
        <v>2.0</v>
      </c>
      <c r="E8" s="7">
        <f>COUNTIF(Table_Items[PICKABLE],"=TRUE")</f>
        <v>2</v>
      </c>
      <c r="F8" s="2" t="s">
        <v>38</v>
      </c>
      <c r="G8" s="5" t="s">
        <v>19</v>
      </c>
      <c r="H8" s="3"/>
      <c r="I8" s="5" t="s">
        <v>21</v>
      </c>
      <c r="J8" s="5" t="s">
        <v>21</v>
      </c>
      <c r="K8" s="5" t="s">
        <v>22</v>
      </c>
      <c r="L8" s="5" t="s">
        <v>21</v>
      </c>
      <c r="M8" s="5" t="s">
        <v>30</v>
      </c>
      <c r="N8" s="5" t="s">
        <v>21</v>
      </c>
      <c r="O8" s="5" t="s">
        <v>23</v>
      </c>
      <c r="P8" s="5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5">
        <v>2.0</v>
      </c>
      <c r="E9" s="7">
        <f>COUNT(Table_Characters[N])-1</f>
        <v>3</v>
      </c>
      <c r="F9" s="2">
        <v>-1.0</v>
      </c>
      <c r="G9" s="5" t="s">
        <v>19</v>
      </c>
      <c r="H9" s="3"/>
      <c r="I9" s="5" t="s">
        <v>21</v>
      </c>
      <c r="J9" s="5" t="s">
        <v>21</v>
      </c>
      <c r="K9" s="5" t="s">
        <v>23</v>
      </c>
      <c r="L9" s="5" t="s">
        <v>21</v>
      </c>
      <c r="M9" s="5" t="s">
        <v>21</v>
      </c>
      <c r="N9" s="5" t="s">
        <v>22</v>
      </c>
      <c r="O9" s="5" t="s">
        <v>21</v>
      </c>
      <c r="P9" s="5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5">
        <v>0.0</v>
      </c>
      <c r="E10" s="2">
        <v>0.0</v>
      </c>
      <c r="F10" s="2" t="s">
        <v>43</v>
      </c>
      <c r="G10" s="5" t="s">
        <v>19</v>
      </c>
      <c r="H10" s="3"/>
      <c r="I10" s="5" t="s">
        <v>21</v>
      </c>
      <c r="J10" s="5" t="s">
        <v>21</v>
      </c>
      <c r="K10" s="5" t="s">
        <v>21</v>
      </c>
      <c r="L10" s="5" t="s">
        <v>23</v>
      </c>
      <c r="M10" s="5" t="s">
        <v>21</v>
      </c>
      <c r="N10" s="5" t="s">
        <v>21</v>
      </c>
      <c r="O10" s="5" t="s">
        <v>21</v>
      </c>
      <c r="P10" s="5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4">
        <v>0.0</v>
      </c>
      <c r="E11" s="3">
        <v>0.0</v>
      </c>
      <c r="F11" s="3" t="s">
        <v>46</v>
      </c>
      <c r="G11" s="4" t="s">
        <v>0</v>
      </c>
      <c r="H11" s="3" t="s">
        <v>20</v>
      </c>
      <c r="I11" s="4" t="s">
        <v>23</v>
      </c>
      <c r="J11" s="5" t="s">
        <v>30</v>
      </c>
      <c r="K11" s="4" t="s">
        <v>30</v>
      </c>
      <c r="L11" s="4" t="s">
        <v>30</v>
      </c>
      <c r="M11" s="4" t="s">
        <v>30</v>
      </c>
      <c r="N11" s="4" t="s">
        <v>30</v>
      </c>
      <c r="O11" s="5" t="s">
        <v>30</v>
      </c>
      <c r="P11" s="5" t="s">
        <v>30</v>
      </c>
    </row>
    <row r="12">
      <c r="A12" s="2">
        <f t="shared" si="1"/>
        <v>10</v>
      </c>
      <c r="B12" s="3" t="s">
        <v>47</v>
      </c>
      <c r="C12" s="3" t="s">
        <v>48</v>
      </c>
      <c r="D12" s="4">
        <v>0.0</v>
      </c>
      <c r="E12" s="3">
        <v>0.0</v>
      </c>
      <c r="F12" s="3" t="s">
        <v>49</v>
      </c>
      <c r="G12" s="4" t="s">
        <v>0</v>
      </c>
      <c r="H12" s="3" t="s">
        <v>20</v>
      </c>
      <c r="I12" s="4" t="s">
        <v>22</v>
      </c>
      <c r="J12" s="5" t="s">
        <v>23</v>
      </c>
      <c r="K12" s="5" t="s">
        <v>22</v>
      </c>
      <c r="L12" s="5" t="s">
        <v>22</v>
      </c>
      <c r="M12" s="4" t="s">
        <v>22</v>
      </c>
      <c r="N12" s="5" t="s">
        <v>21</v>
      </c>
      <c r="O12" s="5" t="s">
        <v>21</v>
      </c>
      <c r="P12" s="5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4">
        <v>0.0</v>
      </c>
      <c r="E13" s="3">
        <v>0.0</v>
      </c>
      <c r="F13" s="3" t="s">
        <v>52</v>
      </c>
      <c r="G13" s="4" t="s">
        <v>0</v>
      </c>
      <c r="H13" s="3" t="s">
        <v>20</v>
      </c>
      <c r="I13" s="5" t="s">
        <v>21</v>
      </c>
      <c r="J13" s="4" t="s">
        <v>23</v>
      </c>
      <c r="K13" s="5" t="s">
        <v>22</v>
      </c>
      <c r="L13" s="4" t="s">
        <v>22</v>
      </c>
      <c r="M13" s="4" t="s">
        <v>22</v>
      </c>
      <c r="N13" s="5" t="s">
        <v>21</v>
      </c>
      <c r="O13" s="5" t="s">
        <v>21</v>
      </c>
      <c r="P13" s="5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5">
        <v>0.0</v>
      </c>
      <c r="E14" s="2">
        <v>0.0</v>
      </c>
      <c r="F14" s="2" t="s">
        <v>38</v>
      </c>
      <c r="G14" s="5" t="s">
        <v>0</v>
      </c>
      <c r="H14" s="8"/>
      <c r="I14" s="5" t="s">
        <v>21</v>
      </c>
      <c r="J14" s="5" t="s">
        <v>21</v>
      </c>
      <c r="K14" s="5" t="s">
        <v>23</v>
      </c>
      <c r="L14" s="5" t="s">
        <v>21</v>
      </c>
      <c r="M14" s="5" t="s">
        <v>22</v>
      </c>
      <c r="N14" s="5" t="s">
        <v>30</v>
      </c>
      <c r="O14" s="5" t="s">
        <v>22</v>
      </c>
      <c r="P14" s="5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5">
        <v>1.0</v>
      </c>
      <c r="E15" s="2">
        <v>0.0</v>
      </c>
      <c r="F15" s="2" t="s">
        <v>56</v>
      </c>
      <c r="G15" s="5" t="s">
        <v>0</v>
      </c>
      <c r="H15" s="8"/>
      <c r="I15" s="5" t="s">
        <v>21</v>
      </c>
      <c r="J15" s="5" t="s">
        <v>21</v>
      </c>
      <c r="K15" s="5" t="s">
        <v>22</v>
      </c>
      <c r="L15" s="5" t="s">
        <v>30</v>
      </c>
      <c r="M15" s="5" t="s">
        <v>23</v>
      </c>
      <c r="N15" s="5" t="s">
        <v>21</v>
      </c>
      <c r="O15" s="5" t="s">
        <v>22</v>
      </c>
      <c r="P15" s="5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5">
        <v>0.0</v>
      </c>
      <c r="E16" s="2">
        <v>0.0</v>
      </c>
      <c r="F16" s="2" t="s">
        <v>56</v>
      </c>
      <c r="G16" s="5" t="s">
        <v>0</v>
      </c>
      <c r="H16" s="8"/>
      <c r="I16" s="5" t="s">
        <v>21</v>
      </c>
      <c r="J16" s="5" t="s">
        <v>21</v>
      </c>
      <c r="K16" s="5" t="s">
        <v>23</v>
      </c>
      <c r="L16" s="5" t="s">
        <v>30</v>
      </c>
      <c r="M16" s="5" t="s">
        <v>21</v>
      </c>
      <c r="N16" s="5" t="s">
        <v>21</v>
      </c>
      <c r="O16" s="5" t="s">
        <v>21</v>
      </c>
      <c r="P16" s="5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5">
        <v>0.0</v>
      </c>
      <c r="E17" s="2">
        <v>0.0</v>
      </c>
      <c r="F17" s="2" t="s">
        <v>60</v>
      </c>
      <c r="G17" s="5" t="s">
        <v>0</v>
      </c>
      <c r="H17" s="8"/>
      <c r="I17" s="5" t="s">
        <v>21</v>
      </c>
      <c r="J17" s="5" t="s">
        <v>21</v>
      </c>
      <c r="K17" s="5" t="s">
        <v>22</v>
      </c>
      <c r="L17" s="5" t="s">
        <v>30</v>
      </c>
      <c r="M17" s="5" t="s">
        <v>23</v>
      </c>
      <c r="N17" s="5" t="s">
        <v>21</v>
      </c>
      <c r="O17" s="5" t="s">
        <v>21</v>
      </c>
      <c r="P17" s="5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5">
        <v>0.0</v>
      </c>
      <c r="E18" s="2">
        <v>0.0</v>
      </c>
      <c r="F18" s="9" t="s">
        <v>63</v>
      </c>
      <c r="G18" s="5" t="s">
        <v>0</v>
      </c>
      <c r="H18" s="8"/>
      <c r="I18" s="5" t="s">
        <v>22</v>
      </c>
      <c r="J18" s="5" t="s">
        <v>21</v>
      </c>
      <c r="K18" s="5" t="s">
        <v>22</v>
      </c>
      <c r="L18" s="5" t="s">
        <v>21</v>
      </c>
      <c r="M18" s="5" t="s">
        <v>21</v>
      </c>
      <c r="N18" s="5" t="s">
        <v>21</v>
      </c>
      <c r="O18" s="5" t="s">
        <v>21</v>
      </c>
      <c r="P18" s="5" t="s">
        <v>23</v>
      </c>
    </row>
    <row r="19" ht="15.75" customHeight="1">
      <c r="A19" s="2">
        <f t="shared" si="1"/>
        <v>17</v>
      </c>
      <c r="B19" s="2" t="s">
        <v>64</v>
      </c>
      <c r="C19" s="2" t="s">
        <v>62</v>
      </c>
      <c r="D19" s="5">
        <v>0.0</v>
      </c>
      <c r="E19" s="2">
        <v>0.0</v>
      </c>
      <c r="F19" s="9" t="s">
        <v>63</v>
      </c>
      <c r="G19" s="5" t="s">
        <v>0</v>
      </c>
      <c r="H19" s="8"/>
      <c r="I19" s="5" t="s">
        <v>23</v>
      </c>
      <c r="J19" s="5" t="s">
        <v>21</v>
      </c>
      <c r="K19" s="5" t="s">
        <v>21</v>
      </c>
      <c r="L19" s="5" t="s">
        <v>21</v>
      </c>
      <c r="M19" s="5" t="s">
        <v>21</v>
      </c>
      <c r="N19" s="5" t="s">
        <v>21</v>
      </c>
      <c r="O19" s="5" t="s">
        <v>21</v>
      </c>
      <c r="P19" s="5" t="s">
        <v>21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>
      <c r="I26" s="10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G2:G19">
      <formula1>"N,Y"</formula1>
    </dataValidation>
    <dataValidation type="list" allowBlank="1" showErrorMessage="1" sqref="D2:D19">
      <formula1>"0,1,2"</formula1>
    </dataValidation>
    <dataValidation type="list" allowBlank="1" showErrorMessage="1" sqref="I2:P19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65</v>
      </c>
      <c r="C1" s="1" t="s">
        <v>66</v>
      </c>
      <c r="D1" s="1" t="s">
        <v>67</v>
      </c>
      <c r="E1" s="11" t="s">
        <v>68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3" si="1">ROW()-ROW($A$2)</f>
        <v>0</v>
      </c>
      <c r="B2" s="3" t="s">
        <v>69</v>
      </c>
      <c r="C2" s="3" t="s">
        <v>70</v>
      </c>
      <c r="D2" s="3" t="s">
        <v>71</v>
      </c>
      <c r="E2" s="2" t="s">
        <v>72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73</v>
      </c>
      <c r="L2" s="5" t="s">
        <v>21</v>
      </c>
      <c r="M2" s="5" t="s">
        <v>21</v>
      </c>
      <c r="N2" s="5" t="s">
        <v>21</v>
      </c>
    </row>
    <row r="3">
      <c r="A3" s="12">
        <f t="shared" si="1"/>
        <v>1</v>
      </c>
      <c r="B3" s="2" t="s">
        <v>74</v>
      </c>
      <c r="C3" s="2" t="s">
        <v>75</v>
      </c>
      <c r="D3" s="2" t="s">
        <v>76</v>
      </c>
      <c r="E3" s="2" t="s">
        <v>77</v>
      </c>
      <c r="F3" s="3"/>
      <c r="G3" s="5" t="s">
        <v>23</v>
      </c>
      <c r="H3" s="5" t="s">
        <v>21</v>
      </c>
      <c r="I3" s="5" t="s">
        <v>73</v>
      </c>
      <c r="J3" s="5" t="s">
        <v>21</v>
      </c>
      <c r="K3" s="5" t="s">
        <v>73</v>
      </c>
      <c r="L3" s="5" t="s">
        <v>21</v>
      </c>
      <c r="M3" s="5" t="s">
        <v>21</v>
      </c>
      <c r="N3" s="5" t="s">
        <v>21</v>
      </c>
    </row>
    <row r="4">
      <c r="A4" s="12">
        <f t="shared" si="1"/>
        <v>2</v>
      </c>
      <c r="B4" s="2" t="s">
        <v>78</v>
      </c>
      <c r="C4" s="2" t="s">
        <v>79</v>
      </c>
      <c r="D4" s="2" t="s">
        <v>80</v>
      </c>
      <c r="E4" s="2" t="s">
        <v>81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73</v>
      </c>
      <c r="L4" s="5" t="s">
        <v>21</v>
      </c>
      <c r="M4" s="5" t="s">
        <v>21</v>
      </c>
      <c r="N4" s="5" t="s">
        <v>21</v>
      </c>
    </row>
    <row r="5">
      <c r="A5" s="12">
        <f t="shared" si="1"/>
        <v>3</v>
      </c>
      <c r="B5" s="3" t="s">
        <v>82</v>
      </c>
      <c r="C5" s="3" t="s">
        <v>83</v>
      </c>
      <c r="D5" s="3" t="s">
        <v>84</v>
      </c>
      <c r="E5" s="2" t="s">
        <v>85</v>
      </c>
      <c r="F5" s="3" t="s">
        <v>20</v>
      </c>
      <c r="G5" s="4" t="s">
        <v>23</v>
      </c>
      <c r="H5" s="5" t="s">
        <v>21</v>
      </c>
      <c r="I5" s="4" t="s">
        <v>73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2">
        <f t="shared" si="1"/>
        <v>4</v>
      </c>
      <c r="B6" s="3" t="s">
        <v>86</v>
      </c>
      <c r="C6" s="3" t="s">
        <v>87</v>
      </c>
      <c r="D6" s="3" t="s">
        <v>88</v>
      </c>
      <c r="E6" s="2" t="s">
        <v>89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73</v>
      </c>
      <c r="L6" s="5" t="s">
        <v>21</v>
      </c>
      <c r="M6" s="5" t="s">
        <v>21</v>
      </c>
      <c r="N6" s="5" t="s">
        <v>21</v>
      </c>
    </row>
    <row r="7">
      <c r="A7" s="12">
        <f t="shared" si="1"/>
        <v>5</v>
      </c>
      <c r="B7" s="2" t="s">
        <v>90</v>
      </c>
      <c r="C7" s="3" t="s">
        <v>91</v>
      </c>
      <c r="D7" s="3" t="s">
        <v>92</v>
      </c>
      <c r="E7" s="2" t="s">
        <v>93</v>
      </c>
      <c r="F7" s="3" t="s">
        <v>20</v>
      </c>
      <c r="G7" s="4" t="s">
        <v>23</v>
      </c>
      <c r="H7" s="5" t="s">
        <v>73</v>
      </c>
      <c r="I7" s="4" t="s">
        <v>73</v>
      </c>
      <c r="J7" s="5" t="s">
        <v>73</v>
      </c>
      <c r="K7" s="5" t="s">
        <v>73</v>
      </c>
      <c r="L7" s="5" t="s">
        <v>73</v>
      </c>
      <c r="M7" s="5" t="s">
        <v>73</v>
      </c>
      <c r="N7" s="5" t="s">
        <v>73</v>
      </c>
    </row>
    <row r="8">
      <c r="A8" s="12">
        <f t="shared" si="1"/>
        <v>6</v>
      </c>
      <c r="B8" s="2" t="s">
        <v>94</v>
      </c>
      <c r="C8" s="2" t="s">
        <v>95</v>
      </c>
      <c r="D8" s="2" t="s">
        <v>96</v>
      </c>
      <c r="E8" s="2" t="s">
        <v>97</v>
      </c>
      <c r="F8" s="3"/>
      <c r="G8" s="5" t="s">
        <v>23</v>
      </c>
      <c r="H8" s="5" t="s">
        <v>73</v>
      </c>
      <c r="I8" s="5" t="s">
        <v>73</v>
      </c>
      <c r="J8" s="5" t="s">
        <v>73</v>
      </c>
      <c r="K8" s="5" t="s">
        <v>73</v>
      </c>
      <c r="L8" s="5" t="s">
        <v>73</v>
      </c>
      <c r="M8" s="5" t="s">
        <v>73</v>
      </c>
      <c r="N8" s="5" t="s">
        <v>73</v>
      </c>
    </row>
    <row r="9">
      <c r="A9" s="12">
        <f t="shared" si="1"/>
        <v>7</v>
      </c>
      <c r="B9" s="2" t="s">
        <v>98</v>
      </c>
      <c r="C9" s="2" t="s">
        <v>99</v>
      </c>
      <c r="D9" s="2" t="s">
        <v>100</v>
      </c>
      <c r="E9" s="2" t="s">
        <v>101</v>
      </c>
      <c r="F9" s="8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73</v>
      </c>
      <c r="M9" s="5" t="s">
        <v>73</v>
      </c>
      <c r="N9" s="5" t="s">
        <v>21</v>
      </c>
    </row>
    <row r="10">
      <c r="A10" s="12">
        <f t="shared" si="1"/>
        <v>8</v>
      </c>
      <c r="B10" s="3" t="s">
        <v>102</v>
      </c>
      <c r="C10" s="2" t="s">
        <v>103</v>
      </c>
      <c r="D10" s="3" t="s">
        <v>104</v>
      </c>
      <c r="E10" s="2" t="s">
        <v>105</v>
      </c>
      <c r="F10" s="8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73</v>
      </c>
      <c r="M10" s="5" t="s">
        <v>21</v>
      </c>
      <c r="N10" s="5" t="s">
        <v>21</v>
      </c>
    </row>
    <row r="11">
      <c r="A11" s="12">
        <f t="shared" si="1"/>
        <v>9</v>
      </c>
      <c r="B11" s="2" t="s">
        <v>106</v>
      </c>
      <c r="C11" s="2" t="s">
        <v>107</v>
      </c>
      <c r="D11" s="2" t="s">
        <v>108</v>
      </c>
      <c r="E11" s="2" t="s">
        <v>109</v>
      </c>
      <c r="F11" s="8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73</v>
      </c>
      <c r="N11" s="5" t="s">
        <v>21</v>
      </c>
    </row>
    <row r="12">
      <c r="A12" s="12">
        <f t="shared" si="1"/>
        <v>10</v>
      </c>
      <c r="B12" s="2" t="s">
        <v>110</v>
      </c>
      <c r="C12" s="2" t="s">
        <v>111</v>
      </c>
      <c r="D12" s="2" t="s">
        <v>112</v>
      </c>
      <c r="E12" s="2" t="s">
        <v>113</v>
      </c>
      <c r="F12" s="8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73</v>
      </c>
      <c r="N12" s="5" t="s">
        <v>21</v>
      </c>
    </row>
    <row r="13">
      <c r="A13" s="12">
        <f t="shared" si="1"/>
        <v>11</v>
      </c>
      <c r="B13" s="2" t="s">
        <v>114</v>
      </c>
      <c r="C13" s="2" t="s">
        <v>115</v>
      </c>
      <c r="D13" s="2" t="s">
        <v>116</v>
      </c>
      <c r="E13" s="2" t="s">
        <v>117</v>
      </c>
      <c r="F13" s="8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73</v>
      </c>
      <c r="M13" s="5" t="s">
        <v>21</v>
      </c>
      <c r="N13" s="5" t="s">
        <v>21</v>
      </c>
    </row>
    <row r="14">
      <c r="A14" s="12">
        <f t="shared" si="1"/>
        <v>12</v>
      </c>
      <c r="B14" s="2" t="s">
        <v>118</v>
      </c>
      <c r="C14" s="2" t="s">
        <v>119</v>
      </c>
      <c r="D14" s="2" t="s">
        <v>120</v>
      </c>
      <c r="E14" s="2" t="s">
        <v>121</v>
      </c>
      <c r="F14" s="8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21</v>
      </c>
      <c r="L14" s="5" t="s">
        <v>73</v>
      </c>
      <c r="M14" s="5" t="s">
        <v>21</v>
      </c>
      <c r="N14" s="5" t="s">
        <v>21</v>
      </c>
    </row>
    <row r="15">
      <c r="A15" s="12">
        <f t="shared" si="1"/>
        <v>13</v>
      </c>
      <c r="B15" s="2" t="s">
        <v>122</v>
      </c>
      <c r="C15" s="2" t="s">
        <v>123</v>
      </c>
      <c r="D15" s="2" t="s">
        <v>124</v>
      </c>
      <c r="E15" s="2" t="s">
        <v>125</v>
      </c>
      <c r="F15" s="8"/>
      <c r="G15" s="5" t="s">
        <v>21</v>
      </c>
      <c r="H15" s="5" t="s">
        <v>21</v>
      </c>
      <c r="I15" s="5" t="s">
        <v>23</v>
      </c>
      <c r="J15" s="5" t="s">
        <v>21</v>
      </c>
      <c r="K15" s="5" t="s">
        <v>73</v>
      </c>
      <c r="L15" s="5" t="s">
        <v>21</v>
      </c>
      <c r="M15" s="5" t="s">
        <v>73</v>
      </c>
      <c r="N15" s="5" t="s">
        <v>21</v>
      </c>
    </row>
    <row r="16">
      <c r="A16" s="12">
        <f t="shared" si="1"/>
        <v>14</v>
      </c>
      <c r="B16" s="2" t="s">
        <v>126</v>
      </c>
      <c r="C16" s="2" t="s">
        <v>127</v>
      </c>
      <c r="D16" s="2" t="s">
        <v>128</v>
      </c>
      <c r="E16" s="2" t="s">
        <v>129</v>
      </c>
      <c r="F16" s="8"/>
      <c r="G16" s="5" t="s">
        <v>21</v>
      </c>
      <c r="H16" s="5" t="s">
        <v>21</v>
      </c>
      <c r="I16" s="5" t="s">
        <v>23</v>
      </c>
      <c r="J16" s="5" t="s">
        <v>73</v>
      </c>
      <c r="K16" s="5" t="s">
        <v>21</v>
      </c>
      <c r="L16" s="5" t="s">
        <v>73</v>
      </c>
      <c r="M16" s="5" t="s">
        <v>21</v>
      </c>
      <c r="N16" s="5" t="s">
        <v>21</v>
      </c>
    </row>
    <row r="17">
      <c r="A17" s="12">
        <f t="shared" si="1"/>
        <v>15</v>
      </c>
      <c r="B17" s="2" t="s">
        <v>130</v>
      </c>
      <c r="C17" s="2" t="s">
        <v>131</v>
      </c>
      <c r="D17" s="2" t="s">
        <v>132</v>
      </c>
      <c r="E17" s="2" t="s">
        <v>133</v>
      </c>
      <c r="F17" s="8"/>
      <c r="G17" s="5" t="s">
        <v>21</v>
      </c>
      <c r="H17" s="5" t="s">
        <v>21</v>
      </c>
      <c r="I17" s="5" t="s">
        <v>23</v>
      </c>
      <c r="J17" s="5" t="s">
        <v>21</v>
      </c>
      <c r="K17" s="5" t="s">
        <v>21</v>
      </c>
      <c r="L17" s="5" t="s">
        <v>73</v>
      </c>
      <c r="M17" s="5" t="s">
        <v>73</v>
      </c>
      <c r="N17" s="5" t="s">
        <v>21</v>
      </c>
    </row>
    <row r="18">
      <c r="A18" s="12">
        <f t="shared" si="1"/>
        <v>16</v>
      </c>
      <c r="B18" s="13" t="s">
        <v>134</v>
      </c>
      <c r="C18" s="13" t="s">
        <v>135</v>
      </c>
      <c r="D18" s="13" t="s">
        <v>136</v>
      </c>
      <c r="E18" s="13" t="s">
        <v>137</v>
      </c>
      <c r="F18" s="14"/>
      <c r="G18" s="15" t="s">
        <v>21</v>
      </c>
      <c r="H18" s="15" t="s">
        <v>21</v>
      </c>
      <c r="I18" s="15" t="s">
        <v>73</v>
      </c>
      <c r="J18" s="15" t="s">
        <v>21</v>
      </c>
      <c r="K18" s="15" t="s">
        <v>73</v>
      </c>
      <c r="L18" s="15" t="s">
        <v>73</v>
      </c>
      <c r="M18" s="15" t="s">
        <v>73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138</v>
      </c>
      <c r="C19" s="2" t="s">
        <v>139</v>
      </c>
      <c r="D19" s="2" t="s">
        <v>140</v>
      </c>
      <c r="E19" s="2" t="s">
        <v>141</v>
      </c>
      <c r="F19" s="8"/>
      <c r="G19" s="5" t="s">
        <v>21</v>
      </c>
      <c r="H19" s="5" t="s">
        <v>21</v>
      </c>
      <c r="I19" s="5" t="s">
        <v>73</v>
      </c>
      <c r="J19" s="5" t="s">
        <v>21</v>
      </c>
      <c r="K19" s="5" t="s">
        <v>73</v>
      </c>
      <c r="L19" s="5" t="s">
        <v>73</v>
      </c>
      <c r="M19" s="5" t="s">
        <v>73</v>
      </c>
      <c r="N19" s="5" t="s">
        <v>23</v>
      </c>
    </row>
    <row r="20">
      <c r="A20" s="12">
        <f t="shared" si="1"/>
        <v>18</v>
      </c>
      <c r="B20" s="13" t="s">
        <v>142</v>
      </c>
      <c r="C20" s="13" t="s">
        <v>143</v>
      </c>
      <c r="D20" s="13" t="s">
        <v>144</v>
      </c>
      <c r="E20" s="13" t="s">
        <v>145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73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146</v>
      </c>
      <c r="C21" s="13" t="s">
        <v>147</v>
      </c>
      <c r="D21" s="13" t="s">
        <v>148</v>
      </c>
      <c r="E21" s="13" t="s">
        <v>149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73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150</v>
      </c>
      <c r="C22" s="13" t="s">
        <v>151</v>
      </c>
      <c r="D22" s="13" t="s">
        <v>152</v>
      </c>
      <c r="E22" s="13" t="s">
        <v>153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73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154</v>
      </c>
      <c r="C23" s="13" t="s">
        <v>155</v>
      </c>
      <c r="D23" s="13" t="s">
        <v>156</v>
      </c>
      <c r="E23" s="13" t="s">
        <v>157</v>
      </c>
      <c r="F23" s="14"/>
      <c r="G23" s="15" t="s">
        <v>21</v>
      </c>
      <c r="H23" s="15" t="s">
        <v>21</v>
      </c>
      <c r="I23" s="15" t="s">
        <v>73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158</v>
      </c>
      <c r="C24" s="13" t="s">
        <v>159</v>
      </c>
      <c r="D24" s="13" t="s">
        <v>160</v>
      </c>
      <c r="E24" s="13" t="s">
        <v>161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73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162</v>
      </c>
      <c r="C25" s="13" t="s">
        <v>163</v>
      </c>
      <c r="D25" s="13" t="s">
        <v>164</v>
      </c>
      <c r="E25" s="13" t="s">
        <v>165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73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166</v>
      </c>
      <c r="C26" s="17" t="s">
        <v>167</v>
      </c>
      <c r="D26" s="17" t="s">
        <v>168</v>
      </c>
      <c r="E26" s="13" t="s">
        <v>169</v>
      </c>
      <c r="F26" s="14"/>
      <c r="G26" s="18" t="s">
        <v>21</v>
      </c>
      <c r="H26" s="18" t="s">
        <v>21</v>
      </c>
      <c r="I26" s="15" t="s">
        <v>73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170</v>
      </c>
      <c r="C27" s="2" t="s">
        <v>171</v>
      </c>
      <c r="D27" s="2" t="s">
        <v>172</v>
      </c>
      <c r="E27" s="2" t="s">
        <v>173</v>
      </c>
      <c r="F27" s="8"/>
      <c r="G27" s="5" t="s">
        <v>21</v>
      </c>
      <c r="H27" s="5" t="s">
        <v>21</v>
      </c>
      <c r="I27" s="5" t="s">
        <v>73</v>
      </c>
      <c r="J27" s="5" t="s">
        <v>21</v>
      </c>
      <c r="K27" s="5" t="s">
        <v>23</v>
      </c>
      <c r="L27" s="5" t="s">
        <v>21</v>
      </c>
      <c r="M27" s="5" t="s">
        <v>73</v>
      </c>
      <c r="N27" s="5" t="s">
        <v>21</v>
      </c>
    </row>
    <row r="28">
      <c r="A28" s="12">
        <f t="shared" si="1"/>
        <v>26</v>
      </c>
      <c r="B28" s="2" t="s">
        <v>174</v>
      </c>
      <c r="C28" s="2" t="s">
        <v>175</v>
      </c>
      <c r="D28" s="2" t="s">
        <v>176</v>
      </c>
      <c r="E28" s="2" t="s">
        <v>177</v>
      </c>
      <c r="F28" s="2"/>
      <c r="G28" s="5" t="s">
        <v>21</v>
      </c>
      <c r="H28" s="5" t="s">
        <v>23</v>
      </c>
      <c r="I28" s="5" t="s">
        <v>21</v>
      </c>
      <c r="J28" s="5" t="s">
        <v>21</v>
      </c>
      <c r="K28" s="5" t="s">
        <v>73</v>
      </c>
      <c r="L28" s="5" t="s">
        <v>21</v>
      </c>
      <c r="M28" s="5" t="s">
        <v>21</v>
      </c>
      <c r="N28" s="5" t="s">
        <v>21</v>
      </c>
    </row>
    <row r="29">
      <c r="A29" s="12">
        <f t="shared" si="1"/>
        <v>27</v>
      </c>
      <c r="B29" s="2" t="s">
        <v>178</v>
      </c>
      <c r="C29" s="2" t="s">
        <v>179</v>
      </c>
      <c r="D29" s="2" t="s">
        <v>180</v>
      </c>
      <c r="E29" s="2" t="s">
        <v>181</v>
      </c>
      <c r="F29" s="8"/>
      <c r="G29" s="5" t="s">
        <v>21</v>
      </c>
      <c r="H29" s="5" t="s">
        <v>21</v>
      </c>
      <c r="I29" s="5" t="s">
        <v>73</v>
      </c>
      <c r="J29" s="5" t="s">
        <v>21</v>
      </c>
      <c r="K29" s="5" t="s">
        <v>21</v>
      </c>
      <c r="L29" s="5" t="s">
        <v>23</v>
      </c>
      <c r="M29" s="5" t="s">
        <v>21</v>
      </c>
      <c r="N29" s="5" t="s">
        <v>21</v>
      </c>
    </row>
    <row r="30">
      <c r="A30" s="12">
        <f t="shared" si="1"/>
        <v>28</v>
      </c>
      <c r="B30" s="2" t="s">
        <v>182</v>
      </c>
      <c r="C30" s="2" t="s">
        <v>183</v>
      </c>
      <c r="D30" s="2" t="s">
        <v>184</v>
      </c>
      <c r="E30" s="2" t="s">
        <v>185</v>
      </c>
      <c r="F30" s="8"/>
      <c r="G30" s="5" t="s">
        <v>23</v>
      </c>
      <c r="H30" s="5" t="s">
        <v>21</v>
      </c>
      <c r="I30" s="5" t="s">
        <v>73</v>
      </c>
      <c r="J30" s="5" t="s">
        <v>21</v>
      </c>
      <c r="K30" s="5" t="s">
        <v>73</v>
      </c>
      <c r="L30" s="5" t="s">
        <v>21</v>
      </c>
      <c r="M30" s="5" t="s">
        <v>21</v>
      </c>
      <c r="N30" s="5" t="s">
        <v>21</v>
      </c>
    </row>
    <row r="31">
      <c r="A31" s="12">
        <f t="shared" si="1"/>
        <v>29</v>
      </c>
      <c r="B31" s="2" t="s">
        <v>186</v>
      </c>
      <c r="C31" s="2" t="s">
        <v>187</v>
      </c>
      <c r="D31" s="2" t="s">
        <v>188</v>
      </c>
      <c r="E31" s="2" t="s">
        <v>189</v>
      </c>
      <c r="F31" s="8"/>
      <c r="G31" s="5" t="s">
        <v>21</v>
      </c>
      <c r="H31" s="5" t="s">
        <v>21</v>
      </c>
      <c r="I31" s="5" t="s">
        <v>73</v>
      </c>
      <c r="J31" s="5" t="s">
        <v>21</v>
      </c>
      <c r="K31" s="5" t="s">
        <v>23</v>
      </c>
      <c r="L31" s="5" t="s">
        <v>21</v>
      </c>
      <c r="M31" s="5" t="s">
        <v>21</v>
      </c>
      <c r="N31" s="5" t="s">
        <v>21</v>
      </c>
    </row>
    <row r="32">
      <c r="A32" s="12">
        <f t="shared" si="1"/>
        <v>30</v>
      </c>
      <c r="B32" s="2" t="s">
        <v>190</v>
      </c>
      <c r="C32" s="2" t="s">
        <v>191</v>
      </c>
      <c r="D32" s="2" t="s">
        <v>192</v>
      </c>
      <c r="E32" s="2" t="s">
        <v>193</v>
      </c>
      <c r="F32" s="8"/>
      <c r="G32" s="5" t="s">
        <v>21</v>
      </c>
      <c r="H32" s="5" t="s">
        <v>21</v>
      </c>
      <c r="I32" s="5" t="s">
        <v>21</v>
      </c>
      <c r="J32" s="5" t="s">
        <v>23</v>
      </c>
      <c r="K32" s="5" t="s">
        <v>21</v>
      </c>
      <c r="L32" s="5" t="s">
        <v>21</v>
      </c>
      <c r="M32" s="5" t="s">
        <v>73</v>
      </c>
      <c r="N32" s="5" t="s">
        <v>21</v>
      </c>
    </row>
    <row r="33">
      <c r="A33" s="12">
        <f t="shared" si="1"/>
        <v>31</v>
      </c>
      <c r="B33" s="2" t="s">
        <v>194</v>
      </c>
      <c r="C33" s="3" t="s">
        <v>87</v>
      </c>
      <c r="D33" s="3" t="s">
        <v>88</v>
      </c>
      <c r="E33" s="2" t="s">
        <v>195</v>
      </c>
      <c r="F33" s="8"/>
      <c r="G33" s="5" t="s">
        <v>23</v>
      </c>
      <c r="H33" s="5" t="s">
        <v>21</v>
      </c>
      <c r="I33" s="5" t="s">
        <v>21</v>
      </c>
      <c r="J33" s="5" t="s">
        <v>21</v>
      </c>
      <c r="K33" s="5" t="s">
        <v>21</v>
      </c>
      <c r="L33" s="5" t="s">
        <v>21</v>
      </c>
      <c r="M33" s="5" t="s">
        <v>21</v>
      </c>
      <c r="N33" s="5" t="s">
        <v>21</v>
      </c>
    </row>
  </sheetData>
  <dataValidations>
    <dataValidation type="custom" allowBlank="1" showDropDown="1" sqref="A2:A33">
      <formula1>AND(ISNUMBER(A2),(NOT(OR(NOT(ISERROR(DATEVALUE(A2))), AND(ISNUMBER(A2), LEFT(CELL("format", A2))="D")))))</formula1>
    </dataValidation>
    <dataValidation type="list" allowBlank="1" showErrorMessage="1" sqref="G2:N33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196</v>
      </c>
      <c r="C1" s="20" t="s">
        <v>197</v>
      </c>
      <c r="D1" s="20" t="s">
        <v>198</v>
      </c>
      <c r="E1" s="20" t="s">
        <v>199</v>
      </c>
      <c r="F1" s="20" t="s">
        <v>200</v>
      </c>
      <c r="G1" s="19" t="s">
        <v>201</v>
      </c>
      <c r="H1" s="20" t="s">
        <v>202</v>
      </c>
      <c r="I1" s="21" t="s">
        <v>203</v>
      </c>
    </row>
    <row r="2">
      <c r="A2" s="22">
        <f t="shared" ref="A2:A17" si="1">ROW()-ROW($A$2)</f>
        <v>0</v>
      </c>
      <c r="B2" s="22" t="s">
        <v>204</v>
      </c>
      <c r="C2" s="23" t="s">
        <v>205</v>
      </c>
      <c r="D2" s="24" t="s">
        <v>206</v>
      </c>
      <c r="E2" s="25" t="s">
        <v>207</v>
      </c>
      <c r="F2" s="23" t="s">
        <v>207</v>
      </c>
      <c r="G2" s="26" t="b">
        <v>0</v>
      </c>
      <c r="H2" s="23" t="s">
        <v>207</v>
      </c>
      <c r="I2" s="27" t="s">
        <v>208</v>
      </c>
    </row>
    <row r="3">
      <c r="A3" s="22">
        <f t="shared" si="1"/>
        <v>1</v>
      </c>
      <c r="B3" s="22" t="s">
        <v>209</v>
      </c>
      <c r="C3" s="23" t="s">
        <v>210</v>
      </c>
      <c r="D3" s="24" t="s">
        <v>211</v>
      </c>
      <c r="E3" s="25" t="s">
        <v>207</v>
      </c>
      <c r="F3" s="23" t="s">
        <v>207</v>
      </c>
      <c r="G3" s="26" t="b">
        <v>0</v>
      </c>
      <c r="H3" s="23" t="s">
        <v>207</v>
      </c>
      <c r="I3" s="27" t="s">
        <v>208</v>
      </c>
    </row>
    <row r="4">
      <c r="A4" s="22">
        <f t="shared" si="1"/>
        <v>2</v>
      </c>
      <c r="B4" s="22" t="s">
        <v>212</v>
      </c>
      <c r="C4" s="23" t="s">
        <v>213</v>
      </c>
      <c r="D4" s="24" t="s">
        <v>214</v>
      </c>
      <c r="E4" s="25" t="s">
        <v>215</v>
      </c>
      <c r="F4" s="23" t="s">
        <v>216</v>
      </c>
      <c r="G4" s="26" t="b">
        <v>0</v>
      </c>
      <c r="H4" s="23" t="s">
        <v>207</v>
      </c>
      <c r="I4" s="27" t="s">
        <v>217</v>
      </c>
    </row>
    <row r="5">
      <c r="A5" s="22">
        <f t="shared" si="1"/>
        <v>3</v>
      </c>
      <c r="B5" s="22" t="s">
        <v>218</v>
      </c>
      <c r="C5" s="23" t="s">
        <v>219</v>
      </c>
      <c r="D5" s="24" t="s">
        <v>214</v>
      </c>
      <c r="E5" s="25" t="s">
        <v>220</v>
      </c>
      <c r="F5" s="23" t="s">
        <v>220</v>
      </c>
      <c r="G5" s="26" t="b">
        <v>1</v>
      </c>
      <c r="H5" s="23" t="s">
        <v>221</v>
      </c>
      <c r="I5" s="27" t="s">
        <v>222</v>
      </c>
    </row>
    <row r="6">
      <c r="A6" s="22">
        <f t="shared" si="1"/>
        <v>4</v>
      </c>
      <c r="B6" s="22" t="s">
        <v>223</v>
      </c>
      <c r="C6" s="23" t="s">
        <v>224</v>
      </c>
      <c r="D6" s="24" t="s">
        <v>214</v>
      </c>
      <c r="E6" s="25" t="s">
        <v>225</v>
      </c>
      <c r="F6" s="23" t="s">
        <v>225</v>
      </c>
      <c r="G6" s="26" t="b">
        <v>0</v>
      </c>
      <c r="H6" s="23" t="s">
        <v>207</v>
      </c>
      <c r="I6" s="27" t="s">
        <v>226</v>
      </c>
    </row>
    <row r="7">
      <c r="A7" s="22">
        <f t="shared" si="1"/>
        <v>5</v>
      </c>
      <c r="B7" s="22" t="s">
        <v>227</v>
      </c>
      <c r="C7" s="23" t="s">
        <v>224</v>
      </c>
      <c r="D7" s="24" t="s">
        <v>214</v>
      </c>
      <c r="E7" s="25" t="s">
        <v>228</v>
      </c>
      <c r="F7" s="23" t="s">
        <v>228</v>
      </c>
      <c r="G7" s="26" t="b">
        <v>0</v>
      </c>
      <c r="H7" s="23" t="s">
        <v>207</v>
      </c>
      <c r="I7" s="27" t="s">
        <v>229</v>
      </c>
    </row>
    <row r="8">
      <c r="A8" s="22">
        <f t="shared" si="1"/>
        <v>6</v>
      </c>
      <c r="B8" s="22" t="s">
        <v>230</v>
      </c>
      <c r="C8" s="23" t="s">
        <v>231</v>
      </c>
      <c r="D8" s="24" t="s">
        <v>232</v>
      </c>
      <c r="E8" s="25" t="s">
        <v>225</v>
      </c>
      <c r="F8" s="23" t="s">
        <v>225</v>
      </c>
      <c r="G8" s="26" t="b">
        <v>0</v>
      </c>
      <c r="H8" s="23" t="s">
        <v>207</v>
      </c>
      <c r="I8" s="27" t="s">
        <v>208</v>
      </c>
    </row>
    <row r="9">
      <c r="A9" s="22">
        <f t="shared" si="1"/>
        <v>7</v>
      </c>
      <c r="B9" s="22" t="s">
        <v>233</v>
      </c>
      <c r="C9" s="23" t="s">
        <v>234</v>
      </c>
      <c r="D9" s="24" t="s">
        <v>235</v>
      </c>
      <c r="E9" s="25" t="s">
        <v>236</v>
      </c>
      <c r="F9" s="23" t="s">
        <v>236</v>
      </c>
      <c r="G9" s="26" t="b">
        <v>0</v>
      </c>
      <c r="H9" s="23" t="s">
        <v>207</v>
      </c>
      <c r="I9" s="27" t="s">
        <v>237</v>
      </c>
    </row>
    <row r="10">
      <c r="A10" s="22">
        <f t="shared" si="1"/>
        <v>8</v>
      </c>
      <c r="B10" s="22" t="s">
        <v>238</v>
      </c>
      <c r="C10" s="23" t="s">
        <v>231</v>
      </c>
      <c r="D10" s="24" t="s">
        <v>232</v>
      </c>
      <c r="E10" s="25" t="s">
        <v>225</v>
      </c>
      <c r="F10" s="23" t="s">
        <v>225</v>
      </c>
      <c r="G10" s="26" t="b">
        <v>0</v>
      </c>
      <c r="H10" s="23" t="s">
        <v>207</v>
      </c>
      <c r="I10" s="27" t="s">
        <v>208</v>
      </c>
    </row>
    <row r="11">
      <c r="A11" s="22">
        <f t="shared" si="1"/>
        <v>9</v>
      </c>
      <c r="B11" s="22" t="s">
        <v>239</v>
      </c>
      <c r="C11" s="23" t="s">
        <v>231</v>
      </c>
      <c r="D11" s="24" t="s">
        <v>232</v>
      </c>
      <c r="E11" s="25" t="s">
        <v>225</v>
      </c>
      <c r="F11" s="23" t="s">
        <v>225</v>
      </c>
      <c r="G11" s="26" t="b">
        <v>0</v>
      </c>
      <c r="H11" s="23" t="s">
        <v>207</v>
      </c>
      <c r="I11" s="27" t="s">
        <v>208</v>
      </c>
    </row>
    <row r="12">
      <c r="A12" s="22">
        <f t="shared" si="1"/>
        <v>10</v>
      </c>
      <c r="B12" s="22" t="s">
        <v>240</v>
      </c>
      <c r="C12" s="23" t="s">
        <v>241</v>
      </c>
      <c r="D12" s="24" t="s">
        <v>214</v>
      </c>
      <c r="E12" s="25" t="s">
        <v>225</v>
      </c>
      <c r="F12" s="23" t="s">
        <v>225</v>
      </c>
      <c r="G12" s="26" t="b">
        <v>0</v>
      </c>
      <c r="H12" s="23" t="s">
        <v>207</v>
      </c>
      <c r="I12" s="27" t="s">
        <v>242</v>
      </c>
    </row>
    <row r="13">
      <c r="A13" s="22">
        <f t="shared" si="1"/>
        <v>11</v>
      </c>
      <c r="B13" s="22" t="s">
        <v>243</v>
      </c>
      <c r="C13" s="23" t="s">
        <v>244</v>
      </c>
      <c r="D13" s="24" t="s">
        <v>214</v>
      </c>
      <c r="E13" s="25" t="s">
        <v>225</v>
      </c>
      <c r="F13" s="23" t="s">
        <v>225</v>
      </c>
      <c r="G13" s="26" t="b">
        <v>0</v>
      </c>
      <c r="H13" s="23" t="s">
        <v>225</v>
      </c>
      <c r="I13" s="27" t="s">
        <v>245</v>
      </c>
    </row>
    <row r="14">
      <c r="A14" s="22">
        <f t="shared" si="1"/>
        <v>12</v>
      </c>
      <c r="B14" s="22" t="s">
        <v>246</v>
      </c>
      <c r="C14" s="23" t="s">
        <v>231</v>
      </c>
      <c r="D14" s="24" t="s">
        <v>232</v>
      </c>
      <c r="E14" s="25" t="s">
        <v>225</v>
      </c>
      <c r="F14" s="23" t="s">
        <v>225</v>
      </c>
      <c r="G14" s="26" t="b">
        <v>0</v>
      </c>
      <c r="H14" s="23" t="s">
        <v>225</v>
      </c>
      <c r="I14" s="27" t="s">
        <v>247</v>
      </c>
    </row>
    <row r="15">
      <c r="A15" s="22">
        <f t="shared" si="1"/>
        <v>13</v>
      </c>
      <c r="B15" s="22" t="s">
        <v>248</v>
      </c>
      <c r="C15" s="23" t="s">
        <v>249</v>
      </c>
      <c r="D15" s="24" t="s">
        <v>214</v>
      </c>
      <c r="E15" s="25" t="s">
        <v>225</v>
      </c>
      <c r="F15" s="23" t="s">
        <v>225</v>
      </c>
      <c r="G15" s="26" t="b">
        <v>0</v>
      </c>
      <c r="H15" s="23" t="s">
        <v>225</v>
      </c>
      <c r="I15" s="27" t="s">
        <v>250</v>
      </c>
    </row>
    <row r="16">
      <c r="A16" s="22">
        <f t="shared" si="1"/>
        <v>14</v>
      </c>
      <c r="B16" s="22" t="s">
        <v>251</v>
      </c>
      <c r="C16" s="23" t="s">
        <v>252</v>
      </c>
      <c r="D16" s="24" t="s">
        <v>214</v>
      </c>
      <c r="E16" s="25" t="s">
        <v>225</v>
      </c>
      <c r="F16" s="23" t="s">
        <v>225</v>
      </c>
      <c r="G16" s="26" t="b">
        <v>1</v>
      </c>
      <c r="H16" s="23" t="s">
        <v>253</v>
      </c>
      <c r="I16" s="27" t="s">
        <v>254</v>
      </c>
    </row>
    <row r="17">
      <c r="A17" s="22">
        <f t="shared" si="1"/>
        <v>15</v>
      </c>
      <c r="B17" s="22" t="s">
        <v>255</v>
      </c>
      <c r="C17" s="23" t="s">
        <v>256</v>
      </c>
      <c r="D17" s="24" t="s">
        <v>206</v>
      </c>
      <c r="E17" s="25" t="s">
        <v>257</v>
      </c>
      <c r="F17" s="23" t="s">
        <v>257</v>
      </c>
      <c r="G17" s="26" t="b">
        <v>0</v>
      </c>
      <c r="H17" s="23" t="s">
        <v>207</v>
      </c>
      <c r="I17" s="27" t="s">
        <v>208</v>
      </c>
    </row>
  </sheetData>
  <dataValidations>
    <dataValidation type="list" allowBlank="1" sqref="E2:E17 I2:I17">
      <formula1>#REF!</formula1>
    </dataValidation>
    <dataValidation type="list" allowBlank="1" sqref="C2:D17 F2:F17 H2:H17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2" width="22.57"/>
    <col customWidth="1" min="13" max="13" width="30.0"/>
    <col customWidth="1" min="14" max="14" width="18.0"/>
  </cols>
  <sheetData>
    <row r="1">
      <c r="A1" s="19" t="s">
        <v>0</v>
      </c>
      <c r="B1" s="19" t="s">
        <v>258</v>
      </c>
      <c r="C1" s="19" t="s">
        <v>259</v>
      </c>
      <c r="D1" s="20" t="s">
        <v>260</v>
      </c>
      <c r="E1" s="20" t="s">
        <v>261</v>
      </c>
      <c r="F1" s="20" t="s">
        <v>262</v>
      </c>
      <c r="G1" s="19" t="s">
        <v>263</v>
      </c>
      <c r="H1" s="19" t="s">
        <v>264</v>
      </c>
      <c r="I1" s="20" t="s">
        <v>265</v>
      </c>
      <c r="J1" s="21" t="s">
        <v>266</v>
      </c>
    </row>
    <row r="2">
      <c r="A2" s="28">
        <f>ROW()-ROW(Table_Action_Conditions[N])</f>
        <v>0</v>
      </c>
      <c r="B2" s="28" t="s">
        <v>208</v>
      </c>
      <c r="C2" s="29" t="s">
        <v>267</v>
      </c>
      <c r="D2" s="30" t="s">
        <v>268</v>
      </c>
      <c r="E2" s="30" t="s">
        <v>204</v>
      </c>
      <c r="F2" s="30" t="s">
        <v>269</v>
      </c>
      <c r="G2" s="30" t="s">
        <v>270</v>
      </c>
      <c r="H2" s="30" t="s">
        <v>271</v>
      </c>
      <c r="I2" s="30" t="s">
        <v>272</v>
      </c>
      <c r="J2" s="31" t="s">
        <v>267</v>
      </c>
    </row>
    <row r="3">
      <c r="A3" s="28">
        <f>ROW()-ROW(Table_Action_Conditions[N])</f>
        <v>1</v>
      </c>
      <c r="B3" s="28" t="s">
        <v>273</v>
      </c>
      <c r="C3" s="32" t="s">
        <v>274</v>
      </c>
      <c r="D3" s="30" t="s">
        <v>275</v>
      </c>
      <c r="E3" s="30" t="s">
        <v>204</v>
      </c>
      <c r="F3" s="30" t="s">
        <v>276</v>
      </c>
      <c r="G3" s="30" t="s">
        <v>277</v>
      </c>
      <c r="H3" s="30" t="s">
        <v>271</v>
      </c>
      <c r="I3" s="30" t="s">
        <v>272</v>
      </c>
      <c r="J3" s="33" t="s">
        <v>278</v>
      </c>
    </row>
    <row r="4">
      <c r="A4" s="28">
        <f>ROW()-ROW(Table_Action_Conditions[N])</f>
        <v>2</v>
      </c>
      <c r="B4" s="28" t="s">
        <v>279</v>
      </c>
      <c r="C4" s="32" t="s">
        <v>278</v>
      </c>
      <c r="D4" s="30" t="s">
        <v>275</v>
      </c>
      <c r="E4" s="30" t="s">
        <v>204</v>
      </c>
      <c r="F4" s="30" t="s">
        <v>276</v>
      </c>
      <c r="G4" s="30" t="s">
        <v>277</v>
      </c>
      <c r="H4" s="30" t="s">
        <v>271</v>
      </c>
      <c r="I4" s="30" t="s">
        <v>272</v>
      </c>
      <c r="J4" s="33" t="s">
        <v>274</v>
      </c>
    </row>
    <row r="5">
      <c r="A5" s="28">
        <f>ROW()-ROW(Table_Action_Conditions[N])</f>
        <v>3</v>
      </c>
      <c r="B5" s="28" t="s">
        <v>222</v>
      </c>
      <c r="C5" s="32" t="s">
        <v>280</v>
      </c>
      <c r="D5" s="30" t="s">
        <v>275</v>
      </c>
      <c r="E5" s="30" t="s">
        <v>204</v>
      </c>
      <c r="F5" s="30" t="s">
        <v>276</v>
      </c>
      <c r="G5" s="30" t="s">
        <v>277</v>
      </c>
      <c r="H5" s="30" t="s">
        <v>271</v>
      </c>
      <c r="I5" s="30" t="s">
        <v>272</v>
      </c>
      <c r="J5" s="33" t="s">
        <v>281</v>
      </c>
    </row>
    <row r="6">
      <c r="A6" s="28">
        <f>ROW()-ROW(Table_Action_Conditions[N])</f>
        <v>4</v>
      </c>
      <c r="B6" s="28" t="s">
        <v>226</v>
      </c>
      <c r="C6" s="32" t="s">
        <v>282</v>
      </c>
      <c r="D6" s="30" t="s">
        <v>275</v>
      </c>
      <c r="E6" s="30" t="s">
        <v>204</v>
      </c>
      <c r="F6" s="30" t="s">
        <v>276</v>
      </c>
      <c r="G6" s="30" t="s">
        <v>277</v>
      </c>
      <c r="H6" s="30" t="s">
        <v>271</v>
      </c>
      <c r="I6" s="30" t="s">
        <v>272</v>
      </c>
      <c r="J6" s="33" t="s">
        <v>283</v>
      </c>
    </row>
    <row r="7">
      <c r="A7" s="28">
        <f>ROW()-ROW(Table_Action_Conditions[N])</f>
        <v>5</v>
      </c>
      <c r="B7" s="28" t="s">
        <v>229</v>
      </c>
      <c r="C7" s="32" t="s">
        <v>283</v>
      </c>
      <c r="D7" s="30" t="s">
        <v>275</v>
      </c>
      <c r="E7" s="30" t="s">
        <v>204</v>
      </c>
      <c r="F7" s="30" t="s">
        <v>276</v>
      </c>
      <c r="G7" s="30" t="s">
        <v>277</v>
      </c>
      <c r="H7" s="30" t="s">
        <v>271</v>
      </c>
      <c r="I7" s="30" t="s">
        <v>272</v>
      </c>
      <c r="J7" s="33" t="s">
        <v>282</v>
      </c>
    </row>
    <row r="8">
      <c r="A8" s="28">
        <f>ROW()-ROW(Table_Action_Conditions[N])</f>
        <v>6</v>
      </c>
      <c r="B8" s="28" t="s">
        <v>284</v>
      </c>
      <c r="C8" s="32" t="s">
        <v>267</v>
      </c>
      <c r="D8" s="30" t="s">
        <v>275</v>
      </c>
      <c r="E8" s="30" t="s">
        <v>204</v>
      </c>
      <c r="F8" s="30" t="s">
        <v>285</v>
      </c>
      <c r="G8" s="30" t="s">
        <v>270</v>
      </c>
      <c r="H8" s="30" t="s">
        <v>286</v>
      </c>
      <c r="I8" s="30" t="s">
        <v>272</v>
      </c>
      <c r="J8" s="33" t="s">
        <v>267</v>
      </c>
    </row>
    <row r="9">
      <c r="A9" s="28">
        <f>ROW()-ROW(Table_Action_Conditions[N])</f>
        <v>7</v>
      </c>
      <c r="B9" s="28" t="s">
        <v>245</v>
      </c>
      <c r="C9" s="32" t="s">
        <v>267</v>
      </c>
      <c r="D9" s="30" t="s">
        <v>275</v>
      </c>
      <c r="E9" s="30" t="s">
        <v>204</v>
      </c>
      <c r="F9" s="30" t="s">
        <v>287</v>
      </c>
      <c r="G9" s="30" t="s">
        <v>288</v>
      </c>
      <c r="H9" s="30" t="s">
        <v>289</v>
      </c>
      <c r="I9" s="30" t="s">
        <v>290</v>
      </c>
      <c r="J9" s="33" t="s">
        <v>291</v>
      </c>
    </row>
    <row r="10">
      <c r="A10" s="28">
        <f>ROW()-ROW(Table_Action_Conditions[N])</f>
        <v>8</v>
      </c>
      <c r="B10" s="28" t="s">
        <v>292</v>
      </c>
      <c r="C10" s="32" t="s">
        <v>293</v>
      </c>
      <c r="D10" s="30" t="s">
        <v>275</v>
      </c>
      <c r="E10" s="30" t="s">
        <v>204</v>
      </c>
      <c r="F10" s="30" t="s">
        <v>294</v>
      </c>
      <c r="G10" s="30" t="s">
        <v>270</v>
      </c>
      <c r="H10" s="30" t="s">
        <v>289</v>
      </c>
      <c r="I10" s="30" t="s">
        <v>295</v>
      </c>
      <c r="J10" s="33" t="s">
        <v>267</v>
      </c>
    </row>
    <row r="11">
      <c r="A11" s="28">
        <f>ROW()-ROW(Table_Action_Conditions[N])</f>
        <v>9</v>
      </c>
      <c r="B11" s="28" t="s">
        <v>296</v>
      </c>
      <c r="C11" s="32" t="s">
        <v>297</v>
      </c>
      <c r="D11" s="30" t="s">
        <v>275</v>
      </c>
      <c r="E11" s="30" t="s">
        <v>204</v>
      </c>
      <c r="F11" s="30" t="s">
        <v>294</v>
      </c>
      <c r="G11" s="30" t="s">
        <v>270</v>
      </c>
      <c r="H11" s="30" t="s">
        <v>289</v>
      </c>
      <c r="I11" s="30" t="s">
        <v>298</v>
      </c>
      <c r="J11" s="33" t="s">
        <v>267</v>
      </c>
    </row>
    <row r="12">
      <c r="A12" s="28">
        <f>ROW()-ROW(Table_Action_Conditions[N])</f>
        <v>10</v>
      </c>
      <c r="B12" s="28" t="s">
        <v>299</v>
      </c>
      <c r="C12" s="32" t="s">
        <v>300</v>
      </c>
      <c r="D12" s="30" t="s">
        <v>275</v>
      </c>
      <c r="E12" s="30" t="s">
        <v>204</v>
      </c>
      <c r="F12" s="30" t="s">
        <v>294</v>
      </c>
      <c r="G12" s="30" t="s">
        <v>270</v>
      </c>
      <c r="H12" s="30" t="s">
        <v>289</v>
      </c>
      <c r="I12" s="30" t="s">
        <v>298</v>
      </c>
      <c r="J12" s="33" t="s">
        <v>267</v>
      </c>
    </row>
    <row r="13">
      <c r="A13" s="28">
        <f>ROW()-ROW(Table_Action_Conditions[N])</f>
        <v>11</v>
      </c>
      <c r="B13" s="28" t="s">
        <v>301</v>
      </c>
      <c r="C13" s="32" t="s">
        <v>267</v>
      </c>
      <c r="D13" s="30" t="s">
        <v>275</v>
      </c>
      <c r="E13" s="30" t="s">
        <v>204</v>
      </c>
      <c r="F13" s="30" t="s">
        <v>276</v>
      </c>
      <c r="G13" s="30" t="s">
        <v>270</v>
      </c>
      <c r="H13" s="30" t="s">
        <v>289</v>
      </c>
      <c r="I13" s="30" t="s">
        <v>302</v>
      </c>
      <c r="J13" s="33" t="s">
        <v>267</v>
      </c>
    </row>
    <row r="14">
      <c r="A14" s="28">
        <f>ROW()-ROW(Table_Action_Conditions[N])</f>
        <v>12</v>
      </c>
      <c r="B14" s="28" t="s">
        <v>303</v>
      </c>
      <c r="C14" s="32" t="s">
        <v>297</v>
      </c>
      <c r="D14" s="30" t="s">
        <v>275</v>
      </c>
      <c r="E14" s="30" t="s">
        <v>251</v>
      </c>
      <c r="F14" s="30" t="s">
        <v>304</v>
      </c>
      <c r="G14" s="30" t="s">
        <v>305</v>
      </c>
      <c r="H14" s="30" t="s">
        <v>289</v>
      </c>
      <c r="I14" s="30" t="s">
        <v>306</v>
      </c>
      <c r="J14" s="33" t="s">
        <v>307</v>
      </c>
    </row>
    <row r="15">
      <c r="A15" s="28">
        <f>ROW()-ROW(Table_Action_Conditions[N])</f>
        <v>13</v>
      </c>
      <c r="B15" s="28" t="s">
        <v>308</v>
      </c>
      <c r="C15" s="32" t="s">
        <v>307</v>
      </c>
      <c r="D15" s="30" t="s">
        <v>275</v>
      </c>
      <c r="E15" s="30" t="s">
        <v>251</v>
      </c>
      <c r="F15" s="30" t="s">
        <v>304</v>
      </c>
      <c r="G15" s="30" t="s">
        <v>309</v>
      </c>
      <c r="H15" s="30" t="s">
        <v>289</v>
      </c>
      <c r="I15" s="30" t="s">
        <v>310</v>
      </c>
      <c r="J15" s="33" t="s">
        <v>267</v>
      </c>
    </row>
    <row r="16">
      <c r="A16" s="28">
        <f>ROW()-ROW(Table_Action_Conditions[N])</f>
        <v>14</v>
      </c>
      <c r="B16" s="28" t="s">
        <v>254</v>
      </c>
      <c r="C16" s="32" t="s">
        <v>311</v>
      </c>
      <c r="D16" s="30" t="s">
        <v>275</v>
      </c>
      <c r="E16" s="30" t="s">
        <v>204</v>
      </c>
      <c r="F16" s="30" t="s">
        <v>276</v>
      </c>
      <c r="G16" s="30" t="s">
        <v>277</v>
      </c>
      <c r="H16" s="30" t="s">
        <v>271</v>
      </c>
      <c r="I16" s="30" t="s">
        <v>272</v>
      </c>
      <c r="J16" s="33" t="s">
        <v>312</v>
      </c>
    </row>
    <row r="17">
      <c r="A17" s="28">
        <f>ROW()-ROW(Table_Action_Conditions[N])</f>
        <v>15</v>
      </c>
      <c r="B17" s="28" t="s">
        <v>313</v>
      </c>
      <c r="C17" s="32" t="s">
        <v>314</v>
      </c>
      <c r="D17" s="30" t="s">
        <v>275</v>
      </c>
      <c r="E17" s="30" t="s">
        <v>204</v>
      </c>
      <c r="F17" s="30" t="s">
        <v>276</v>
      </c>
      <c r="G17" s="30" t="s">
        <v>277</v>
      </c>
      <c r="H17" s="30" t="s">
        <v>289</v>
      </c>
      <c r="I17" s="30" t="s">
        <v>315</v>
      </c>
      <c r="J17" s="33" t="s">
        <v>316</v>
      </c>
    </row>
    <row r="18">
      <c r="A18" s="28">
        <f>ROW()-ROW(Table_Action_Conditions[N])</f>
        <v>16</v>
      </c>
      <c r="B18" s="28" t="s">
        <v>317</v>
      </c>
      <c r="C18" s="32" t="s">
        <v>318</v>
      </c>
      <c r="D18" s="30" t="s">
        <v>275</v>
      </c>
      <c r="E18" s="30" t="s">
        <v>204</v>
      </c>
      <c r="F18" s="30" t="s">
        <v>276</v>
      </c>
      <c r="G18" s="30" t="s">
        <v>309</v>
      </c>
      <c r="H18" s="30" t="s">
        <v>289</v>
      </c>
      <c r="I18" s="30" t="s">
        <v>319</v>
      </c>
      <c r="J18" s="33" t="s">
        <v>267</v>
      </c>
    </row>
    <row r="19">
      <c r="A19" s="28">
        <f>ROW()-ROW(Table_Action_Conditions[N])</f>
        <v>17</v>
      </c>
      <c r="B19" s="28" t="s">
        <v>320</v>
      </c>
      <c r="C19" s="32" t="s">
        <v>316</v>
      </c>
      <c r="D19" s="30" t="s">
        <v>275</v>
      </c>
      <c r="E19" s="30" t="s">
        <v>204</v>
      </c>
      <c r="F19" s="30" t="s">
        <v>276</v>
      </c>
      <c r="G19" s="30" t="s">
        <v>309</v>
      </c>
      <c r="H19" s="30" t="s">
        <v>289</v>
      </c>
      <c r="I19" s="30" t="s">
        <v>321</v>
      </c>
      <c r="J19" s="33" t="s">
        <v>267</v>
      </c>
    </row>
    <row r="20">
      <c r="A20" s="28">
        <f>ROW()-ROW(Table_Action_Conditions[N])</f>
        <v>18</v>
      </c>
      <c r="B20" s="28" t="s">
        <v>322</v>
      </c>
      <c r="C20" s="32" t="s">
        <v>267</v>
      </c>
      <c r="D20" s="30" t="s">
        <v>275</v>
      </c>
      <c r="E20" s="30" t="s">
        <v>218</v>
      </c>
      <c r="F20" s="30" t="s">
        <v>304</v>
      </c>
      <c r="G20" s="30" t="s">
        <v>270</v>
      </c>
      <c r="H20" s="30" t="s">
        <v>323</v>
      </c>
      <c r="I20" s="30" t="s">
        <v>272</v>
      </c>
      <c r="J20" s="33" t="s">
        <v>267</v>
      </c>
    </row>
    <row r="21">
      <c r="A21" s="28">
        <f>ROW()-ROW(Table_Action_Conditions[N])</f>
        <v>19</v>
      </c>
      <c r="B21" s="28" t="s">
        <v>324</v>
      </c>
      <c r="C21" s="29" t="s">
        <v>267</v>
      </c>
      <c r="D21" s="30" t="s">
        <v>268</v>
      </c>
      <c r="E21" s="30" t="s">
        <v>204</v>
      </c>
      <c r="F21" s="30" t="s">
        <v>269</v>
      </c>
      <c r="G21" s="30" t="s">
        <v>277</v>
      </c>
      <c r="H21" s="30" t="s">
        <v>271</v>
      </c>
      <c r="I21" s="30" t="s">
        <v>272</v>
      </c>
      <c r="J21" s="31" t="s">
        <v>267</v>
      </c>
    </row>
    <row r="23">
      <c r="A23" s="19" t="s">
        <v>0</v>
      </c>
      <c r="B23" s="19" t="s">
        <v>325</v>
      </c>
      <c r="C23" s="20" t="s">
        <v>326</v>
      </c>
      <c r="D23" s="19" t="s">
        <v>327</v>
      </c>
      <c r="E23" s="21" t="s">
        <v>328</v>
      </c>
      <c r="F23" s="21" t="s">
        <v>259</v>
      </c>
      <c r="G23" s="21" t="s">
        <v>329</v>
      </c>
      <c r="H23" s="21" t="s">
        <v>330</v>
      </c>
      <c r="I23" s="21" t="s">
        <v>331</v>
      </c>
      <c r="J23" s="21" t="s">
        <v>332</v>
      </c>
      <c r="K23" s="21" t="s">
        <v>333</v>
      </c>
    </row>
    <row r="24">
      <c r="A24" s="28">
        <f>ROW()-ROW(Table_Unchain_Conditions[N])</f>
        <v>0</v>
      </c>
      <c r="B24" s="28" t="s">
        <v>334</v>
      </c>
      <c r="C24" s="34" t="b">
        <v>0</v>
      </c>
      <c r="D24" s="30" t="s">
        <v>335</v>
      </c>
      <c r="E24" s="35" t="s">
        <v>336</v>
      </c>
      <c r="F24" s="33" t="s">
        <v>267</v>
      </c>
      <c r="G24" s="35" t="s">
        <v>204</v>
      </c>
      <c r="H24" s="35" t="s">
        <v>207</v>
      </c>
      <c r="I24" s="36" t="s">
        <v>268</v>
      </c>
      <c r="J24" s="35" t="s">
        <v>337</v>
      </c>
      <c r="K24" s="33" t="s">
        <v>336</v>
      </c>
    </row>
    <row r="25">
      <c r="A25" s="28">
        <f>ROW()-ROW(Table_Unchain_Conditions[N])</f>
        <v>1</v>
      </c>
      <c r="B25" s="28" t="s">
        <v>338</v>
      </c>
      <c r="C25" s="34" t="b">
        <v>0</v>
      </c>
      <c r="D25" s="30" t="s">
        <v>339</v>
      </c>
      <c r="E25" s="35" t="s">
        <v>336</v>
      </c>
      <c r="F25" s="33" t="s">
        <v>336</v>
      </c>
      <c r="G25" s="35" t="s">
        <v>204</v>
      </c>
      <c r="H25" s="35" t="s">
        <v>207</v>
      </c>
      <c r="I25" s="36" t="s">
        <v>268</v>
      </c>
      <c r="J25" s="35" t="s">
        <v>340</v>
      </c>
      <c r="K25" s="33" t="s">
        <v>267</v>
      </c>
    </row>
    <row r="26">
      <c r="A26" s="28">
        <f>ROW()-ROW(Table_Unchain_Conditions[N])</f>
        <v>2</v>
      </c>
      <c r="B26" s="28" t="s">
        <v>341</v>
      </c>
      <c r="C26" s="34" t="b">
        <v>1</v>
      </c>
      <c r="D26" s="30" t="s">
        <v>342</v>
      </c>
      <c r="E26" s="35" t="s">
        <v>267</v>
      </c>
      <c r="F26" s="33" t="s">
        <v>278</v>
      </c>
      <c r="G26" s="35" t="s">
        <v>212</v>
      </c>
      <c r="H26" s="35" t="s">
        <v>343</v>
      </c>
      <c r="I26" s="36" t="s">
        <v>268</v>
      </c>
      <c r="J26" s="35" t="s">
        <v>337</v>
      </c>
      <c r="K26" s="33" t="s">
        <v>267</v>
      </c>
    </row>
    <row r="27">
      <c r="A27" s="28">
        <f>ROW()-ROW(Table_Unchain_Conditions[N])</f>
        <v>3</v>
      </c>
      <c r="B27" s="28" t="s">
        <v>344</v>
      </c>
      <c r="C27" s="34" t="b">
        <v>1</v>
      </c>
      <c r="D27" s="30" t="s">
        <v>345</v>
      </c>
      <c r="E27" s="35" t="s">
        <v>281</v>
      </c>
      <c r="F27" s="33" t="s">
        <v>278</v>
      </c>
      <c r="G27" s="35" t="s">
        <v>218</v>
      </c>
      <c r="H27" s="35" t="s">
        <v>207</v>
      </c>
      <c r="I27" s="36" t="s">
        <v>268</v>
      </c>
      <c r="J27" s="35" t="s">
        <v>337</v>
      </c>
      <c r="K27" s="33" t="s">
        <v>267</v>
      </c>
    </row>
    <row r="28">
      <c r="A28" s="28">
        <f>ROW()-ROW(Table_Unchain_Conditions[N])</f>
        <v>4</v>
      </c>
      <c r="B28" s="28" t="s">
        <v>346</v>
      </c>
      <c r="C28" s="34" t="b">
        <v>1</v>
      </c>
      <c r="D28" s="30" t="s">
        <v>345</v>
      </c>
      <c r="E28" s="35" t="s">
        <v>267</v>
      </c>
      <c r="F28" s="33" t="s">
        <v>278</v>
      </c>
      <c r="G28" s="35" t="s">
        <v>240</v>
      </c>
      <c r="H28" s="35" t="s">
        <v>207</v>
      </c>
      <c r="I28" s="36" t="s">
        <v>268</v>
      </c>
      <c r="J28" s="35" t="s">
        <v>337</v>
      </c>
      <c r="K28" s="33" t="s">
        <v>267</v>
      </c>
    </row>
    <row r="29">
      <c r="A29" s="28">
        <f>ROW()-ROW(Table_Unchain_Conditions[N])</f>
        <v>5</v>
      </c>
      <c r="B29" s="28" t="s">
        <v>347</v>
      </c>
      <c r="C29" s="34" t="b">
        <v>1</v>
      </c>
      <c r="D29" s="30" t="s">
        <v>342</v>
      </c>
      <c r="E29" s="35" t="s">
        <v>267</v>
      </c>
      <c r="F29" s="33" t="s">
        <v>274</v>
      </c>
      <c r="G29" s="35" t="s">
        <v>212</v>
      </c>
      <c r="H29" s="35" t="s">
        <v>216</v>
      </c>
      <c r="I29" s="36" t="s">
        <v>268</v>
      </c>
      <c r="J29" s="35" t="s">
        <v>337</v>
      </c>
      <c r="K29" s="33" t="s">
        <v>267</v>
      </c>
    </row>
    <row r="30">
      <c r="A30" s="28">
        <f>ROW()-ROW(Table_Unchain_Conditions[N])</f>
        <v>6</v>
      </c>
      <c r="B30" s="28" t="s">
        <v>348</v>
      </c>
      <c r="C30" s="34" t="b">
        <v>1</v>
      </c>
      <c r="D30" s="30" t="s">
        <v>349</v>
      </c>
      <c r="E30" s="35" t="s">
        <v>281</v>
      </c>
      <c r="F30" s="33" t="s">
        <v>274</v>
      </c>
      <c r="G30" s="35" t="s">
        <v>218</v>
      </c>
      <c r="H30" s="35" t="s">
        <v>207</v>
      </c>
      <c r="I30" s="36" t="s">
        <v>268</v>
      </c>
      <c r="J30" s="35" t="s">
        <v>337</v>
      </c>
      <c r="K30" s="33" t="s">
        <v>267</v>
      </c>
    </row>
    <row r="31">
      <c r="A31" s="28">
        <f>ROW()-ROW(Table_Unchain_Conditions[N])</f>
        <v>7</v>
      </c>
      <c r="B31" s="28" t="s">
        <v>350</v>
      </c>
      <c r="C31" s="34" t="b">
        <v>1</v>
      </c>
      <c r="D31" s="30" t="s">
        <v>349</v>
      </c>
      <c r="E31" s="35" t="s">
        <v>267</v>
      </c>
      <c r="F31" s="33" t="s">
        <v>274</v>
      </c>
      <c r="G31" s="35" t="s">
        <v>240</v>
      </c>
      <c r="H31" s="35" t="s">
        <v>207</v>
      </c>
      <c r="I31" s="36" t="s">
        <v>268</v>
      </c>
      <c r="J31" s="35" t="s">
        <v>337</v>
      </c>
      <c r="K31" s="33" t="s">
        <v>267</v>
      </c>
    </row>
    <row r="32">
      <c r="A32" s="28">
        <f>ROW()-ROW(Table_Unchain_Conditions[N])</f>
        <v>8</v>
      </c>
      <c r="B32" s="28" t="s">
        <v>351</v>
      </c>
      <c r="C32" s="34" t="b">
        <v>0</v>
      </c>
      <c r="D32" s="30" t="s">
        <v>352</v>
      </c>
      <c r="E32" s="35" t="s">
        <v>267</v>
      </c>
      <c r="F32" s="33" t="s">
        <v>281</v>
      </c>
      <c r="G32" s="35" t="s">
        <v>218</v>
      </c>
      <c r="H32" s="35" t="s">
        <v>207</v>
      </c>
      <c r="I32" s="36" t="s">
        <v>268</v>
      </c>
      <c r="J32" s="35" t="s">
        <v>337</v>
      </c>
      <c r="K32" s="33" t="s">
        <v>267</v>
      </c>
    </row>
    <row r="33">
      <c r="A33" s="28">
        <f>ROW()-ROW(Table_Unchain_Conditions[N])</f>
        <v>9</v>
      </c>
      <c r="B33" s="28" t="s">
        <v>353</v>
      </c>
      <c r="C33" s="34" t="b">
        <v>0</v>
      </c>
      <c r="D33" s="30" t="s">
        <v>354</v>
      </c>
      <c r="E33" s="35" t="s">
        <v>281</v>
      </c>
      <c r="F33" s="33" t="s">
        <v>281</v>
      </c>
      <c r="G33" s="35" t="s">
        <v>218</v>
      </c>
      <c r="H33" s="35" t="s">
        <v>207</v>
      </c>
      <c r="I33" s="36" t="s">
        <v>275</v>
      </c>
      <c r="J33" s="35" t="s">
        <v>337</v>
      </c>
      <c r="K33" s="33" t="s">
        <v>267</v>
      </c>
    </row>
    <row r="34">
      <c r="A34" s="28">
        <f>ROW()-ROW(Table_Unchain_Conditions[N])</f>
        <v>10</v>
      </c>
      <c r="B34" s="28" t="s">
        <v>355</v>
      </c>
      <c r="C34" s="34" t="b">
        <v>1</v>
      </c>
      <c r="D34" s="30" t="s">
        <v>345</v>
      </c>
      <c r="E34" s="35" t="s">
        <v>267</v>
      </c>
      <c r="F34" s="33" t="s">
        <v>283</v>
      </c>
      <c r="G34" s="35" t="s">
        <v>227</v>
      </c>
      <c r="H34" s="35" t="s">
        <v>207</v>
      </c>
      <c r="I34" s="36" t="s">
        <v>268</v>
      </c>
      <c r="J34" s="35" t="s">
        <v>337</v>
      </c>
      <c r="K34" s="33" t="s">
        <v>267</v>
      </c>
    </row>
    <row r="35">
      <c r="A35" s="28">
        <f>ROW()-ROW(Table_Unchain_Conditions[N])</f>
        <v>11</v>
      </c>
      <c r="B35" s="28" t="s">
        <v>356</v>
      </c>
      <c r="C35" s="34" t="b">
        <v>1</v>
      </c>
      <c r="D35" s="30" t="s">
        <v>349</v>
      </c>
      <c r="E35" s="35" t="s">
        <v>267</v>
      </c>
      <c r="F35" s="33" t="s">
        <v>283</v>
      </c>
      <c r="G35" s="35" t="s">
        <v>223</v>
      </c>
      <c r="H35" s="35" t="s">
        <v>207</v>
      </c>
      <c r="I35" s="36" t="s">
        <v>268</v>
      </c>
      <c r="J35" s="35" t="s">
        <v>337</v>
      </c>
      <c r="K35" s="33" t="s">
        <v>267</v>
      </c>
    </row>
    <row r="36">
      <c r="A36" s="28">
        <f>ROW()-ROW(Table_Unchain_Conditions[N])</f>
        <v>12</v>
      </c>
      <c r="B36" s="28" t="s">
        <v>357</v>
      </c>
      <c r="C36" s="34" t="b">
        <v>1</v>
      </c>
      <c r="D36" s="30" t="s">
        <v>345</v>
      </c>
      <c r="E36" s="35" t="s">
        <v>312</v>
      </c>
      <c r="F36" s="33" t="s">
        <v>283</v>
      </c>
      <c r="G36" s="35" t="s">
        <v>251</v>
      </c>
      <c r="H36" s="35" t="s">
        <v>207</v>
      </c>
      <c r="I36" s="36" t="s">
        <v>268</v>
      </c>
      <c r="J36" s="35" t="s">
        <v>337</v>
      </c>
      <c r="K36" s="33" t="s">
        <v>267</v>
      </c>
    </row>
    <row r="37">
      <c r="A37" s="28">
        <f>ROW()-ROW(Table_Unchain_Conditions[N])</f>
        <v>13</v>
      </c>
      <c r="B37" s="28" t="s">
        <v>358</v>
      </c>
      <c r="C37" s="34" t="b">
        <v>1</v>
      </c>
      <c r="D37" s="30" t="s">
        <v>345</v>
      </c>
      <c r="E37" s="35" t="s">
        <v>267</v>
      </c>
      <c r="F37" s="33" t="s">
        <v>282</v>
      </c>
      <c r="G37" s="35" t="s">
        <v>223</v>
      </c>
      <c r="H37" s="35" t="s">
        <v>207</v>
      </c>
      <c r="I37" s="36" t="s">
        <v>268</v>
      </c>
      <c r="J37" s="35" t="s">
        <v>337</v>
      </c>
      <c r="K37" s="33" t="s">
        <v>267</v>
      </c>
    </row>
    <row r="38">
      <c r="A38" s="28">
        <f>ROW()-ROW(Table_Unchain_Conditions[N])</f>
        <v>14</v>
      </c>
      <c r="B38" s="28" t="s">
        <v>359</v>
      </c>
      <c r="C38" s="34" t="b">
        <v>1</v>
      </c>
      <c r="D38" s="30" t="s">
        <v>349</v>
      </c>
      <c r="E38" s="35" t="s">
        <v>267</v>
      </c>
      <c r="F38" s="33" t="s">
        <v>282</v>
      </c>
      <c r="G38" s="35" t="s">
        <v>227</v>
      </c>
      <c r="H38" s="35" t="s">
        <v>207</v>
      </c>
      <c r="I38" s="36" t="s">
        <v>268</v>
      </c>
      <c r="J38" s="35" t="s">
        <v>337</v>
      </c>
      <c r="K38" s="33" t="s">
        <v>267</v>
      </c>
    </row>
    <row r="39">
      <c r="A39" s="28">
        <f>ROW()-ROW(Table_Unchain_Conditions[N])</f>
        <v>15</v>
      </c>
      <c r="B39" s="28" t="s">
        <v>360</v>
      </c>
      <c r="C39" s="34" t="b">
        <v>1</v>
      </c>
      <c r="D39" s="30" t="s">
        <v>349</v>
      </c>
      <c r="E39" s="35" t="s">
        <v>312</v>
      </c>
      <c r="F39" s="33" t="s">
        <v>282</v>
      </c>
      <c r="G39" s="35" t="s">
        <v>251</v>
      </c>
      <c r="H39" s="35" t="s">
        <v>207</v>
      </c>
      <c r="I39" s="36" t="s">
        <v>268</v>
      </c>
      <c r="J39" s="35" t="s">
        <v>337</v>
      </c>
      <c r="K39" s="33" t="s">
        <v>267</v>
      </c>
    </row>
    <row r="40">
      <c r="A40" s="28">
        <f>ROW()-ROW(Table_Unchain_Conditions[N])</f>
        <v>16</v>
      </c>
      <c r="B40" s="28" t="s">
        <v>361</v>
      </c>
      <c r="C40" s="34" t="b">
        <v>0</v>
      </c>
      <c r="D40" s="30" t="s">
        <v>339</v>
      </c>
      <c r="E40" s="35" t="s">
        <v>291</v>
      </c>
      <c r="F40" s="33" t="s">
        <v>291</v>
      </c>
      <c r="G40" s="35" t="s">
        <v>204</v>
      </c>
      <c r="H40" s="35" t="s">
        <v>207</v>
      </c>
      <c r="I40" s="36" t="s">
        <v>268</v>
      </c>
      <c r="J40" s="35" t="s">
        <v>362</v>
      </c>
      <c r="K40" s="33" t="s">
        <v>267</v>
      </c>
    </row>
    <row r="41">
      <c r="A41" s="28">
        <f>ROW()-ROW(Table_Unchain_Conditions[N])</f>
        <v>17</v>
      </c>
      <c r="B41" s="37" t="s">
        <v>363</v>
      </c>
      <c r="C41" s="38" t="b">
        <v>0</v>
      </c>
      <c r="D41" s="35" t="s">
        <v>352</v>
      </c>
      <c r="E41" s="35" t="s">
        <v>267</v>
      </c>
      <c r="F41" s="33" t="s">
        <v>312</v>
      </c>
      <c r="G41" s="35" t="s">
        <v>251</v>
      </c>
      <c r="H41" s="35" t="s">
        <v>207</v>
      </c>
      <c r="I41" s="36" t="s">
        <v>268</v>
      </c>
      <c r="J41" s="35" t="s">
        <v>337</v>
      </c>
      <c r="K41" s="33" t="s">
        <v>267</v>
      </c>
    </row>
    <row r="42">
      <c r="A42" s="28">
        <f>ROW()-ROW(Table_Unchain_Conditions[N])</f>
        <v>18</v>
      </c>
      <c r="B42" s="37" t="s">
        <v>364</v>
      </c>
      <c r="C42" s="38" t="b">
        <v>0</v>
      </c>
      <c r="D42" s="35" t="s">
        <v>354</v>
      </c>
      <c r="E42" s="35" t="s">
        <v>312</v>
      </c>
      <c r="F42" s="33" t="s">
        <v>312</v>
      </c>
      <c r="G42" s="35" t="s">
        <v>251</v>
      </c>
      <c r="H42" s="35" t="s">
        <v>207</v>
      </c>
      <c r="I42" s="36" t="s">
        <v>275</v>
      </c>
      <c r="J42" s="35" t="s">
        <v>337</v>
      </c>
      <c r="K42" s="33" t="s">
        <v>267</v>
      </c>
    </row>
  </sheetData>
  <dataValidations>
    <dataValidation type="list" allowBlank="1" sqref="J2:J21">
      <formula1>#REF!</formula1>
    </dataValidation>
    <dataValidation type="list" allowBlank="1" sqref="H2:H21">
      <formula1>#REF!</formula1>
    </dataValidation>
    <dataValidation type="list" allowBlank="1" sqref="C2:C21">
      <formula1>#REF!</formula1>
    </dataValidation>
    <dataValidation type="list" allowBlank="1" sqref="K24:K42">
      <formula1>#REF!</formula1>
    </dataValidation>
    <dataValidation type="list" allowBlank="1" sqref="E24:E42">
      <formula1>#REF!</formula1>
    </dataValidation>
    <dataValidation type="list" allowBlank="1" sqref="F24:F42">
      <formula1>#REF!</formula1>
    </dataValidation>
    <dataValidation type="list" allowBlank="1" sqref="D2:G21 D24:D42 G24:J42">
      <formula1>#REF!</formula1>
    </dataValidation>
    <dataValidation type="list" allowBlank="1" sqref="I2:I21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9" t="s">
        <v>0</v>
      </c>
      <c r="B1" s="19" t="s">
        <v>365</v>
      </c>
      <c r="C1" s="19" t="s">
        <v>366</v>
      </c>
    </row>
    <row r="2">
      <c r="A2" s="28">
        <f>ROW()-ROW(Table_sprites[N])</f>
        <v>0</v>
      </c>
      <c r="B2" s="28" t="s">
        <v>207</v>
      </c>
    </row>
    <row r="3">
      <c r="A3" s="28">
        <f>ROW()-ROW(Table_sprites[N])</f>
        <v>1</v>
      </c>
      <c r="B3" s="28" t="s">
        <v>225</v>
      </c>
      <c r="C3" s="28" t="s">
        <v>367</v>
      </c>
    </row>
    <row r="4">
      <c r="A4" s="28">
        <f>ROW()-ROW(Table_sprites[N])</f>
        <v>2</v>
      </c>
      <c r="B4" s="28" t="s">
        <v>368</v>
      </c>
      <c r="C4" s="28" t="s">
        <v>369</v>
      </c>
    </row>
    <row r="5">
      <c r="A5" s="28">
        <f>ROW()-ROW(Table_sprites[N])</f>
        <v>3</v>
      </c>
      <c r="B5" s="28" t="s">
        <v>370</v>
      </c>
      <c r="C5" s="28" t="s">
        <v>371</v>
      </c>
    </row>
    <row r="6">
      <c r="A6" s="28">
        <f>ROW()-ROW(Table_sprites[N])</f>
        <v>4</v>
      </c>
      <c r="B6" s="28" t="s">
        <v>372</v>
      </c>
      <c r="C6" s="28" t="s">
        <v>373</v>
      </c>
    </row>
    <row r="7">
      <c r="A7" s="28">
        <f>ROW()-ROW(Table_sprites[N])</f>
        <v>5</v>
      </c>
      <c r="B7" s="28" t="s">
        <v>374</v>
      </c>
      <c r="C7" s="28" t="s">
        <v>375</v>
      </c>
    </row>
    <row r="8">
      <c r="A8" s="28">
        <f>ROW()-ROW(Table_sprites[N])</f>
        <v>6</v>
      </c>
      <c r="B8" s="28" t="s">
        <v>376</v>
      </c>
      <c r="C8" s="28" t="s">
        <v>377</v>
      </c>
    </row>
    <row r="9">
      <c r="A9" s="28">
        <f>ROW()-ROW(Table_sprites[N])</f>
        <v>7</v>
      </c>
      <c r="B9" s="28" t="s">
        <v>378</v>
      </c>
      <c r="C9" s="28" t="s">
        <v>379</v>
      </c>
    </row>
    <row r="10">
      <c r="A10" s="28">
        <f>ROW()-ROW(Table_sprites[N])</f>
        <v>8</v>
      </c>
      <c r="B10" s="28" t="s">
        <v>380</v>
      </c>
      <c r="C10" s="28" t="s">
        <v>381</v>
      </c>
    </row>
    <row r="11">
      <c r="A11" s="28">
        <f>ROW()-ROW(Table_sprites[N])</f>
        <v>9</v>
      </c>
      <c r="B11" s="28" t="s">
        <v>382</v>
      </c>
      <c r="C11" s="28" t="s">
        <v>383</v>
      </c>
    </row>
    <row r="12">
      <c r="A12" s="28">
        <f>ROW()-ROW(Table_sprites[N])</f>
        <v>10</v>
      </c>
      <c r="B12" s="28" t="s">
        <v>384</v>
      </c>
      <c r="C12" s="28" t="s">
        <v>385</v>
      </c>
    </row>
    <row r="13">
      <c r="A13" s="28">
        <f>ROW()-ROW(Table_sprites[N])</f>
        <v>11</v>
      </c>
      <c r="B13" s="28" t="s">
        <v>386</v>
      </c>
      <c r="C13" s="28" t="s">
        <v>387</v>
      </c>
    </row>
    <row r="14">
      <c r="A14" s="28">
        <f>ROW()-ROW(Table_sprites[N])</f>
        <v>12</v>
      </c>
      <c r="B14" s="28" t="s">
        <v>216</v>
      </c>
      <c r="C14" s="28" t="s">
        <v>388</v>
      </c>
    </row>
    <row r="15">
      <c r="A15" s="28">
        <f>ROW()-ROW(Table_sprites[N])</f>
        <v>13</v>
      </c>
      <c r="B15" s="28" t="s">
        <v>343</v>
      </c>
      <c r="C15" s="28" t="s">
        <v>389</v>
      </c>
    </row>
    <row r="16">
      <c r="A16" s="28">
        <f>ROW()-ROW(Table_sprites[N])</f>
        <v>14</v>
      </c>
      <c r="B16" s="28" t="s">
        <v>220</v>
      </c>
      <c r="C16" s="28" t="s">
        <v>390</v>
      </c>
    </row>
    <row r="17">
      <c r="A17" s="28">
        <f>ROW()-ROW(Table_sprites[N])</f>
        <v>15</v>
      </c>
      <c r="B17" s="28" t="s">
        <v>221</v>
      </c>
      <c r="C17" s="28" t="s">
        <v>391</v>
      </c>
    </row>
    <row r="18">
      <c r="A18" s="28">
        <f>ROW()-ROW(Table_sprites[N])</f>
        <v>16</v>
      </c>
      <c r="B18" s="28" t="s">
        <v>392</v>
      </c>
      <c r="C18" s="28" t="s">
        <v>393</v>
      </c>
    </row>
    <row r="19">
      <c r="A19" s="28">
        <f>ROW()-ROW(Table_sprites[N])</f>
        <v>17</v>
      </c>
      <c r="B19" s="28" t="s">
        <v>228</v>
      </c>
      <c r="C19" s="28" t="s">
        <v>394</v>
      </c>
    </row>
    <row r="20">
      <c r="A20" s="28">
        <f>ROW()-ROW(Table_sprites[N])</f>
        <v>18</v>
      </c>
      <c r="B20" s="28" t="s">
        <v>395</v>
      </c>
      <c r="C20" s="28" t="s">
        <v>396</v>
      </c>
    </row>
    <row r="21">
      <c r="A21" s="28">
        <f>ROW()-ROW(Table_sprites[N])</f>
        <v>19</v>
      </c>
      <c r="B21" s="28" t="s">
        <v>236</v>
      </c>
      <c r="C21" s="28" t="s">
        <v>397</v>
      </c>
    </row>
    <row r="22">
      <c r="A22" s="28">
        <f>ROW()-ROW(Table_sprites[N])</f>
        <v>20</v>
      </c>
      <c r="B22" s="28" t="s">
        <v>398</v>
      </c>
      <c r="C22" s="28" t="s">
        <v>399</v>
      </c>
    </row>
    <row r="23">
      <c r="A23" s="28">
        <f>ROW()-ROW(Table_sprites[N])</f>
        <v>21</v>
      </c>
      <c r="B23" s="28" t="s">
        <v>400</v>
      </c>
      <c r="C23" s="28" t="s">
        <v>401</v>
      </c>
    </row>
    <row r="24">
      <c r="A24" s="28">
        <f>ROW()-ROW(Table_sprites[N])</f>
        <v>22</v>
      </c>
      <c r="B24" s="28" t="s">
        <v>402</v>
      </c>
      <c r="C24" s="28" t="s">
        <v>403</v>
      </c>
    </row>
    <row r="25">
      <c r="A25" s="28">
        <f>ROW()-ROW(Table_sprites[N])</f>
        <v>23</v>
      </c>
      <c r="B25" s="28" t="s">
        <v>253</v>
      </c>
      <c r="C25" s="28" t="s">
        <v>404</v>
      </c>
    </row>
    <row r="26">
      <c r="A26" s="28">
        <f>ROW()-ROW(Table_sprites[N])</f>
        <v>24</v>
      </c>
      <c r="B26" s="28" t="s">
        <v>257</v>
      </c>
      <c r="C26" s="28" t="s">
        <v>257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9.0"/>
    <col customWidth="1" min="3" max="3" width="43.71"/>
    <col customWidth="1" min="4" max="4" width="46.71"/>
    <col customWidth="1" min="5" max="5" width="31.29"/>
    <col customWidth="1" min="6" max="6" width="50.57"/>
    <col customWidth="1" min="7" max="8" width="21.29"/>
    <col customWidth="1" min="9" max="10" width="32.57"/>
  </cols>
  <sheetData>
    <row r="1">
      <c r="A1" s="19" t="s">
        <v>0</v>
      </c>
      <c r="B1" s="19" t="s">
        <v>405</v>
      </c>
      <c r="C1" s="21" t="s">
        <v>406</v>
      </c>
      <c r="D1" s="21" t="s">
        <v>407</v>
      </c>
    </row>
    <row r="2">
      <c r="A2" s="28">
        <f>ROW()-ROW(Table_Dialogs[N])</f>
        <v>0</v>
      </c>
      <c r="B2" s="28" t="s">
        <v>271</v>
      </c>
      <c r="C2" s="33" t="s">
        <v>204</v>
      </c>
      <c r="D2" s="31" t="s">
        <v>408</v>
      </c>
    </row>
    <row r="3">
      <c r="A3" s="28">
        <f>ROW()-ROW(Table_Dialogs[N])</f>
        <v>1</v>
      </c>
      <c r="B3" s="28" t="s">
        <v>289</v>
      </c>
      <c r="C3" s="33" t="s">
        <v>204</v>
      </c>
      <c r="D3" s="31" t="s">
        <v>409</v>
      </c>
    </row>
    <row r="4">
      <c r="A4" s="28">
        <f>ROW()-ROW(Table_Dialogs[N])</f>
        <v>2</v>
      </c>
      <c r="B4" s="28" t="s">
        <v>286</v>
      </c>
      <c r="C4" s="33" t="s">
        <v>204</v>
      </c>
      <c r="D4" s="33" t="s">
        <v>410</v>
      </c>
    </row>
    <row r="5">
      <c r="A5" s="28">
        <f>ROW()-ROW(Table_Dialogs[N])</f>
        <v>3</v>
      </c>
      <c r="B5" s="28" t="s">
        <v>411</v>
      </c>
      <c r="C5" s="33" t="s">
        <v>204</v>
      </c>
      <c r="D5" s="33" t="s">
        <v>412</v>
      </c>
    </row>
    <row r="6">
      <c r="A6" s="28">
        <f>ROW()-ROW(Table_Dialogs[N])</f>
        <v>4</v>
      </c>
      <c r="B6" s="28" t="s">
        <v>323</v>
      </c>
      <c r="C6" s="33" t="s">
        <v>204</v>
      </c>
      <c r="D6" s="33" t="s">
        <v>413</v>
      </c>
    </row>
    <row r="7">
      <c r="A7" s="28">
        <f>ROW()-ROW(Table_Dialogs[N])</f>
        <v>5</v>
      </c>
      <c r="B7" s="28" t="s">
        <v>414</v>
      </c>
      <c r="C7" s="33" t="s">
        <v>204</v>
      </c>
      <c r="D7" s="31" t="s">
        <v>408</v>
      </c>
    </row>
    <row r="9">
      <c r="A9" s="19" t="s">
        <v>0</v>
      </c>
      <c r="B9" s="19" t="s">
        <v>415</v>
      </c>
      <c r="C9" s="19" t="s">
        <v>259</v>
      </c>
      <c r="D9" s="21" t="s">
        <v>416</v>
      </c>
      <c r="E9" s="21" t="s">
        <v>417</v>
      </c>
      <c r="F9" s="21" t="s">
        <v>418</v>
      </c>
    </row>
    <row r="10">
      <c r="A10" s="28">
        <f>ROW()-ROW(Table_Dialog_Options[N])</f>
        <v>0</v>
      </c>
      <c r="B10" s="28" t="s">
        <v>408</v>
      </c>
      <c r="C10" s="29" t="s">
        <v>267</v>
      </c>
      <c r="D10" s="29" t="s">
        <v>267</v>
      </c>
      <c r="E10" s="30" t="s">
        <v>271</v>
      </c>
      <c r="F10" s="29" t="s">
        <v>272</v>
      </c>
    </row>
    <row r="11">
      <c r="A11" s="28">
        <f>ROW()-ROW(Table_Dialog_Options[N])</f>
        <v>1</v>
      </c>
      <c r="B11" s="28" t="s">
        <v>409</v>
      </c>
      <c r="C11" s="29" t="s">
        <v>267</v>
      </c>
      <c r="D11" s="29" t="s">
        <v>267</v>
      </c>
      <c r="E11" s="30" t="s">
        <v>271</v>
      </c>
      <c r="F11" s="29" t="s">
        <v>272</v>
      </c>
    </row>
    <row r="12">
      <c r="A12" s="28">
        <f>ROW()-ROW(Table_Dialog_Options[N])</f>
        <v>2</v>
      </c>
      <c r="B12" s="28" t="s">
        <v>410</v>
      </c>
      <c r="C12" s="32" t="s">
        <v>267</v>
      </c>
      <c r="D12" s="32" t="s">
        <v>267</v>
      </c>
      <c r="E12" s="30" t="s">
        <v>411</v>
      </c>
      <c r="F12" s="32" t="s">
        <v>419</v>
      </c>
    </row>
    <row r="13">
      <c r="A13" s="28">
        <f>ROW()-ROW(Table_Dialog_Options[N])</f>
        <v>3</v>
      </c>
      <c r="B13" s="28" t="s">
        <v>420</v>
      </c>
      <c r="C13" s="32" t="s">
        <v>267</v>
      </c>
      <c r="D13" s="32" t="s">
        <v>267</v>
      </c>
      <c r="E13" s="30" t="s">
        <v>411</v>
      </c>
      <c r="F13" s="32" t="s">
        <v>421</v>
      </c>
    </row>
    <row r="14">
      <c r="A14" s="28">
        <f>ROW()-ROW(Table_Dialog_Options[N])</f>
        <v>4</v>
      </c>
      <c r="B14" s="28" t="s">
        <v>422</v>
      </c>
      <c r="C14" s="32" t="s">
        <v>267</v>
      </c>
      <c r="D14" s="32" t="s">
        <v>267</v>
      </c>
      <c r="E14" s="30" t="s">
        <v>271</v>
      </c>
      <c r="F14" s="32" t="s">
        <v>423</v>
      </c>
    </row>
    <row r="15">
      <c r="A15" s="28">
        <f>ROW()-ROW(Table_Dialog_Options[N])</f>
        <v>5</v>
      </c>
      <c r="B15" s="28" t="s">
        <v>413</v>
      </c>
      <c r="C15" s="32" t="s">
        <v>267</v>
      </c>
      <c r="D15" s="32" t="s">
        <v>267</v>
      </c>
      <c r="E15" s="30" t="s">
        <v>271</v>
      </c>
      <c r="F15" s="32" t="s">
        <v>424</v>
      </c>
    </row>
    <row r="16">
      <c r="A16" s="28">
        <f>ROW()-ROW(Table_Dialog_Options[N])</f>
        <v>6</v>
      </c>
      <c r="B16" s="28" t="s">
        <v>425</v>
      </c>
      <c r="C16" s="29" t="s">
        <v>267</v>
      </c>
      <c r="D16" s="29" t="s">
        <v>267</v>
      </c>
      <c r="E16" s="30" t="s">
        <v>271</v>
      </c>
      <c r="F16" s="29" t="s">
        <v>272</v>
      </c>
    </row>
    <row r="18">
      <c r="A18" s="39"/>
      <c r="B18" s="39"/>
      <c r="C18" s="39"/>
      <c r="D18" s="39"/>
      <c r="E18" s="39"/>
      <c r="F18" s="39"/>
    </row>
    <row r="19">
      <c r="A19" s="39"/>
      <c r="B19" s="39"/>
      <c r="C19" s="39"/>
      <c r="D19" s="39"/>
      <c r="E19" s="39"/>
      <c r="F19" s="39"/>
    </row>
    <row r="20">
      <c r="A20" s="39"/>
      <c r="B20" s="39"/>
      <c r="C20" s="39"/>
      <c r="D20" s="39"/>
      <c r="E20" s="39"/>
      <c r="F20" s="39"/>
    </row>
    <row r="21">
      <c r="A21" s="39"/>
      <c r="B21" s="39"/>
      <c r="C21" s="39"/>
      <c r="D21" s="39"/>
      <c r="E21" s="39"/>
      <c r="F21" s="39"/>
    </row>
    <row r="22">
      <c r="A22" s="39"/>
      <c r="B22" s="39"/>
      <c r="C22" s="39"/>
      <c r="D22" s="39"/>
      <c r="E22" s="39"/>
      <c r="F22" s="39"/>
    </row>
    <row r="23">
      <c r="A23" s="39"/>
      <c r="B23" s="39"/>
      <c r="C23" s="39"/>
      <c r="D23" s="39"/>
      <c r="E23" s="39"/>
      <c r="F23" s="39"/>
    </row>
  </sheetData>
  <dataValidations>
    <dataValidation type="list" allowBlank="1" sqref="C2:C7">
      <formula1>#REF!</formula1>
    </dataValidation>
    <dataValidation type="list" allowBlank="1" sqref="F10:F16">
      <formula1>#REF!</formula1>
    </dataValidation>
    <dataValidation type="list" allowBlank="1" sqref="E10:E16">
      <formula1>Table_Dialogs[DIALOG_ID]</formula1>
    </dataValidation>
    <dataValidation type="list" allowBlank="1" sqref="C10:C16">
      <formula1>#REF!</formula1>
    </dataValidation>
    <dataValidation type="list" allowBlank="1" sqref="D2:D7">
      <formula1>#REF!</formula1>
    </dataValidation>
    <dataValidation type="list" allowBlank="1" sqref="D10:D16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26.43"/>
    <col customWidth="1" min="4" max="4" width="35.43"/>
  </cols>
  <sheetData>
    <row r="1">
      <c r="A1" s="40" t="s">
        <v>0</v>
      </c>
      <c r="B1" s="41" t="s">
        <v>426</v>
      </c>
      <c r="C1" s="40" t="s">
        <v>427</v>
      </c>
      <c r="D1" s="40" t="s">
        <v>428</v>
      </c>
    </row>
    <row r="2">
      <c r="A2" s="22">
        <f>ROW()-ROW(Table_Name[NAME_ID])</f>
        <v>0</v>
      </c>
      <c r="B2" s="22" t="s">
        <v>205</v>
      </c>
      <c r="C2" s="42"/>
      <c r="D2" s="42"/>
    </row>
    <row r="3">
      <c r="A3" s="22">
        <f>ROW()-ROW(Table_Name[NAME_ID])</f>
        <v>1</v>
      </c>
      <c r="B3" s="22" t="s">
        <v>210</v>
      </c>
      <c r="C3" s="22" t="s">
        <v>429</v>
      </c>
      <c r="D3" s="22" t="s">
        <v>429</v>
      </c>
    </row>
    <row r="4">
      <c r="A4" s="22">
        <f>ROW()-ROW(Table_Name[NAME_ID])</f>
        <v>2</v>
      </c>
      <c r="B4" s="22" t="s">
        <v>430</v>
      </c>
      <c r="C4" s="22" t="s">
        <v>431</v>
      </c>
      <c r="D4" s="22" t="s">
        <v>432</v>
      </c>
    </row>
    <row r="5">
      <c r="A5" s="22">
        <f>ROW()-ROW(Table_Name[NAME_ID])</f>
        <v>3</v>
      </c>
      <c r="B5" s="22" t="s">
        <v>433</v>
      </c>
      <c r="C5" s="22" t="s">
        <v>434</v>
      </c>
      <c r="D5" s="22" t="s">
        <v>435</v>
      </c>
    </row>
    <row r="6">
      <c r="A6" s="22">
        <f>ROW()-ROW(Table_Name[NAME_ID])</f>
        <v>4</v>
      </c>
      <c r="B6" s="22" t="s">
        <v>436</v>
      </c>
      <c r="C6" s="22" t="s">
        <v>437</v>
      </c>
      <c r="D6" s="22" t="s">
        <v>438</v>
      </c>
    </row>
    <row r="7">
      <c r="A7" s="22">
        <f>ROW()-ROW(Table_Name[NAME_ID])</f>
        <v>5</v>
      </c>
      <c r="B7" s="22" t="s">
        <v>213</v>
      </c>
      <c r="C7" s="22" t="s">
        <v>439</v>
      </c>
      <c r="D7" s="22" t="s">
        <v>440</v>
      </c>
    </row>
    <row r="8">
      <c r="A8" s="22">
        <f>ROW()-ROW(Table_Name[NAME_ID])</f>
        <v>6</v>
      </c>
      <c r="B8" s="22" t="s">
        <v>234</v>
      </c>
      <c r="C8" s="22" t="s">
        <v>441</v>
      </c>
      <c r="D8" s="22" t="s">
        <v>441</v>
      </c>
    </row>
    <row r="9">
      <c r="A9" s="22">
        <f>ROW()-ROW(Table_Name[NAME_ID])</f>
        <v>7</v>
      </c>
      <c r="B9" s="22" t="s">
        <v>241</v>
      </c>
      <c r="C9" s="22" t="s">
        <v>442</v>
      </c>
      <c r="D9" s="22" t="s">
        <v>443</v>
      </c>
    </row>
    <row r="10">
      <c r="A10" s="22">
        <f>ROW()-ROW(Table_Name[NAME_ID])</f>
        <v>8</v>
      </c>
      <c r="B10" s="22" t="s">
        <v>219</v>
      </c>
      <c r="C10" s="22" t="s">
        <v>444</v>
      </c>
      <c r="D10" s="22" t="s">
        <v>445</v>
      </c>
    </row>
    <row r="11">
      <c r="A11" s="22">
        <f>ROW()-ROW(Table_Name[NAME_ID])</f>
        <v>9</v>
      </c>
      <c r="B11" s="22" t="s">
        <v>446</v>
      </c>
      <c r="C11" s="22" t="s">
        <v>447</v>
      </c>
      <c r="D11" s="22" t="s">
        <v>448</v>
      </c>
    </row>
    <row r="12">
      <c r="A12" s="22">
        <f>ROW()-ROW(Table_Name[NAME_ID])</f>
        <v>10</v>
      </c>
      <c r="B12" s="22" t="s">
        <v>449</v>
      </c>
      <c r="C12" s="22" t="s">
        <v>450</v>
      </c>
      <c r="D12" s="22" t="s">
        <v>451</v>
      </c>
    </row>
    <row r="13">
      <c r="A13" s="22">
        <f>ROW()-ROW(Table_Name[NAME_ID])</f>
        <v>11</v>
      </c>
      <c r="B13" s="22" t="s">
        <v>224</v>
      </c>
      <c r="C13" s="22" t="s">
        <v>452</v>
      </c>
      <c r="D13" s="22" t="s">
        <v>453</v>
      </c>
    </row>
    <row r="14">
      <c r="A14" s="22">
        <f>ROW()-ROW(Table_Name[NAME_ID])</f>
        <v>12</v>
      </c>
      <c r="B14" s="22" t="s">
        <v>231</v>
      </c>
      <c r="C14" s="22" t="s">
        <v>454</v>
      </c>
      <c r="D14" s="22" t="s">
        <v>455</v>
      </c>
    </row>
    <row r="15">
      <c r="A15" s="22">
        <f>ROW()-ROW(Table_Name[NAME_ID])</f>
        <v>13</v>
      </c>
      <c r="B15" s="22" t="s">
        <v>456</v>
      </c>
      <c r="C15" s="22" t="s">
        <v>457</v>
      </c>
      <c r="D15" s="22" t="s">
        <v>458</v>
      </c>
    </row>
    <row r="16">
      <c r="A16" s="22">
        <f>ROW()-ROW(Table_Name[NAME_ID])</f>
        <v>14</v>
      </c>
      <c r="B16" s="22" t="s">
        <v>244</v>
      </c>
      <c r="C16" s="22" t="s">
        <v>459</v>
      </c>
      <c r="D16" s="22" t="s">
        <v>460</v>
      </c>
    </row>
    <row r="17">
      <c r="A17" s="22">
        <f>ROW()-ROW(Table_Name[NAME_ID])</f>
        <v>15</v>
      </c>
      <c r="B17" s="22" t="s">
        <v>249</v>
      </c>
      <c r="C17" s="22" t="s">
        <v>461</v>
      </c>
      <c r="D17" s="22" t="s">
        <v>462</v>
      </c>
    </row>
    <row r="18">
      <c r="A18" s="22">
        <f>ROW()-ROW(Table_Name[NAME_ID])</f>
        <v>16</v>
      </c>
      <c r="B18" s="22" t="s">
        <v>252</v>
      </c>
      <c r="C18" s="22" t="s">
        <v>463</v>
      </c>
      <c r="D18" s="22" t="s">
        <v>464</v>
      </c>
    </row>
    <row r="19">
      <c r="A19" s="22">
        <f>ROW()-ROW(Table_Name[NAME_ID])</f>
        <v>17</v>
      </c>
      <c r="B19" s="22" t="s">
        <v>256</v>
      </c>
      <c r="C19" s="22" t="s">
        <v>465</v>
      </c>
      <c r="D19" s="22" t="s">
        <v>466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2.57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9" t="s">
        <v>0</v>
      </c>
      <c r="B1" s="19" t="s">
        <v>467</v>
      </c>
      <c r="C1" s="20" t="s">
        <v>468</v>
      </c>
      <c r="D1" s="19" t="s">
        <v>469</v>
      </c>
      <c r="E1" s="21" t="s">
        <v>470</v>
      </c>
      <c r="F1" s="19" t="s">
        <v>471</v>
      </c>
      <c r="G1" s="43" t="s">
        <v>472</v>
      </c>
    </row>
    <row r="2">
      <c r="A2" s="28">
        <f>ROW()-ROW(Table_Phrases[N])</f>
        <v>0</v>
      </c>
      <c r="B2" s="28" t="s">
        <v>272</v>
      </c>
      <c r="C2" s="28">
        <v>0.0</v>
      </c>
      <c r="D2" s="28">
        <v>0.0</v>
      </c>
      <c r="E2" s="35" t="s">
        <v>473</v>
      </c>
      <c r="F2" s="44"/>
      <c r="G2" s="29"/>
    </row>
    <row r="3">
      <c r="A3" s="28">
        <f>ROW()-ROW(Table_Phrases[N])</f>
        <v>1</v>
      </c>
      <c r="B3" s="28" t="s">
        <v>474</v>
      </c>
      <c r="C3" s="28">
        <v>0.0</v>
      </c>
      <c r="D3" s="28">
        <v>0.0</v>
      </c>
      <c r="E3" s="35" t="s">
        <v>475</v>
      </c>
      <c r="F3" s="29" t="s">
        <v>476</v>
      </c>
      <c r="G3" s="29" t="s">
        <v>477</v>
      </c>
    </row>
    <row r="4">
      <c r="A4" s="28">
        <f>ROW()-ROW(Table_Phrases[N])</f>
        <v>2</v>
      </c>
      <c r="B4" s="28" t="s">
        <v>478</v>
      </c>
      <c r="C4" s="28">
        <v>0.0</v>
      </c>
      <c r="D4" s="28">
        <v>0.0</v>
      </c>
      <c r="E4" s="35" t="s">
        <v>475</v>
      </c>
      <c r="F4" s="29" t="s">
        <v>479</v>
      </c>
      <c r="G4" s="29" t="s">
        <v>480</v>
      </c>
    </row>
    <row r="5">
      <c r="A5" s="28">
        <f>ROW()-ROW(Table_Phrases[N])</f>
        <v>3</v>
      </c>
      <c r="B5" s="28" t="s">
        <v>481</v>
      </c>
      <c r="C5" s="28">
        <v>0.0</v>
      </c>
      <c r="D5" s="28">
        <v>0.0</v>
      </c>
      <c r="E5" s="35" t="s">
        <v>475</v>
      </c>
      <c r="F5" s="29" t="s">
        <v>482</v>
      </c>
      <c r="G5" s="29" t="s">
        <v>483</v>
      </c>
    </row>
    <row r="6">
      <c r="A6" s="28">
        <f>ROW()-ROW(Table_Phrases[N])</f>
        <v>4</v>
      </c>
      <c r="B6" s="28" t="s">
        <v>484</v>
      </c>
      <c r="C6" s="28">
        <v>0.0</v>
      </c>
      <c r="D6" s="28">
        <v>0.0</v>
      </c>
      <c r="E6" s="35" t="s">
        <v>475</v>
      </c>
      <c r="F6" s="29" t="s">
        <v>485</v>
      </c>
      <c r="G6" s="29" t="s">
        <v>486</v>
      </c>
    </row>
    <row r="7">
      <c r="A7" s="28">
        <f>ROW()-ROW(Table_Phrases[N])</f>
        <v>5</v>
      </c>
      <c r="B7" s="28" t="s">
        <v>487</v>
      </c>
      <c r="C7" s="28">
        <v>0.0</v>
      </c>
      <c r="D7" s="28">
        <v>0.0</v>
      </c>
      <c r="E7" s="35" t="s">
        <v>475</v>
      </c>
      <c r="F7" s="29" t="s">
        <v>488</v>
      </c>
      <c r="G7" s="29" t="s">
        <v>489</v>
      </c>
    </row>
    <row r="8">
      <c r="A8" s="28">
        <f>ROW()-ROW(Table_Phrases[N])</f>
        <v>6</v>
      </c>
      <c r="B8" s="28" t="s">
        <v>310</v>
      </c>
      <c r="C8" s="28">
        <v>0.0</v>
      </c>
      <c r="D8" s="28">
        <v>0.0</v>
      </c>
      <c r="E8" s="35" t="s">
        <v>475</v>
      </c>
      <c r="F8" s="29" t="s">
        <v>490</v>
      </c>
      <c r="G8" s="29" t="s">
        <v>491</v>
      </c>
    </row>
    <row r="9">
      <c r="A9" s="28">
        <f>ROW()-ROW(Table_Phrases[N])</f>
        <v>7</v>
      </c>
      <c r="B9" s="28" t="s">
        <v>492</v>
      </c>
      <c r="C9" s="28">
        <v>0.0</v>
      </c>
      <c r="D9" s="28">
        <v>0.0</v>
      </c>
      <c r="E9" s="35" t="s">
        <v>475</v>
      </c>
      <c r="F9" s="29" t="s">
        <v>493</v>
      </c>
      <c r="G9" s="29" t="s">
        <v>494</v>
      </c>
    </row>
    <row r="10">
      <c r="A10" s="28">
        <f>ROW()-ROW(Table_Phrases[N])</f>
        <v>8</v>
      </c>
      <c r="B10" s="28" t="s">
        <v>495</v>
      </c>
      <c r="C10" s="28">
        <v>0.0</v>
      </c>
      <c r="D10" s="28">
        <v>0.0</v>
      </c>
      <c r="E10" s="35" t="s">
        <v>475</v>
      </c>
      <c r="F10" s="29" t="s">
        <v>496</v>
      </c>
      <c r="G10" s="29" t="s">
        <v>497</v>
      </c>
    </row>
    <row r="11">
      <c r="A11" s="28">
        <f>ROW()-ROW(Table_Phrases[N])</f>
        <v>9</v>
      </c>
      <c r="B11" s="28" t="s">
        <v>498</v>
      </c>
      <c r="C11" s="28">
        <v>1.0</v>
      </c>
      <c r="D11" s="28">
        <v>0.0</v>
      </c>
      <c r="E11" s="35" t="s">
        <v>475</v>
      </c>
      <c r="F11" s="29" t="s">
        <v>499</v>
      </c>
      <c r="G11" s="29" t="s">
        <v>500</v>
      </c>
    </row>
    <row r="12">
      <c r="A12" s="28">
        <f>ROW()-ROW(Table_Phrases[N])</f>
        <v>10</v>
      </c>
      <c r="B12" s="28" t="s">
        <v>501</v>
      </c>
      <c r="C12" s="28">
        <v>0.0</v>
      </c>
      <c r="D12" s="28">
        <v>0.0</v>
      </c>
      <c r="E12" s="35" t="s">
        <v>475</v>
      </c>
      <c r="F12" s="29" t="s">
        <v>502</v>
      </c>
      <c r="G12" s="29" t="s">
        <v>503</v>
      </c>
    </row>
    <row r="13">
      <c r="A13" s="28">
        <f>ROW()-ROW(Table_Phrases[N])</f>
        <v>11</v>
      </c>
      <c r="B13" s="28" t="s">
        <v>504</v>
      </c>
      <c r="C13" s="28">
        <v>0.0</v>
      </c>
      <c r="D13" s="28">
        <v>0.0</v>
      </c>
      <c r="E13" s="35" t="s">
        <v>475</v>
      </c>
      <c r="F13" s="29" t="s">
        <v>505</v>
      </c>
      <c r="G13" s="29" t="s">
        <v>506</v>
      </c>
    </row>
    <row r="14">
      <c r="A14" s="28">
        <f>ROW()-ROW(Table_Phrases[N])</f>
        <v>12</v>
      </c>
      <c r="B14" s="28" t="s">
        <v>507</v>
      </c>
      <c r="C14" s="28">
        <v>1.0</v>
      </c>
      <c r="D14" s="28">
        <v>0.0</v>
      </c>
      <c r="E14" s="35" t="s">
        <v>475</v>
      </c>
      <c r="F14" s="29" t="s">
        <v>508</v>
      </c>
      <c r="G14" s="29" t="s">
        <v>509</v>
      </c>
    </row>
    <row r="15">
      <c r="A15" s="28">
        <f>ROW()-ROW(Table_Phrases[N])</f>
        <v>13</v>
      </c>
      <c r="B15" s="28" t="s">
        <v>510</v>
      </c>
      <c r="C15" s="28">
        <v>1.0</v>
      </c>
      <c r="D15" s="28">
        <v>0.0</v>
      </c>
      <c r="E15" s="35" t="s">
        <v>475</v>
      </c>
      <c r="F15" s="29" t="s">
        <v>511</v>
      </c>
      <c r="G15" s="29" t="s">
        <v>512</v>
      </c>
    </row>
    <row r="16">
      <c r="A16" s="28">
        <f>ROW()-ROW(Table_Phrases[N])</f>
        <v>14</v>
      </c>
      <c r="B16" s="28" t="s">
        <v>423</v>
      </c>
      <c r="C16" s="28">
        <v>1.0</v>
      </c>
      <c r="D16" s="28">
        <v>0.0</v>
      </c>
      <c r="E16" s="35" t="s">
        <v>475</v>
      </c>
      <c r="F16" s="29" t="s">
        <v>513</v>
      </c>
      <c r="G16" s="29" t="s">
        <v>514</v>
      </c>
    </row>
    <row r="17">
      <c r="A17" s="28">
        <f>ROW()-ROW(Table_Phrases[N])</f>
        <v>15</v>
      </c>
      <c r="B17" s="28" t="s">
        <v>515</v>
      </c>
      <c r="C17" s="28">
        <v>0.0</v>
      </c>
      <c r="D17" s="28">
        <v>0.0</v>
      </c>
      <c r="E17" s="35" t="s">
        <v>475</v>
      </c>
      <c r="F17" s="29" t="s">
        <v>516</v>
      </c>
      <c r="G17" s="29" t="s">
        <v>517</v>
      </c>
    </row>
    <row r="18">
      <c r="A18" s="28">
        <f>ROW()-ROW(Table_Phrases[N])</f>
        <v>16</v>
      </c>
      <c r="B18" s="28" t="s">
        <v>290</v>
      </c>
      <c r="C18" s="28">
        <v>0.0</v>
      </c>
      <c r="D18" s="28">
        <v>0.0</v>
      </c>
      <c r="E18" s="35" t="s">
        <v>475</v>
      </c>
      <c r="F18" s="29" t="s">
        <v>518</v>
      </c>
      <c r="G18" s="29" t="s">
        <v>519</v>
      </c>
    </row>
    <row r="19">
      <c r="A19" s="28">
        <f>ROW()-ROW(Table_Phrases[N])</f>
        <v>17</v>
      </c>
      <c r="B19" s="28" t="s">
        <v>295</v>
      </c>
      <c r="C19" s="28">
        <v>0.0</v>
      </c>
      <c r="D19" s="28">
        <v>0.0</v>
      </c>
      <c r="E19" s="35" t="s">
        <v>475</v>
      </c>
      <c r="F19" s="29" t="s">
        <v>520</v>
      </c>
      <c r="G19" s="29" t="s">
        <v>521</v>
      </c>
    </row>
    <row r="20">
      <c r="A20" s="28">
        <f>ROW()-ROW(Table_Phrases[N])</f>
        <v>18</v>
      </c>
      <c r="B20" s="28" t="s">
        <v>298</v>
      </c>
      <c r="C20" s="28">
        <v>0.0</v>
      </c>
      <c r="D20" s="28">
        <v>0.0</v>
      </c>
      <c r="E20" s="35" t="s">
        <v>475</v>
      </c>
      <c r="F20" s="29" t="s">
        <v>522</v>
      </c>
      <c r="G20" s="29" t="s">
        <v>523</v>
      </c>
    </row>
    <row r="21">
      <c r="A21" s="28">
        <f>ROW()-ROW(Table_Phrases[N])</f>
        <v>19</v>
      </c>
      <c r="B21" s="28" t="s">
        <v>302</v>
      </c>
      <c r="C21" s="28">
        <v>0.0</v>
      </c>
      <c r="D21" s="28">
        <v>0.0</v>
      </c>
      <c r="E21" s="35" t="s">
        <v>475</v>
      </c>
      <c r="F21" s="29" t="s">
        <v>524</v>
      </c>
      <c r="G21" s="29" t="s">
        <v>525</v>
      </c>
    </row>
    <row r="22">
      <c r="A22" s="28">
        <f>ROW()-ROW(Table_Phrases[N])</f>
        <v>20</v>
      </c>
      <c r="B22" s="28" t="s">
        <v>306</v>
      </c>
      <c r="C22" s="28">
        <v>0.0</v>
      </c>
      <c r="D22" s="28">
        <v>0.0</v>
      </c>
      <c r="E22" s="35" t="s">
        <v>475</v>
      </c>
      <c r="F22" s="29" t="s">
        <v>526</v>
      </c>
      <c r="G22" s="29" t="s">
        <v>527</v>
      </c>
    </row>
    <row r="23">
      <c r="A23" s="28">
        <f>ROW()-ROW(Table_Phrases[N])</f>
        <v>21</v>
      </c>
      <c r="B23" s="28" t="s">
        <v>315</v>
      </c>
      <c r="C23" s="28">
        <v>0.0</v>
      </c>
      <c r="D23" s="28">
        <v>0.0</v>
      </c>
      <c r="E23" s="35" t="s">
        <v>475</v>
      </c>
      <c r="F23" s="29" t="s">
        <v>528</v>
      </c>
      <c r="G23" s="29" t="s">
        <v>529</v>
      </c>
    </row>
    <row r="24">
      <c r="A24" s="28">
        <f>ROW()-ROW(Table_Phrases[N])</f>
        <v>22</v>
      </c>
      <c r="B24" s="28" t="s">
        <v>319</v>
      </c>
      <c r="C24" s="28">
        <v>0.0</v>
      </c>
      <c r="D24" s="28">
        <v>0.0</v>
      </c>
      <c r="E24" s="35" t="s">
        <v>475</v>
      </c>
      <c r="F24" s="29" t="s">
        <v>530</v>
      </c>
      <c r="G24" s="29" t="s">
        <v>531</v>
      </c>
    </row>
    <row r="25">
      <c r="A25" s="28">
        <f>ROW()-ROW(Table_Phrases[N])</f>
        <v>23</v>
      </c>
      <c r="B25" s="28" t="s">
        <v>321</v>
      </c>
      <c r="C25" s="28">
        <v>0.0</v>
      </c>
      <c r="D25" s="28">
        <v>0.0</v>
      </c>
      <c r="E25" s="35" t="s">
        <v>475</v>
      </c>
      <c r="F25" s="29" t="s">
        <v>532</v>
      </c>
      <c r="G25" s="29" t="s">
        <v>533</v>
      </c>
    </row>
    <row r="26">
      <c r="A26" s="28">
        <f>ROW()-ROW(Table_Phrases[N])</f>
        <v>24</v>
      </c>
      <c r="B26" s="28" t="s">
        <v>534</v>
      </c>
      <c r="C26" s="28">
        <v>0.0</v>
      </c>
      <c r="D26" s="28">
        <v>0.0</v>
      </c>
      <c r="E26" s="35" t="s">
        <v>475</v>
      </c>
      <c r="F26" s="29" t="s">
        <v>535</v>
      </c>
      <c r="G26" s="29" t="s">
        <v>536</v>
      </c>
    </row>
    <row r="27">
      <c r="A27" s="28">
        <f>ROW()-ROW(Table_Phrases[N])</f>
        <v>25</v>
      </c>
      <c r="B27" s="28" t="s">
        <v>537</v>
      </c>
      <c r="C27" s="28">
        <v>1.0</v>
      </c>
      <c r="D27" s="28">
        <v>0.0</v>
      </c>
      <c r="E27" s="35" t="s">
        <v>475</v>
      </c>
      <c r="F27" s="29" t="s">
        <v>538</v>
      </c>
      <c r="G27" s="29" t="s">
        <v>539</v>
      </c>
    </row>
  </sheetData>
  <dataValidations>
    <dataValidation type="list" allowBlank="1" sqref="E2:E27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38.29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9" t="s">
        <v>0</v>
      </c>
      <c r="B1" s="19" t="s">
        <v>540</v>
      </c>
      <c r="C1" s="21" t="s">
        <v>541</v>
      </c>
      <c r="D1" s="21" t="s">
        <v>542</v>
      </c>
      <c r="E1" s="21" t="s">
        <v>543</v>
      </c>
      <c r="F1" s="21" t="s">
        <v>544</v>
      </c>
      <c r="G1" s="21" t="s">
        <v>545</v>
      </c>
      <c r="H1" s="21" t="s">
        <v>546</v>
      </c>
      <c r="I1" s="21" t="s">
        <v>547</v>
      </c>
    </row>
    <row r="2" ht="186.0" customHeight="1">
      <c r="A2" s="22">
        <f t="shared" ref="A2:A7" si="1">ROW()-ROW($A$2)-1</f>
        <v>-1</v>
      </c>
      <c r="B2" s="22" t="s">
        <v>548</v>
      </c>
      <c r="C2" s="23" t="s">
        <v>207</v>
      </c>
      <c r="D2" s="45" t="str">
        <f>IFERROR(__xludf.DUMMYFUNCTION("ARRAYFORMULA(
TEXTJOIN(""|"",TRUE,
UNIQUE(TRANSPOSE(
SPLIT(TEXTJOIN("", "",TRUE,
G2
),"", "")
))
)
)"),"SPRITE_NONE")</f>
        <v>SPRITE_NONE</v>
      </c>
      <c r="E2" s="45" t="str">
        <f t="shared" ref="E2:E7" si="2">SUBSTITUTE(I2,", ","|")</f>
        <v>PHRASE_NONSENSE</v>
      </c>
      <c r="F2" s="45" t="str">
        <f>IFERROR(__xludf.DUMMYFUNCTION("ARRAYFORMULA(
TEXTJOIN(""|"",TRUE,
UNIQUE(TRANSPOSE(
SPLIT(TEXTJOIN("", "",TRUE,
H2
),"", "")
))
)
)"),"ITEM_NONE")</f>
        <v>ITEM_NONE</v>
      </c>
      <c r="G2" s="27" t="s">
        <v>207</v>
      </c>
      <c r="H2" s="27" t="s">
        <v>204</v>
      </c>
      <c r="I2" s="27" t="s">
        <v>474</v>
      </c>
    </row>
    <row r="3" ht="98.25" customHeight="1">
      <c r="A3" s="22">
        <f t="shared" si="1"/>
        <v>0</v>
      </c>
      <c r="B3" s="22" t="s">
        <v>549</v>
      </c>
      <c r="C3" s="23" t="s">
        <v>386</v>
      </c>
      <c r="D3" s="45" t="str">
        <f>IFERROR(__xludf.DUMMYFUNCTION("ARRAYFORMULA(
TEXTJOIN(""|"",TRUE,
UNIQUE(TRANSPOSE(
SPLIT(TEXTJOIN("", "",TRUE,
G3
),"", "")
))
)
)"),"BACKGROUND_HIVE1_ROOM1|SPRITE_ITEM_DECO_BED_LAYER")</f>
        <v>BACKGROUND_HIVE1_ROOM1|SPRITE_ITEM_DECO_BED_LAYER</v>
      </c>
      <c r="E3" s="45" t="str">
        <f t="shared" si="2"/>
        <v>PHRASE_NONSENSE</v>
      </c>
      <c r="F3" s="45" t="str">
        <f>IFERROR(__xludf.DUMMYFUNCTION("ARRAYFORMULA(
TEXTJOIN(""|"",TRUE,
UNIQUE(TRANSPOSE(
SPLIT(TEXTJOIN("", "",TRUE,
H3
),"", "")
))
)
)"),"ITEM_CARDS_PICKABLE|ITEM_HIVE1_CHEST|ITEM_HIVE1_WARDROBE|ITEM_HIVE1_WARDROBE_OPENED|ITEM_GENERIC_DOOR1|ITEM_HIVE1_PERFUME|ITEM_SOAP_PICKABLE")</f>
        <v>ITEM_CARDS_PICKABLE|ITEM_HIVE1_CHEST|ITEM_HIVE1_WARDROBE|ITEM_HIVE1_WARDROBE_OPENED|ITEM_GENERIC_DOOR1|ITEM_HIVE1_PERFUME|ITEM_SOAP_PICKABLE</v>
      </c>
      <c r="G3" s="27" t="s">
        <v>550</v>
      </c>
      <c r="H3" s="27" t="s">
        <v>551</v>
      </c>
      <c r="I3" s="27" t="s">
        <v>474</v>
      </c>
    </row>
    <row r="4">
      <c r="A4" s="22">
        <f t="shared" si="1"/>
        <v>1</v>
      </c>
      <c r="B4" s="22" t="s">
        <v>552</v>
      </c>
      <c r="C4" s="23" t="s">
        <v>395</v>
      </c>
      <c r="D4" s="45" t="str">
        <f>IFERROR(__xludf.DUMMYFUNCTION("ARRAYFORMULA(
TEXTJOIN(""|"",TRUE,
UNIQUE(TRANSPOSE(
SPLIT(TEXTJOIN("", "",TRUE,
G4
),"", "")
))
)
)"),"BACKGROUND_HIVE1_CORRIDOR1")</f>
        <v>BACKGROUND_HIVE1_CORRIDOR1</v>
      </c>
      <c r="E4" s="45" t="str">
        <f t="shared" si="2"/>
        <v>PHRASE_NONSENSE</v>
      </c>
      <c r="F4" s="45" t="str">
        <f>IFERROR(__xludf.DUMMYFUNCTION("ARRAYFORMULA(
TEXTJOIN(""|"",TRUE,
UNIQUE(TRANSPOSE(
SPLIT(TEXTJOIN("", "",TRUE,
H4
),"", "")
))
)
)"),"ITEM_GENERIC_DOOR1|ITEM_HIVE1_NPC_REME")</f>
        <v>ITEM_GENERIC_DOOR1|ITEM_HIVE1_NPC_REME</v>
      </c>
      <c r="G4" s="27" t="s">
        <v>395</v>
      </c>
      <c r="H4" s="27" t="s">
        <v>553</v>
      </c>
      <c r="I4" s="27" t="s">
        <v>474</v>
      </c>
    </row>
    <row r="5">
      <c r="A5" s="22">
        <f t="shared" si="1"/>
        <v>2</v>
      </c>
      <c r="B5" s="22" t="s">
        <v>554</v>
      </c>
      <c r="C5" s="23" t="s">
        <v>398</v>
      </c>
      <c r="D5" s="45" t="str">
        <f>IFERROR(__xludf.DUMMYFUNCTION("ARRAYFORMULA(
TEXTJOIN(""|"",TRUE,
UNIQUE(TRANSPOSE(
SPLIT(TEXTJOIN("", "",TRUE,
G5
),"", "")
))
)
)"),"BACKGROUND_HIVE1_HALL1")</f>
        <v>BACKGROUND_HIVE1_HALL1</v>
      </c>
      <c r="E5" s="45" t="str">
        <f t="shared" si="2"/>
        <v>PHRASE_NONSENSE</v>
      </c>
      <c r="F5" s="45" t="str">
        <f>IFERROR(__xludf.DUMMYFUNCTION("ARRAYFORMULA(
TEXTJOIN(""|"",TRUE,
UNIQUE(TRANSPOSE(
SPLIT(TEXTJOIN("", "",TRUE,
H5
),"", "")
))
)
)"),"ITEM_GENERIC_DOOR1|ITEM_GENERIC_DOOR2|ITEM_HIVE1_AD_BOARD|ITEM_HIVE1_EXIT_DOOR")</f>
        <v>ITEM_GENERIC_DOOR1|ITEM_GENERIC_DOOR2|ITEM_HIVE1_AD_BOARD|ITEM_HIVE1_EXIT_DOOR</v>
      </c>
      <c r="G5" s="27" t="s">
        <v>398</v>
      </c>
      <c r="H5" s="27" t="s">
        <v>555</v>
      </c>
      <c r="I5" s="27" t="s">
        <v>474</v>
      </c>
    </row>
    <row r="6">
      <c r="A6" s="22">
        <f t="shared" si="1"/>
        <v>3</v>
      </c>
      <c r="B6" s="22" t="s">
        <v>556</v>
      </c>
      <c r="C6" s="23" t="s">
        <v>400</v>
      </c>
      <c r="D6" s="45" t="str">
        <f>IFERROR(__xludf.DUMMYFUNCTION("ARRAYFORMULA(
TEXTJOIN(""|"",TRUE,
UNIQUE(TRANSPOSE(
SPLIT(TEXTJOIN("", "",TRUE,
G6
),"", "")
))
)
)"),"BACKGROUND_HIVE1_WC")</f>
        <v>BACKGROUND_HIVE1_WC</v>
      </c>
      <c r="E6" s="45" t="str">
        <f t="shared" si="2"/>
        <v>PHRASE_NONSENSE</v>
      </c>
      <c r="F6" s="45" t="str">
        <f>IFERROR(__xludf.DUMMYFUNCTION("ARRAYFORMULA(
TEXTJOIN(""|"",TRUE,
UNIQUE(TRANSPOSE(
SPLIT(TEXTJOIN("", "",TRUE,
H6
),"", "")
))
)
)"),"ITEM_GENERIC_DOOR1|ITEM_HIVE1_BASIN")</f>
        <v>ITEM_GENERIC_DOOR1|ITEM_HIVE1_BASIN</v>
      </c>
      <c r="G6" s="27" t="s">
        <v>400</v>
      </c>
      <c r="H6" s="27" t="s">
        <v>557</v>
      </c>
      <c r="I6" s="27" t="s">
        <v>474</v>
      </c>
    </row>
    <row r="7">
      <c r="A7" s="22">
        <f t="shared" si="1"/>
        <v>4</v>
      </c>
      <c r="B7" s="22" t="s">
        <v>558</v>
      </c>
      <c r="C7" s="23" t="s">
        <v>207</v>
      </c>
      <c r="D7" s="45" t="str">
        <f>IFERROR(__xludf.DUMMYFUNCTION("ARRAYFORMULA(
TEXTJOIN(""|"",TRUE,
UNIQUE(TRANSPOSE(
SPLIT(TEXTJOIN("", "",TRUE,
G7
),"", "")
))
)
)"),"SPRITE_LAST")</f>
        <v>SPRITE_LAST</v>
      </c>
      <c r="E7" s="45" t="str">
        <f t="shared" si="2"/>
        <v>PHRASE_NONSENSE</v>
      </c>
      <c r="F7" s="45" t="str">
        <f>IFERROR(__xludf.DUMMYFUNCTION("ARRAYFORMULA(
TEXTJOIN(""|"",TRUE,
UNIQUE(TRANSPOSE(
SPLIT(TEXTJOIN("", "",TRUE,
H7
),"", "")
))
)
)"),"ITEM_LAST")</f>
        <v>ITEM_LAST</v>
      </c>
      <c r="G7" s="27" t="s">
        <v>257</v>
      </c>
      <c r="H7" s="27" t="s">
        <v>255</v>
      </c>
      <c r="I7" s="27" t="s">
        <v>474</v>
      </c>
    </row>
  </sheetData>
  <dataValidations>
    <dataValidation type="list" allowBlank="1" sqref="G2:I7">
      <formula1>#REF!</formula1>
    </dataValidation>
    <dataValidation type="list" allowBlank="1" sqref="C2:C7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559</v>
      </c>
    </row>
    <row r="2">
      <c r="A2" s="28">
        <f>ROW()-ROW(Table_Characters[N])</f>
        <v>0</v>
      </c>
      <c r="B2" s="28" t="s">
        <v>268</v>
      </c>
    </row>
    <row r="3">
      <c r="A3" s="28">
        <f>ROW()-ROW(Table_Characters[N])</f>
        <v>1</v>
      </c>
      <c r="B3" s="28" t="s">
        <v>275</v>
      </c>
    </row>
    <row r="4">
      <c r="A4" s="28">
        <f>ROW()-ROW(Table_Characters[N])</f>
        <v>2</v>
      </c>
      <c r="B4" s="28" t="s">
        <v>560</v>
      </c>
    </row>
    <row r="5">
      <c r="A5" s="28">
        <f>ROW()-ROW(Table_Characters[N])</f>
        <v>3</v>
      </c>
      <c r="B5" s="28" t="s">
        <v>561</v>
      </c>
    </row>
    <row r="6">
      <c r="A6" s="10"/>
      <c r="B6" s="10"/>
    </row>
    <row r="7">
      <c r="A7" s="19" t="s">
        <v>0</v>
      </c>
      <c r="B7" s="19" t="s">
        <v>562</v>
      </c>
    </row>
    <row r="8">
      <c r="A8" s="28">
        <v>0.0</v>
      </c>
      <c r="B8" s="28" t="s">
        <v>270</v>
      </c>
    </row>
    <row r="9">
      <c r="A9" s="28">
        <v>1.0</v>
      </c>
      <c r="B9" s="28" t="s">
        <v>305</v>
      </c>
    </row>
    <row r="10">
      <c r="A10" s="28">
        <v>2.0</v>
      </c>
      <c r="B10" s="28" t="s">
        <v>277</v>
      </c>
    </row>
    <row r="11">
      <c r="A11" s="28">
        <v>3.0</v>
      </c>
      <c r="B11" s="28" t="s">
        <v>309</v>
      </c>
    </row>
    <row r="12">
      <c r="A12" s="28">
        <v>4.0</v>
      </c>
      <c r="B12" s="28" t="s">
        <v>288</v>
      </c>
    </row>
    <row r="13">
      <c r="A13" s="28">
        <v>5.0</v>
      </c>
      <c r="B13" s="28" t="s">
        <v>563</v>
      </c>
    </row>
    <row r="15">
      <c r="A15" s="19" t="s">
        <v>0</v>
      </c>
      <c r="B15" s="19" t="s">
        <v>564</v>
      </c>
    </row>
    <row r="16">
      <c r="A16" s="28">
        <f>ROW()-ROW(Table_Interaction[N])</f>
        <v>0</v>
      </c>
      <c r="B16" s="28" t="s">
        <v>269</v>
      </c>
    </row>
    <row r="17">
      <c r="A17" s="28">
        <f>ROW()-ROW(Table_Interaction[N])</f>
        <v>1</v>
      </c>
      <c r="B17" s="28" t="s">
        <v>565</v>
      </c>
    </row>
    <row r="18">
      <c r="A18" s="28">
        <f>ROW()-ROW(Table_Interaction[N])</f>
        <v>2</v>
      </c>
      <c r="B18" s="28" t="s">
        <v>304</v>
      </c>
    </row>
    <row r="19">
      <c r="A19" s="28">
        <f>ROW()-ROW(Table_Interaction[N])</f>
        <v>3</v>
      </c>
      <c r="B19" s="28" t="s">
        <v>276</v>
      </c>
    </row>
    <row r="20">
      <c r="A20" s="28">
        <f>ROW()-ROW(Table_Interaction[N])</f>
        <v>4</v>
      </c>
      <c r="B20" s="28" t="s">
        <v>287</v>
      </c>
    </row>
    <row r="21">
      <c r="A21" s="28">
        <f>ROW()-ROW(Table_Interaction[N])</f>
        <v>5</v>
      </c>
      <c r="B21" s="28" t="s">
        <v>285</v>
      </c>
    </row>
    <row r="22">
      <c r="A22" s="28">
        <f>ROW()-ROW(Table_Interaction[N])</f>
        <v>6</v>
      </c>
      <c r="B22" s="28" t="s">
        <v>294</v>
      </c>
    </row>
    <row r="24">
      <c r="A24" s="19" t="s">
        <v>0</v>
      </c>
      <c r="B24" s="19" t="s">
        <v>566</v>
      </c>
    </row>
    <row r="25">
      <c r="A25" s="28">
        <f>ROW()-ROW(Table_Unchain_Type[N])</f>
        <v>0</v>
      </c>
      <c r="B25" s="28" t="s">
        <v>345</v>
      </c>
    </row>
    <row r="26">
      <c r="A26" s="28">
        <f>ROW()-ROW(Table_Unchain_Type[N])</f>
        <v>1</v>
      </c>
      <c r="B26" s="28" t="s">
        <v>349</v>
      </c>
    </row>
    <row r="27">
      <c r="A27" s="28">
        <f>ROW()-ROW(Table_Unchain_Type[N])</f>
        <v>2</v>
      </c>
      <c r="B27" s="28" t="s">
        <v>352</v>
      </c>
    </row>
    <row r="28">
      <c r="A28" s="28">
        <f>ROW()-ROW(Table_Unchain_Type[N])</f>
        <v>3</v>
      </c>
      <c r="B28" s="28" t="s">
        <v>567</v>
      </c>
    </row>
    <row r="29">
      <c r="A29" s="28">
        <f>ROW()-ROW(Table_Unchain_Type[N])</f>
        <v>4</v>
      </c>
      <c r="B29" s="28" t="s">
        <v>342</v>
      </c>
    </row>
    <row r="30">
      <c r="A30" s="28">
        <f>ROW()-ROW(Table_Unchain_Type[N])</f>
        <v>5</v>
      </c>
      <c r="B30" s="28" t="s">
        <v>354</v>
      </c>
    </row>
    <row r="31">
      <c r="A31" s="28">
        <f>ROW()-ROW(Table_Unchain_Type[N])</f>
        <v>6</v>
      </c>
      <c r="B31" s="28" t="s">
        <v>568</v>
      </c>
    </row>
    <row r="32">
      <c r="A32" s="28">
        <f>ROW()-ROW(Table_Unchain_Type[N])</f>
        <v>7</v>
      </c>
      <c r="B32" s="28" t="s">
        <v>335</v>
      </c>
    </row>
    <row r="33">
      <c r="A33" s="28">
        <f>ROW()-ROW(Table_Unchain_Type[N])</f>
        <v>8</v>
      </c>
      <c r="B33" s="28" t="s">
        <v>569</v>
      </c>
    </row>
    <row r="34">
      <c r="A34" s="28">
        <f>ROW()-ROW(Table_Unchain_Type[N])</f>
        <v>9</v>
      </c>
      <c r="B34" s="28" t="s">
        <v>339</v>
      </c>
    </row>
    <row r="36">
      <c r="A36" s="19" t="s">
        <v>0</v>
      </c>
      <c r="B36" s="19" t="s">
        <v>570</v>
      </c>
    </row>
    <row r="37">
      <c r="A37" s="28">
        <v>0.0</v>
      </c>
      <c r="B37" s="28" t="s">
        <v>473</v>
      </c>
    </row>
    <row r="38">
      <c r="A38" s="28">
        <v>1.0</v>
      </c>
      <c r="B38" s="28" t="s">
        <v>475</v>
      </c>
    </row>
    <row r="40">
      <c r="A40" s="19" t="s">
        <v>0</v>
      </c>
      <c r="B40" s="19" t="s">
        <v>571</v>
      </c>
    </row>
    <row r="41">
      <c r="A41" s="28">
        <f>ROW()-ROW(Table_Item_Family_Type[N])</f>
        <v>0</v>
      </c>
      <c r="B41" s="28" t="s">
        <v>206</v>
      </c>
    </row>
    <row r="42">
      <c r="A42" s="28">
        <f>ROW()-ROW(Table_Item_Family_Type[N])</f>
        <v>1</v>
      </c>
      <c r="B42" s="19" t="s">
        <v>232</v>
      </c>
    </row>
    <row r="43">
      <c r="A43" s="28">
        <f>ROW()-ROW(Table_Item_Family_Type[N])</f>
        <v>2</v>
      </c>
      <c r="B43" s="19" t="s">
        <v>214</v>
      </c>
    </row>
    <row r="44">
      <c r="A44" s="28">
        <f>ROW()-ROW(Table_Item_Family_Type[N])</f>
        <v>3</v>
      </c>
      <c r="B44" s="19" t="s">
        <v>235</v>
      </c>
    </row>
    <row r="45">
      <c r="A45" s="28">
        <f>ROW()-ROW(Table_Item_Family_Type[N])</f>
        <v>4</v>
      </c>
      <c r="B45" s="19" t="s">
        <v>211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9" t="s">
        <v>0</v>
      </c>
      <c r="B1" s="19" t="s">
        <v>572</v>
      </c>
    </row>
    <row r="2">
      <c r="A2" s="28">
        <f t="shared" ref="A2:A11" si="1">ROW()-ROW($A$2)</f>
        <v>0</v>
      </c>
      <c r="B2" s="28" t="s">
        <v>267</v>
      </c>
    </row>
    <row r="3">
      <c r="A3" s="28">
        <f t="shared" si="1"/>
        <v>1</v>
      </c>
      <c r="B3" s="28" t="s">
        <v>336</v>
      </c>
    </row>
    <row r="4">
      <c r="A4" s="28">
        <f t="shared" si="1"/>
        <v>2</v>
      </c>
      <c r="B4" s="28" t="s">
        <v>278</v>
      </c>
    </row>
    <row r="5">
      <c r="A5" s="28">
        <f t="shared" si="1"/>
        <v>3</v>
      </c>
      <c r="B5" s="28" t="s">
        <v>281</v>
      </c>
    </row>
    <row r="6">
      <c r="A6" s="28">
        <f t="shared" si="1"/>
        <v>4</v>
      </c>
      <c r="B6" s="28" t="s">
        <v>283</v>
      </c>
    </row>
    <row r="7">
      <c r="A7" s="28">
        <f t="shared" si="1"/>
        <v>5</v>
      </c>
      <c r="B7" s="28" t="s">
        <v>291</v>
      </c>
    </row>
    <row r="8">
      <c r="A8" s="28">
        <f t="shared" si="1"/>
        <v>6</v>
      </c>
      <c r="B8" s="28" t="s">
        <v>316</v>
      </c>
    </row>
    <row r="9">
      <c r="A9" s="28">
        <f t="shared" si="1"/>
        <v>7</v>
      </c>
      <c r="B9" s="28" t="s">
        <v>307</v>
      </c>
    </row>
    <row r="10">
      <c r="A10" s="28">
        <f t="shared" si="1"/>
        <v>8</v>
      </c>
      <c r="B10" s="28" t="s">
        <v>312</v>
      </c>
    </row>
    <row r="11">
      <c r="A11" s="28">
        <f t="shared" si="1"/>
        <v>9</v>
      </c>
      <c r="B11" s="28" t="s">
        <v>573</v>
      </c>
    </row>
    <row r="13">
      <c r="A13" s="19" t="s">
        <v>0</v>
      </c>
      <c r="B13" s="19" t="s">
        <v>574</v>
      </c>
      <c r="C13" s="46" t="s">
        <v>197</v>
      </c>
      <c r="D13" s="46" t="s">
        <v>575</v>
      </c>
      <c r="E13" s="46" t="s">
        <v>576</v>
      </c>
    </row>
    <row r="14">
      <c r="A14" s="28">
        <f>ROW()-ROW(Table_Memento_Parent[N])</f>
        <v>0</v>
      </c>
      <c r="B14" s="28" t="s">
        <v>577</v>
      </c>
      <c r="C14" s="30" t="s">
        <v>205</v>
      </c>
      <c r="D14" s="30" t="s">
        <v>207</v>
      </c>
      <c r="E14" s="47" t="str">
        <f>IFERROR(__xludf.DUMMYFUNCTION("ArrayFormula(SUBSTITUTE(SUBSTITUTE(JOIN(""|"",UNIQUE(IF(Table_Memento[Parent]=B14,Table_Memento[MEMENTO_ID],""Ñ""))),""Ñ|"",""""),""|Ñ"",""""))"),"MEMENTO_NONE")</f>
        <v>MEMENTO_NONE</v>
      </c>
    </row>
    <row r="15">
      <c r="A15" s="28">
        <f>ROW()-ROW(Table_Memento_Parent[N])</f>
        <v>1</v>
      </c>
      <c r="B15" s="28" t="s">
        <v>578</v>
      </c>
      <c r="C15" s="30" t="s">
        <v>456</v>
      </c>
      <c r="D15" s="30" t="s">
        <v>402</v>
      </c>
      <c r="E15" s="47" t="str">
        <f>IFERROR(__xludf.DUMMYFUNCTION("ArrayFormula(SUBSTITUTE(SUBSTITUTE(JOIN(""|"",UNIQUE(IF(Table_Memento[Parent]=B15,Table_Memento[MEMENTO_ID],""Ñ""))),""Ñ|"",""""),""|Ñ"",""""))"),"MEMENTO_JOB_FIND_1_1|MEMENTO_JOB_FIND_1_2")</f>
        <v>MEMENTO_JOB_FIND_1_1|MEMENTO_JOB_FIND_1_2</v>
      </c>
    </row>
    <row r="16">
      <c r="A16" s="28">
        <f>ROW()-ROW(Table_Memento_Parent[N])</f>
        <v>2</v>
      </c>
      <c r="B16" s="28" t="s">
        <v>579</v>
      </c>
      <c r="C16" s="30" t="s">
        <v>256</v>
      </c>
      <c r="D16" s="30" t="s">
        <v>207</v>
      </c>
      <c r="E16" s="47" t="str">
        <f>IFERROR(__xludf.DUMMYFUNCTION("ArrayFormula(SUBSTITUTE(SUBSTITUTE(JOIN(""|"",UNIQUE(IF(Table_Memento[Parent]=B16,Table_Memento[MEMENTO_ID],""Ñ""))),""Ñ|"",""""),""|Ñ"",""""))"),"MEMENTO_LAST")</f>
        <v>MEMENTO_LAST</v>
      </c>
    </row>
    <row r="18">
      <c r="A18" s="19" t="s">
        <v>0</v>
      </c>
      <c r="B18" s="19" t="s">
        <v>580</v>
      </c>
      <c r="C18" s="48" t="s">
        <v>581</v>
      </c>
      <c r="D18" s="48" t="s">
        <v>582</v>
      </c>
      <c r="E18" s="46" t="s">
        <v>583</v>
      </c>
      <c r="F18" s="48" t="s">
        <v>584</v>
      </c>
    </row>
    <row r="19">
      <c r="A19" s="28">
        <f>ROW()-ROW(Table_Memento[N])</f>
        <v>0</v>
      </c>
      <c r="B19" s="28" t="s">
        <v>337</v>
      </c>
      <c r="C19" s="35" t="s">
        <v>577</v>
      </c>
      <c r="D19" s="35" t="s">
        <v>272</v>
      </c>
      <c r="E19" s="49" t="s">
        <v>585</v>
      </c>
      <c r="F19" s="38" t="b">
        <v>0</v>
      </c>
    </row>
    <row r="20">
      <c r="A20" s="28">
        <f>ROW()-ROW(Table_Memento[N])</f>
        <v>1</v>
      </c>
      <c r="B20" s="28" t="s">
        <v>340</v>
      </c>
      <c r="C20" s="35" t="s">
        <v>578</v>
      </c>
      <c r="D20" s="35" t="s">
        <v>515</v>
      </c>
      <c r="E20" s="49" t="s">
        <v>585</v>
      </c>
      <c r="F20" s="38" t="b">
        <v>0</v>
      </c>
    </row>
    <row r="21">
      <c r="A21" s="28">
        <f>ROW()-ROW(Table_Memento[N])</f>
        <v>2</v>
      </c>
      <c r="B21" s="28" t="s">
        <v>362</v>
      </c>
      <c r="C21" s="35" t="s">
        <v>578</v>
      </c>
      <c r="D21" s="35" t="s">
        <v>290</v>
      </c>
      <c r="E21" s="49" t="s">
        <v>585</v>
      </c>
      <c r="F21" s="38" t="b">
        <v>0</v>
      </c>
    </row>
    <row r="22">
      <c r="A22" s="28">
        <f>ROW()-ROW(Table_Memento[N])</f>
        <v>3</v>
      </c>
      <c r="B22" s="28" t="s">
        <v>586</v>
      </c>
      <c r="C22" s="35" t="s">
        <v>579</v>
      </c>
      <c r="D22" s="35" t="s">
        <v>272</v>
      </c>
      <c r="E22" s="49" t="s">
        <v>585</v>
      </c>
      <c r="F22" s="38" t="b">
        <v>0</v>
      </c>
    </row>
    <row r="24">
      <c r="A24" s="19" t="s">
        <v>0</v>
      </c>
      <c r="B24" s="19" t="s">
        <v>587</v>
      </c>
      <c r="C24" s="21" t="s">
        <v>588</v>
      </c>
    </row>
    <row r="25">
      <c r="A25" s="28">
        <f>ROW()-ROW(Table_Memento_Combi[N])</f>
        <v>0</v>
      </c>
      <c r="B25" s="28" t="s">
        <v>585</v>
      </c>
      <c r="C25" s="50" t="s">
        <v>267</v>
      </c>
    </row>
    <row r="27">
      <c r="A27" s="19" t="s">
        <v>0</v>
      </c>
      <c r="B27" s="19" t="s">
        <v>589</v>
      </c>
    </row>
    <row r="28">
      <c r="A28" s="37">
        <f>ROW()-ROW(Table_EventsCombi[N])</f>
        <v>0</v>
      </c>
      <c r="B28" s="51" t="str">
        <f>IFERROR(__xludf.DUMMYFUNCTION("ArrayFormula(FLATTEN(Table_Events[EVENT_ID],""(NOT)""&amp;Table_Events[EVENT_ID]))"),"EVENT_NONE")</f>
        <v>EVENT_NONE</v>
      </c>
    </row>
    <row r="29">
      <c r="A29" s="37">
        <f>ROW()-ROW(Table_EventsCombi[N])</f>
        <v>1</v>
      </c>
      <c r="B29" s="51" t="str">
        <f>IFERROR(__xludf.DUMMYFUNCTION("""COMPUTED_VALUE"""),"EVENT_FIRST")</f>
        <v>EVENT_FIRST</v>
      </c>
    </row>
    <row r="30">
      <c r="A30" s="37">
        <f>ROW()-ROW(Table_EventsCombi[N])</f>
        <v>2</v>
      </c>
      <c r="B30" s="51" t="str">
        <f>IFERROR(__xludf.DUMMYFUNCTION("""COMPUTED_VALUE"""),"EVENT_HIVE1_CHEST_OPENED")</f>
        <v>EVENT_HIVE1_CHEST_OPENED</v>
      </c>
    </row>
    <row r="31">
      <c r="A31" s="37">
        <f>ROW()-ROW(Table_EventsCombi[N])</f>
        <v>3</v>
      </c>
      <c r="B31" s="51" t="str">
        <f>IFERROR(__xludf.DUMMYFUNCTION("""COMPUTED_VALUE"""),"EVENT_CARDS_PICKABLE_TAKEN")</f>
        <v>EVENT_CARDS_PICKABLE_TAKEN</v>
      </c>
    </row>
    <row r="32">
      <c r="A32" s="37">
        <f>ROW()-ROW(Table_EventsCombi[N])</f>
        <v>4</v>
      </c>
      <c r="B32" s="51" t="str">
        <f>IFERROR(__xludf.DUMMYFUNCTION("""COMPUTED_VALUE"""),"EVENT_HIVE1_WARDROBE_OPENED")</f>
        <v>EVENT_HIVE1_WARDROBE_OPENED</v>
      </c>
    </row>
    <row r="33">
      <c r="A33" s="37">
        <f>ROW()-ROW(Table_EventsCombi[N])</f>
        <v>5</v>
      </c>
      <c r="B33" s="51" t="str">
        <f>IFERROR(__xludf.DUMMYFUNCTION("""COMPUTED_VALUE"""),"EVENT_HIVE1_AD_BOARD_OBSERVED_1")</f>
        <v>EVENT_HIVE1_AD_BOARD_OBSERVED_1</v>
      </c>
    </row>
    <row r="34">
      <c r="A34" s="37">
        <f>ROW()-ROW(Table_EventsCombi[N])</f>
        <v>6</v>
      </c>
      <c r="B34" s="51" t="str">
        <f>IFERROR(__xludf.DUMMYFUNCTION("""COMPUTED_VALUE"""),"EVENT_HIVE1_USED_PERFUME")</f>
        <v>EVENT_HIVE1_USED_PERFUME</v>
      </c>
    </row>
    <row r="35">
      <c r="A35" s="37">
        <f>ROW()-ROW(Table_EventsCombi[N])</f>
        <v>7</v>
      </c>
      <c r="B35" s="51" t="str">
        <f>IFERROR(__xludf.DUMMYFUNCTION("""COMPUTED_VALUE"""),"EVENT_HIVE1_USED_BASIN")</f>
        <v>EVENT_HIVE1_USED_BASIN</v>
      </c>
    </row>
    <row r="36">
      <c r="A36" s="37">
        <f>ROW()-ROW(Table_EventsCombi[N])</f>
        <v>8</v>
      </c>
      <c r="B36" s="51" t="str">
        <f>IFERROR(__xludf.DUMMYFUNCTION("""COMPUTED_VALUE"""),"EVENT_SOAP_PICKABLE_TAKEN")</f>
        <v>EVENT_SOAP_PICKABLE_TAKEN</v>
      </c>
    </row>
    <row r="37">
      <c r="A37" s="37">
        <f>ROW()-ROW(Table_EventsCombi[N])</f>
        <v>9</v>
      </c>
      <c r="B37" s="51" t="str">
        <f>IFERROR(__xludf.DUMMYFUNCTION("""COMPUTED_VALUE"""),"EVENT_LAST")</f>
        <v>EVENT_LAST</v>
      </c>
    </row>
    <row r="38">
      <c r="A38" s="37">
        <f>ROW()-ROW(Table_EventsCombi[N])</f>
        <v>10</v>
      </c>
      <c r="B38" s="51" t="str">
        <f>IFERROR(__xludf.DUMMYFUNCTION("""COMPUTED_VALUE"""),"(NOT)EVENT_NONE")</f>
        <v>(NOT)EVENT_NONE</v>
      </c>
    </row>
    <row r="39">
      <c r="A39" s="37">
        <f>ROW()-ROW(Table_EventsCombi[N])</f>
        <v>11</v>
      </c>
      <c r="B39" s="51" t="str">
        <f>IFERROR(__xludf.DUMMYFUNCTION("""COMPUTED_VALUE"""),"(NOT)EVENT_FIRST")</f>
        <v>(NOT)EVENT_FIRST</v>
      </c>
    </row>
    <row r="40">
      <c r="A40" s="37">
        <f>ROW()-ROW(Table_EventsCombi[N])</f>
        <v>12</v>
      </c>
      <c r="B40" s="51" t="str">
        <f>IFERROR(__xludf.DUMMYFUNCTION("""COMPUTED_VALUE"""),"(NOT)EVENT_HIVE1_CHEST_OPENED")</f>
        <v>(NOT)EVENT_HIVE1_CHEST_OPENED</v>
      </c>
    </row>
    <row r="41">
      <c r="A41" s="37">
        <f>ROW()-ROW(Table_EventsCombi[N])</f>
        <v>13</v>
      </c>
      <c r="B41" s="51" t="str">
        <f>IFERROR(__xludf.DUMMYFUNCTION("""COMPUTED_VALUE"""),"(NOT)EVENT_CARDS_PICKABLE_TAKEN")</f>
        <v>(NOT)EVENT_CARDS_PICKABLE_TAKEN</v>
      </c>
    </row>
    <row r="42">
      <c r="A42" s="37">
        <f>ROW()-ROW(Table_EventsCombi[N])</f>
        <v>14</v>
      </c>
      <c r="B42" s="51" t="str">
        <f>IFERROR(__xludf.DUMMYFUNCTION("""COMPUTED_VALUE"""),"(NOT)EVENT_HIVE1_WARDROBE_OPENED")</f>
        <v>(NOT)EVENT_HIVE1_WARDROBE_OPENED</v>
      </c>
    </row>
    <row r="43">
      <c r="A43" s="37">
        <f>ROW()-ROW(Table_EventsCombi[N])</f>
        <v>15</v>
      </c>
      <c r="B43" s="51" t="str">
        <f>IFERROR(__xludf.DUMMYFUNCTION("""COMPUTED_VALUE"""),"(NOT)EVENT_HIVE1_AD_BOARD_OBSERVED_1")</f>
        <v>(NOT)EVENT_HIVE1_AD_BOARD_OBSERVED_1</v>
      </c>
    </row>
    <row r="44">
      <c r="A44" s="37">
        <f>ROW()-ROW(Table_EventsCombi[N])</f>
        <v>16</v>
      </c>
      <c r="B44" s="51" t="str">
        <f>IFERROR(__xludf.DUMMYFUNCTION("""COMPUTED_VALUE"""),"(NOT)EVENT_HIVE1_USED_PERFUME")</f>
        <v>(NOT)EVENT_HIVE1_USED_PERFUME</v>
      </c>
    </row>
    <row r="45">
      <c r="A45" s="37">
        <f>ROW()-ROW(Table_EventsCombi[N])</f>
        <v>17</v>
      </c>
      <c r="B45" s="51" t="str">
        <f>IFERROR(__xludf.DUMMYFUNCTION("""COMPUTED_VALUE"""),"(NOT)EVENT_HIVE1_USED_BASIN")</f>
        <v>(NOT)EVENT_HIVE1_USED_BASIN</v>
      </c>
    </row>
    <row r="46">
      <c r="A46" s="37">
        <f>ROW()-ROW(Table_EventsCombi[N])</f>
        <v>18</v>
      </c>
      <c r="B46" s="51" t="str">
        <f>IFERROR(__xludf.DUMMYFUNCTION("""COMPUTED_VALUE"""),"(NOT)EVENT_SOAP_PICKABLE_TAKEN")</f>
        <v>(NOT)EVENT_SOAP_PICKABLE_TAKEN</v>
      </c>
    </row>
    <row r="47">
      <c r="A47" s="37">
        <f>ROW()-ROW(Table_EventsCombi[N])</f>
        <v>19</v>
      </c>
      <c r="B47" s="51" t="str">
        <f>IFERROR(__xludf.DUMMYFUNCTION("""COMPUTED_VALUE"""),"(NOT)EVENT_LAST")</f>
        <v>(NOT)EVENT_LAST</v>
      </c>
    </row>
    <row r="48">
      <c r="A48" s="37">
        <f>ROW()-ROW(Table_EventsCombi[N])</f>
        <v>20</v>
      </c>
      <c r="B48" s="51"/>
    </row>
    <row r="49">
      <c r="A49" s="37">
        <f>ROW()-ROW(Table_EventsCombi[N])</f>
        <v>21</v>
      </c>
      <c r="B49" s="51"/>
    </row>
    <row r="50">
      <c r="A50" s="37">
        <f>ROW()-ROW(Table_EventsCombi[N])</f>
        <v>22</v>
      </c>
      <c r="B50" s="51"/>
    </row>
    <row r="51">
      <c r="A51" s="37">
        <f>ROW()-ROW(Table_EventsCombi[N])</f>
        <v>23</v>
      </c>
      <c r="B51" s="51"/>
    </row>
    <row r="52">
      <c r="A52" s="37">
        <f>ROW()-ROW(Table_EventsCombi[N])</f>
        <v>24</v>
      </c>
      <c r="B52" s="51"/>
    </row>
    <row r="53">
      <c r="A53" s="37">
        <f>ROW()-ROW(Table_EventsCombi[N])</f>
        <v>25</v>
      </c>
      <c r="B53" s="51"/>
    </row>
    <row r="54">
      <c r="A54" s="37">
        <f>ROW()-ROW(Table_EventsCombi[N])</f>
        <v>26</v>
      </c>
      <c r="B54" s="51"/>
    </row>
    <row r="55">
      <c r="A55" s="37">
        <f>ROW()-ROW(Table_EventsCombi[N])</f>
        <v>27</v>
      </c>
      <c r="B55" s="51"/>
    </row>
    <row r="56">
      <c r="A56" s="37">
        <f>ROW()-ROW(Table_EventsCombi[N])</f>
        <v>28</v>
      </c>
      <c r="B56" s="51"/>
    </row>
    <row r="57">
      <c r="A57" s="37">
        <f>ROW()-ROW(Table_EventsCombi[N])</f>
        <v>29</v>
      </c>
      <c r="B57" s="51"/>
    </row>
    <row r="58">
      <c r="A58" s="37">
        <f>ROW()-ROW(Table_EventsCombi[N])</f>
        <v>30</v>
      </c>
      <c r="B58" s="51"/>
    </row>
    <row r="59">
      <c r="A59" s="37">
        <f>ROW()-ROW(Table_EventsCombi[N])</f>
        <v>31</v>
      </c>
      <c r="B59" s="51"/>
    </row>
    <row r="60">
      <c r="A60" s="37">
        <f>ROW()-ROW(Table_EventsCombi[N])</f>
        <v>32</v>
      </c>
      <c r="B60" s="51"/>
    </row>
    <row r="61">
      <c r="A61" s="37">
        <f>ROW()-ROW(Table_EventsCombi[N])</f>
        <v>33</v>
      </c>
      <c r="B61" s="51"/>
    </row>
    <row r="62">
      <c r="A62" s="37">
        <f>ROW()-ROW(Table_EventsCombi[N])</f>
        <v>34</v>
      </c>
      <c r="B62" s="51"/>
    </row>
    <row r="63">
      <c r="A63" s="37">
        <f>ROW()-ROW(Table_EventsCombi[N])</f>
        <v>35</v>
      </c>
      <c r="B63" s="51"/>
    </row>
    <row r="64">
      <c r="A64" s="37">
        <f>ROW()-ROW(Table_EventsCombi[N])</f>
        <v>36</v>
      </c>
      <c r="B64" s="51"/>
    </row>
    <row r="65">
      <c r="A65" s="37">
        <f>ROW()-ROW(Table_EventsCombi[N])</f>
        <v>37</v>
      </c>
      <c r="B65" s="51"/>
    </row>
    <row r="66">
      <c r="A66" s="37">
        <f>ROW()-ROW(Table_EventsCombi[N])</f>
        <v>38</v>
      </c>
      <c r="B66" s="51"/>
    </row>
    <row r="67">
      <c r="A67" s="37">
        <f>ROW()-ROW(Table_EventsCombi[N])</f>
        <v>39</v>
      </c>
      <c r="B67" s="51"/>
    </row>
    <row r="68">
      <c r="A68" s="37">
        <f>ROW()-ROW(Table_EventsCombi[N])</f>
        <v>40</v>
      </c>
      <c r="B68" s="51"/>
    </row>
    <row r="69">
      <c r="A69" s="37">
        <f>ROW()-ROW(Table_EventsCombi[N])</f>
        <v>41</v>
      </c>
      <c r="B69" s="51"/>
    </row>
  </sheetData>
  <dataValidations>
    <dataValidation type="list" allowBlank="1" sqref="E19:E22">
      <formula1>#REF!</formula1>
    </dataValidation>
    <dataValidation type="list" allowBlank="1" sqref="C14:D16 C19:D22 C25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590</v>
      </c>
      <c r="B1" s="19" t="s">
        <v>591</v>
      </c>
      <c r="C1" s="19" t="s">
        <v>592</v>
      </c>
      <c r="D1" s="19" t="s">
        <v>593</v>
      </c>
    </row>
    <row r="2">
      <c r="A2" s="28" t="s">
        <v>594</v>
      </c>
      <c r="B2" s="52">
        <v>1.0</v>
      </c>
      <c r="C2" s="28" t="b">
        <v>1</v>
      </c>
      <c r="D2" s="28" t="b">
        <v>1</v>
      </c>
    </row>
    <row r="3">
      <c r="A3" s="28" t="s">
        <v>595</v>
      </c>
      <c r="B3" s="52">
        <v>1.0</v>
      </c>
      <c r="C3" s="28" t="b">
        <v>0</v>
      </c>
      <c r="D3" s="28" t="b">
        <v>1</v>
      </c>
    </row>
    <row r="4">
      <c r="A4" s="28" t="s">
        <v>596</v>
      </c>
      <c r="B4" s="52">
        <v>3.0</v>
      </c>
      <c r="C4" s="28" t="b">
        <v>1</v>
      </c>
      <c r="D4" s="28" t="b">
        <v>1</v>
      </c>
    </row>
    <row r="5">
      <c r="A5" s="28" t="s">
        <v>597</v>
      </c>
      <c r="B5" s="52">
        <v>1.0</v>
      </c>
      <c r="C5" s="28" t="b">
        <v>1</v>
      </c>
      <c r="D5" s="28" t="b">
        <v>1</v>
      </c>
    </row>
    <row r="6">
      <c r="A6" s="28" t="s">
        <v>598</v>
      </c>
      <c r="B6" s="52">
        <v>3.0</v>
      </c>
      <c r="C6" s="28" t="b">
        <v>1</v>
      </c>
      <c r="D6" s="28" t="b">
        <v>1</v>
      </c>
    </row>
    <row r="7">
      <c r="A7" s="28" t="s">
        <v>599</v>
      </c>
      <c r="B7" s="52">
        <v>3.0</v>
      </c>
      <c r="C7" s="28" t="b">
        <v>1</v>
      </c>
      <c r="D7" s="28" t="b">
        <v>1</v>
      </c>
    </row>
    <row r="8">
      <c r="A8" s="28" t="s">
        <v>600</v>
      </c>
      <c r="B8" s="52">
        <v>5.0</v>
      </c>
      <c r="C8" s="28" t="b">
        <v>1</v>
      </c>
      <c r="D8" s="28" t="b">
        <v>1</v>
      </c>
    </row>
    <row r="9">
      <c r="A9" s="28" t="s">
        <v>601</v>
      </c>
      <c r="B9" s="52">
        <v>4.0</v>
      </c>
      <c r="C9" s="28" t="b">
        <v>1</v>
      </c>
      <c r="D9" s="28" t="b">
        <v>1</v>
      </c>
    </row>
    <row r="10">
      <c r="A10" s="28" t="s">
        <v>602</v>
      </c>
      <c r="B10" s="52">
        <v>5.0</v>
      </c>
      <c r="C10" s="28" t="b">
        <v>0</v>
      </c>
      <c r="D10" s="28" t="b">
        <v>0</v>
      </c>
    </row>
    <row r="11">
      <c r="A11" s="28" t="s">
        <v>603</v>
      </c>
      <c r="B11" s="52">
        <v>4.0</v>
      </c>
      <c r="C11" s="28" t="b">
        <v>0</v>
      </c>
      <c r="D11" s="28" t="b">
        <v>0</v>
      </c>
    </row>
    <row r="12">
      <c r="A12" s="28" t="s">
        <v>604</v>
      </c>
      <c r="B12" s="52">
        <v>1.0</v>
      </c>
      <c r="C12" s="28" t="b">
        <v>1</v>
      </c>
      <c r="D12" s="28" t="b">
        <v>1</v>
      </c>
    </row>
    <row r="13">
      <c r="A13" s="28" t="s">
        <v>605</v>
      </c>
      <c r="B13" s="52">
        <v>4.0</v>
      </c>
      <c r="C13" s="28" t="b">
        <v>1</v>
      </c>
      <c r="D13" s="28" t="b">
        <v>1</v>
      </c>
    </row>
    <row r="14">
      <c r="A14" s="28" t="s">
        <v>606</v>
      </c>
      <c r="B14" s="52">
        <v>1.0</v>
      </c>
      <c r="C14" s="28" t="b">
        <v>1</v>
      </c>
      <c r="D14" s="28" t="b">
        <v>1</v>
      </c>
    </row>
    <row r="15">
      <c r="A15" s="28" t="s">
        <v>607</v>
      </c>
      <c r="B15" s="52">
        <v>2.0</v>
      </c>
      <c r="C15" s="28" t="b">
        <v>1</v>
      </c>
      <c r="D15" s="28" t="b">
        <v>1</v>
      </c>
    </row>
    <row r="16">
      <c r="A16" s="28" t="s">
        <v>608</v>
      </c>
      <c r="B16" s="52">
        <v>3.0</v>
      </c>
      <c r="C16" s="28" t="b">
        <v>1</v>
      </c>
      <c r="D16" s="28" t="b">
        <v>1</v>
      </c>
    </row>
    <row r="17">
      <c r="A17" s="28" t="s">
        <v>609</v>
      </c>
      <c r="B17" s="52">
        <v>2.0</v>
      </c>
      <c r="C17" s="28" t="b">
        <v>1</v>
      </c>
      <c r="D17" s="28" t="b">
        <v>1</v>
      </c>
    </row>
    <row r="18">
      <c r="A18" s="28" t="s">
        <v>610</v>
      </c>
      <c r="B18" s="52">
        <v>2.0</v>
      </c>
      <c r="C18" s="28" t="b">
        <v>1</v>
      </c>
      <c r="D18" s="28" t="b">
        <v>1</v>
      </c>
    </row>
    <row r="19">
      <c r="A19" s="28" t="s">
        <v>611</v>
      </c>
      <c r="B19" s="52">
        <v>2.0</v>
      </c>
      <c r="C19" s="28" t="b">
        <v>1</v>
      </c>
      <c r="D19" s="28" t="b">
        <v>1</v>
      </c>
    </row>
    <row r="20">
      <c r="A20" s="28" t="s">
        <v>612</v>
      </c>
      <c r="B20" s="52">
        <v>2.0</v>
      </c>
      <c r="C20" s="28" t="b">
        <v>1</v>
      </c>
      <c r="D20" s="28" t="b">
        <v>1</v>
      </c>
    </row>
    <row r="21">
      <c r="A21" s="28" t="s">
        <v>613</v>
      </c>
      <c r="B21" s="52">
        <v>3.0</v>
      </c>
      <c r="C21" s="28" t="b">
        <v>1</v>
      </c>
      <c r="D21" s="28" t="b">
        <v>1</v>
      </c>
    </row>
    <row r="22">
      <c r="A22" s="28" t="s">
        <v>614</v>
      </c>
      <c r="B22" s="52">
        <v>2.0</v>
      </c>
      <c r="C22" s="28" t="b">
        <v>1</v>
      </c>
      <c r="D22" s="28" t="b">
        <v>1</v>
      </c>
    </row>
    <row r="23">
      <c r="A23" s="28" t="s">
        <v>615</v>
      </c>
      <c r="B23" s="52">
        <v>2.0</v>
      </c>
      <c r="C23" s="28" t="b">
        <v>1</v>
      </c>
      <c r="D23" s="28" t="b">
        <v>1</v>
      </c>
    </row>
    <row r="24">
      <c r="A24" s="28" t="s">
        <v>616</v>
      </c>
      <c r="B24" s="52">
        <v>2.0</v>
      </c>
      <c r="C24" s="28" t="b">
        <v>1</v>
      </c>
      <c r="D24" s="28" t="b">
        <v>1</v>
      </c>
    </row>
    <row r="25">
      <c r="A25" s="28" t="s">
        <v>617</v>
      </c>
      <c r="B25" s="52">
        <v>2.0</v>
      </c>
      <c r="C25" s="28" t="b">
        <v>1</v>
      </c>
      <c r="D25" s="28" t="b">
        <v>1</v>
      </c>
    </row>
    <row r="26">
      <c r="A26" s="28" t="s">
        <v>618</v>
      </c>
      <c r="B26" s="52">
        <v>2.0</v>
      </c>
      <c r="C26" s="28" t="b">
        <v>1</v>
      </c>
      <c r="D26" s="28" t="b">
        <v>1</v>
      </c>
    </row>
    <row r="27">
      <c r="A27" s="28" t="s">
        <v>619</v>
      </c>
      <c r="B27" s="52">
        <v>2.0</v>
      </c>
      <c r="C27" s="28" t="b">
        <v>1</v>
      </c>
      <c r="D27" s="28" t="b">
        <v>1</v>
      </c>
    </row>
    <row r="28">
      <c r="A28" s="28" t="s">
        <v>620</v>
      </c>
      <c r="B28" s="52">
        <v>2.0</v>
      </c>
      <c r="C28" s="28" t="b">
        <v>0</v>
      </c>
      <c r="D28" s="28" t="b">
        <v>0</v>
      </c>
    </row>
    <row r="29">
      <c r="A29" s="28" t="s">
        <v>621</v>
      </c>
      <c r="B29" s="52">
        <v>4.0</v>
      </c>
      <c r="C29" s="28" t="b">
        <v>0</v>
      </c>
      <c r="D29" s="28" t="b">
        <v>0</v>
      </c>
    </row>
    <row r="30">
      <c r="A30" s="28" t="s">
        <v>622</v>
      </c>
      <c r="B30" s="52">
        <v>2.0</v>
      </c>
      <c r="C30" s="28" t="b">
        <v>0</v>
      </c>
      <c r="D30" s="28" t="b">
        <v>0</v>
      </c>
    </row>
    <row r="31">
      <c r="A31" s="28" t="s">
        <v>465</v>
      </c>
      <c r="B31" s="52">
        <v>5.0</v>
      </c>
      <c r="C31" s="28" t="b">
        <v>0</v>
      </c>
      <c r="D31" s="28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53" t="s">
        <v>623</v>
      </c>
      <c r="B1" s="53" t="s">
        <v>624</v>
      </c>
      <c r="D1" s="53" t="s">
        <v>625</v>
      </c>
      <c r="E1" s="53" t="s">
        <v>624</v>
      </c>
    </row>
    <row r="2" ht="22.5" customHeight="1">
      <c r="A2" s="54" t="str">
        <f>IFERROR(__xludf.DUMMYFUNCTION("FILTER(Table_PickableSprites[WORK],Table_PickableSprites[WORK]&lt;&gt;"""")"),"SPRITE_ITEM_CARDS_PICKABLE")</f>
        <v>SPRITE_ITEM_CARDS_PICKABLE</v>
      </c>
      <c r="B2" s="54" t="str">
        <f t="array" ref="B2:B17">IF(Table_Items[SpritePickable]&lt;&gt;"SPRITE_NONE",Table_Items[SpritePickable],"")</f>
        <v/>
      </c>
      <c r="D2" s="54" t="str">
        <f>IFERROR(__xludf.DUMMYFUNCTION("FILTER(Table_PickableNames[WORK],Table_PickableNames[WORK]&lt;&gt;"""")"),"NAME_ITEM_CARDS")</f>
        <v>NAME_ITEM_CARDS</v>
      </c>
      <c r="E2" s="54" t="str">
        <f t="array" ref="E2:E17">IF(Table_Items[SpritePickable]&lt;&gt;"SPRITE_NONE",Table_Items[Name],"")</f>
        <v/>
      </c>
    </row>
    <row r="3" ht="22.5" customHeight="1">
      <c r="A3" s="54" t="str">
        <f>IFERROR(__xludf.DUMMYFUNCTION("""COMPUTED_VALUE"""),"SPRITE_BLANK")</f>
        <v>SPRITE_BLANK</v>
      </c>
      <c r="B3" s="54" t="s">
        <v>20</v>
      </c>
      <c r="D3" s="54" t="str">
        <f>IFERROR(__xludf.DUMMYFUNCTION("""COMPUTED_VALUE"""),"NAME_ITEM_AD_BOARD")</f>
        <v>NAME_ITEM_AD_BOARD</v>
      </c>
      <c r="E3" s="54" t="s">
        <v>20</v>
      </c>
    </row>
    <row r="4" ht="22.5" customHeight="1">
      <c r="A4" s="54" t="str">
        <f>IFERROR(__xludf.DUMMYFUNCTION("""COMPUTED_VALUE"""),"SPRITE_BLANK")</f>
        <v>SPRITE_BLANK</v>
      </c>
      <c r="B4" s="54" t="s">
        <v>20</v>
      </c>
      <c r="D4" s="54" t="str">
        <f>IFERROR(__xludf.DUMMYFUNCTION("""COMPUTED_VALUE"""),"NAME_ITEM_CROSS")</f>
        <v>NAME_ITEM_CROSS</v>
      </c>
      <c r="E4" s="54" t="s">
        <v>20</v>
      </c>
    </row>
    <row r="5" ht="22.5" customHeight="1">
      <c r="A5" s="54" t="str">
        <f>IFERROR(__xludf.DUMMYFUNCTION("""COMPUTED_VALUE"""),"SPRITE_BLANK")</f>
        <v>SPRITE_BLANK</v>
      </c>
      <c r="B5" s="54" t="s">
        <v>221</v>
      </c>
      <c r="D5" s="54" t="str">
        <f>IFERROR(__xludf.DUMMYFUNCTION("""COMPUTED_VALUE"""),"NAME_ITEM_BASIN")</f>
        <v>NAME_ITEM_BASIN</v>
      </c>
      <c r="E5" s="54" t="s">
        <v>219</v>
      </c>
    </row>
    <row r="6" ht="22.5" customHeight="1">
      <c r="A6" s="54" t="str">
        <f>IFERROR(__xludf.DUMMYFUNCTION("""COMPUTED_VALUE"""),"SPRITE_PICKABLE_SOAP")</f>
        <v>SPRITE_PICKABLE_SOAP</v>
      </c>
      <c r="B6" s="54" t="s">
        <v>20</v>
      </c>
      <c r="D6" s="54" t="str">
        <f>IFERROR(__xludf.DUMMYFUNCTION("""COMPUTED_VALUE"""),"NAME_ITEM_SOAP")</f>
        <v>NAME_ITEM_SOAP</v>
      </c>
      <c r="E6" s="54" t="s">
        <v>20</v>
      </c>
    </row>
    <row r="7" ht="22.5" customHeight="1">
      <c r="B7" s="54" t="s">
        <v>20</v>
      </c>
      <c r="E7" s="54" t="s">
        <v>20</v>
      </c>
    </row>
    <row r="8" ht="22.5" customHeight="1">
      <c r="B8" s="54" t="s">
        <v>20</v>
      </c>
      <c r="E8" s="54" t="s">
        <v>20</v>
      </c>
    </row>
    <row r="9" ht="22.5" customHeight="1">
      <c r="B9" s="54" t="s">
        <v>20</v>
      </c>
      <c r="E9" s="54" t="s">
        <v>20</v>
      </c>
    </row>
    <row r="10" ht="22.5" customHeight="1">
      <c r="B10" s="54" t="s">
        <v>20</v>
      </c>
      <c r="E10" s="54" t="s">
        <v>20</v>
      </c>
    </row>
    <row r="11" ht="22.5" customHeight="1">
      <c r="B11" s="54" t="s">
        <v>20</v>
      </c>
      <c r="E11" s="54" t="s">
        <v>20</v>
      </c>
    </row>
    <row r="12" ht="22.5" customHeight="1">
      <c r="B12" s="54" t="s">
        <v>20</v>
      </c>
      <c r="E12" s="54" t="s">
        <v>20</v>
      </c>
    </row>
    <row r="13" ht="22.5" customHeight="1">
      <c r="B13" s="54" t="s">
        <v>225</v>
      </c>
      <c r="E13" s="54" t="s">
        <v>244</v>
      </c>
    </row>
    <row r="14" ht="22.5" customHeight="1">
      <c r="B14" s="54" t="s">
        <v>225</v>
      </c>
      <c r="E14" s="54" t="s">
        <v>231</v>
      </c>
    </row>
    <row r="15" ht="22.5" customHeight="1">
      <c r="B15" s="54" t="s">
        <v>225</v>
      </c>
      <c r="E15" s="54" t="s">
        <v>249</v>
      </c>
    </row>
    <row r="16" ht="22.5" customHeight="1">
      <c r="B16" s="54" t="s">
        <v>253</v>
      </c>
      <c r="E16" s="54" t="s">
        <v>252</v>
      </c>
    </row>
    <row r="17" ht="22.5" customHeight="1">
      <c r="B17" s="54" t="s">
        <v>20</v>
      </c>
      <c r="E17" s="54" t="s">
        <v>20</v>
      </c>
    </row>
    <row r="18" ht="22.5" customHeight="1"/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