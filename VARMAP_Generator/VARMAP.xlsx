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1nPiJknMZ4vwn7MlCMNG//lIDPMf51GArH8aDJz+k7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<sst xmlns="http://schemas.openxmlformats.org/spreadsheetml/2006/main" count="1900" uniqueCount="722">
  <si>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</si>
  <si>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</si>
  <si>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</si>
  <si>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</si>
  <si>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</si>
  <si>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</si>
  <si>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</si>
  <si>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</si>
  <si>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</si>
  <si>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</si>
  <si>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</si>
  <si>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</si>
  <si>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</si>
  <si>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</si>
  <si>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</si>
  <si>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</si>
  <si>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</si>
  <si>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</si>
  <si>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</si>
  <si>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</si>
  <si>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</si>
  <si>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</si>
  <si>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</si>
  <si>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</si>
  <si>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</si>
  <si>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</si>
  <si>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</si>
  <si>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</si>
  <si>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</si>
  <si>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</si>
  <si>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</si>
  <si>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</si>
  <si>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</si>
  <si>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</si>
  <si>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</si>
  <si>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</si>
  <si>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</si>
  <si>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</si>
  <si>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</si>
  <si>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</si>
  <si>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</si>
  <si>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</si>
  <si>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</si>
  <si>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</si>
  <si>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</si>
  <si>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</si>
  <si>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</si>
  <si>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</si>
  <si>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</si>
  <si>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</si>
  <si>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</si>
  <si>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</si>
  <si>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</si>
  <si>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</si>
  <si>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</si>
  <si>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</si>
  <si>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</si>
  <si>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</si>
  <si>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</si>
  <si>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</si>
  <si>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</si>
  <si>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</si>
  <si>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</si>
  <si>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</si>
  <si>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</si>
  <si>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</si>
  <si>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</si>
  <si>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</si>
  <si>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</si>
  <si>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</si>
  <si>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</si>
  <si>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</si>
  <si>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</si>
  <si>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</si>
  <si>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</si>
  <si>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</si>
  <si>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</si>
  <si>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</si>
  <si>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</si>
  <si>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</si>
  <si>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</si>
  <si>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</si>
  <si>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</si>
  <si>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</si>
  <si>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</si>
  <si>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</si>
  <si>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</si>
  <si>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</si>
  <si>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</si>
  <si>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</si>
  <si>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</si>
  <si>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</si>
  <si>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</si>
  <si>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</si>
  <si>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</si>
  <si>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</si>
  <si>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</si>
  <si>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</si>
  <si>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</si>
  <si>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</si>
  <si>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</si>
  <si>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</si>
  <si>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</si>
  <si>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</si>
  <si>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</si>
  <si>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</si>
  <si>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</si>
  <si>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</si>
  <si>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</si>
  <si>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</si>
  <si>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</si>
  <si>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</si>
  <si>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</si>
  <si>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</si>
  <si>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</si>
  <si>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</si>
  <si>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</si>
  <si>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</si>
  <si>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</si>
  <si>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</si>
  <si>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</si>
  <si>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</si>
  <si>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</si>
  <si>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</si>
  <si>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</si>
  <si>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</si>
  <si>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</si>
  <si>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</si>
  <si>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</si>
  <si>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</si>
  <si>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</si>
  <si>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</si>
  <si>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</si>
  <si>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</si>
  <si>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</si>
  <si>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</si>
  <si>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</si>
  <si>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</si>
  <si>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</si>
  <si>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</si>
  <si>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</si>
  <si>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</si>
  <si>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</si>
  <si>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</si>
  <si>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</si>
  <si>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</si>
  <si>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</si>
  <si>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</si>
  <si>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</si>
  <si>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</si>
  <si>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</si>
  <si>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</si>
  <si>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</si>
  <si>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</si>
  <si>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</si>
  <si>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</si>
  <si>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</si>
  <si>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</si>
  <si>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</si>
  <si>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</si>
  <si>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</si>
  <si>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</si>
  <si>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</si>
  <si>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</si>
  <si>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</si>
  <si>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</si>
  <si>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</si>
  <si>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</si>
  <si>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</si>
  <si>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</si>
  <si>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</si>
  <si>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</si>
  <si>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</si>
  <si>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</si>
  <si>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</si>
  <si>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</si>
  <si>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</si>
  <si>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</si>
  <si>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</si>
  <si>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</si>
  <si>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</si>
  <si>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</si>
  <si>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</si>
  <si>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</si>
  <si>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</si>
  <si>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</si>
  <si>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</si>
  <si>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</si>
  <si>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</si>
  <si>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</si>
  <si>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</si>
  <si>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</si>
  <si>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</si>
  <si>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</si>
  <si>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</si>
  <si>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</si>
  <si>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</si>
  <si>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</si>
  <si>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</si>
  <si>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</si>
  <si>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</si>
  <si>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</si>
  <si>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</si>
  <si>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</si>
  <si>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</si>
  <si>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</si>
  <si>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</si>
  <si>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</si>
  <si>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</si>
  <si>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</si>
  <si>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</si>
  <si>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</si>
  <si>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</si>
  <si>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</si>
  <si>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</si>
  <si>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</si>
  <si>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</si>
  <si>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</si>
  <si>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</si>
  <si>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</si>
  <si>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</si>
  <si>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</si>
  <si>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</si>
  <si>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</si>
  <si>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</si>
  <si>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</si>
  <si>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</si>
  <si>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</si>
  <si>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</si>
  <si>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</si>
  <si>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</si>
  <si>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</si>
  <si>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</si>
  <si>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</si>
  <si>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</si>
  <si>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</si>
  <si>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</si>
  <si>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</si>
  <si>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</si>
  <si>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</si>
  <si>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</si>
  <si>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</si>
  <si>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</si>
  <si>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</si>
  <si>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</si>
  <si>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</si>
  <si>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</si>
  <si>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</si>
  <si>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</si>
  <si>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</si>
  <si>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</si>
  <si>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</si>
  <si>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</si>
  <si>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</si>
  <si>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</si>
  <si>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</si>
  <si>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</si>
  <si>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</si>
  <si>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</si>
  <si>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</si>
  <si>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</si>
  <si>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</si>
  <si>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</si>
  <si>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</si>
  <si>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</si>
  <si>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</si>
  <si>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</si>
  <si>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</si>
  <si>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</si>
  <si>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</si>
  <si>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</si>
  <si>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</si>
  <si>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</si>
  <si>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</si>
  <si>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</si>
  <si>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</si>
  <si>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</si>
  <si>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</si>
  <si>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</si>
  <si>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</si>
  <si>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</si>
  <si>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</si>
  <si>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</si>
  <si>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</si>
  <si>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</si>
  <si>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</si>
  <si>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</si>
  <si>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</si>
  <si>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</si>
  <si>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</si>
  <si>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</si>
  <si>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</si>
  <si>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</si>
  <si>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</si>
  <si>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</si>
  <si>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</si>
  <si>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</si>
  <si>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</si>
  <si>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</si>
  <si>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</si>
  <si>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</si>
  <si>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</si>
  <si>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</si>
  <si>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</si>
  <si>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</si>
  <si>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</si>
  <si>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</si>
  <si>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</si>
  <si>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</si>
  <si>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</si>
  <si>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</si>
  <si>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</si>
  <si>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</si>
  <si>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</si>
  <si>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</si>
  <si>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</si>
  <si>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</si>
  <si>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</si>
  <si>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</si>
  <si>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</si>
  <si>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</si>
  <si>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</si>
  <si>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</si>
  <si>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</si>
  <si>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</si>
  <si>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</si>
  <si>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</si>
  <si>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</si>
  <si>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</si>
  <si>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</si>
  <si>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</si>
  <si>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</si>
  <si>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</si>
  <si>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</si>
  <si>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</si>
  <si>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</si>
  <si>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</si>
  <si>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</si>
  <si>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</si>
  <si>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</si>
  <si>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</si>
  <si>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</si>
  <si>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</si>
  <si>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</si>
  <si>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</si>
  <si>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</si>
  <si>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</si>
  <si>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</si>
  <si>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</si>
  <si>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</si>
  <si>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</si>
  <si>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</si>
  <si>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</si>
  <si>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</si>
  <si>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</si>
  <si>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</si>
  <si>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</si>
  <si>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</si>
  <si>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</si>
  <si>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</si>
  <si>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</si>
  <si>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</si>
  <si>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</si>
  <si>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</si>
  <si>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</si>
  <si>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</si>
  <si>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</si>
  <si>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</si>
  <si>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</si>
  <si>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</si>
  <si>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</si>
  <si>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</si>
  <si>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</si>
  <si>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</si>
  <si>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</si>
  <si>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</si>
  <si>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</si>
  <si>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</si>
  <si>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</si>
  <si>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</si>
  <si>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</si>
  <si>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</si>
  <si>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</si>
  <si>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</si>
  <si>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</si>
  <si>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</si>
  <si>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</si>
  <si>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</si>
  <si>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</si>
  <si>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</si>
  <si>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</si>
  <si>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</si>
  <si>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</si>
  <si>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</si>
  <si>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</si>
  <si>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</si>
  <si>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</si>
  <si>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</si>
  <si>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</si>
  <si>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</si>
  <si>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</si>
  <si>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</si>
  <si>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</si>
  <si>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</si>
  <si>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</si>
  <si>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</si>
  <si>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</si>
  <si>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</si>
  <si>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</si>
  <si>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</si>
  <si>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</si>
  <si>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</si>
  <si>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</si>
  <si>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</si>
  <si>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</si>
  <si>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</si>
  <si>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</si>
  <si>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</si>
  <si>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</si>
  <si>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</si>
  <si>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</si>
  <si>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</si>
  <si>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</si>
  <si>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</si>
  <si>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</si>
  <si>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</si>
  <si>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</si>
  <si>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</si>
  <si>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</si>
  <si>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</si>
  <si>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</si>
  <si>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</si>
  <si>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</si>
  <si>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</si>
  <si>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</si>
  <si>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</si>
  <si>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</si>
  <si>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</si>
  <si>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</si>
  <si>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</si>
  <si>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</si>
  <si>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</si>
  <si>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</si>
  <si>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</si>
  <si>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</si>
  <si>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</si>
  <si>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</si>
  <si>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</si>
  <si>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</si>
  <si>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</si>
  <si>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</si>
  <si>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</si>
  <si>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</si>
  <si>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</si>
  <si>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</si>
  <si>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</si>
  <si>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</si>
  <si>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</si>
  <si>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</si>
  <si>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</si>
  <si>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</si>
  <si>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</si>
  <si>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</si>
  <si>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</si>
  <si>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</si>
  <si>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</si>
  <si>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</si>
  <si>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</si>
  <si>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</si>
  <si>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</si>
  <si>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</si>
  <si>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</si>
  <si>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</si>
  <si>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</si>
  <si>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</si>
  <si>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</si>
  <si>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</si>
  <si>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</si>
  <si>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</si>
  <si>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</si>
  <si>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</si>
  <si>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</si>
  <si>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</si>
  <si>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</si>
  <si>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</si>
  <si>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</si>
  <si>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</si>
  <si>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</si>
  <si>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</si>
  <si>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</si>
  <si>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</si>
  <si>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</si>
  <si>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</si>
  <si>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</si>
  <si>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</si>
  <si>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</si>
  <si>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</si>
  <si>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</si>
  <si>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</si>
  <si>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</si>
  <si>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</si>
  <si>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</si>
  <si>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</si>
  <si>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</si>
  <si>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</si>
  <si>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</si>
  <si>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</si>
  <si>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</si>
  <si>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</si>
  <si>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</si>
  <si>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</si>
  <si>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</si>
  <si>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</si>
  <si>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</si>
  <si>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</si>
  <si>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</si>
  <si>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</si>
  <si>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</si>
  <si>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</si>
  <si>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</si>
  <si>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</si>
  <si>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</si>
  <si>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</si>
  <si>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</si>
  <si>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</si>
  <si>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</si>
  <si>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</si>
  <si>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</si>
  <si>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</si>
  <si>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</si>
  <si>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</si>
  <si>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</si>
  <si>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</si>
  <si>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</si>
  <si>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</si>
  <si>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</si>
  <si>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</si>
  <si>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</si>
  <si>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</si>
  <si>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</si>
  <si>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</si>
  <si>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</si>
  <si>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</si>
  <si>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</si>
  <si>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</si>
  <si>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</si>
  <si>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</si>
  <si>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</si>
  <si>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</si>
  <si>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</si>
  <si>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</si>
  <si>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</si>
  <si>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</si>
  <si>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</si>
  <si>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</si>
  <si>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</si>
  <si>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</si>
  <si>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</si>
  <si>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</si>
  <si>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</si>
  <si>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</si>
  <si>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</si>
  <si>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</si>
  <si>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</si>
  <si>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</si>
  <si>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</si>
  <si>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</si>
  <si>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</si>
  <si>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</si>
  <si>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</si>
  <si>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</si>
  <si>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</si>
  <si>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</si>
  <si>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</si>
  <si>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</si>
  <si>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</si>
  <si>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</si>
  <si>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</si>
  <si>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</si>
  <si>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</si>
  <si>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</si>
  <si>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</si>
  <si>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</si>
  <si>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</si>
  <si>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</si>
  <si>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</si>
  <si>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</si>
  <si>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</si>
  <si>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</si>
  <si>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</si>
  <si>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</si>
  <si>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</si>
  <si>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</si>
  <si>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</si>
  <si>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</si>
  <si>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</si>
  <si>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</si>
  <si>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</si>
  <si>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</si>
  <si>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</si>
  <si>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</si>
  <si>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</si>
  <si>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</si>
  <si>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</si>
  <si>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</si>
  <si>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</si>
  <si>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</si>
  <si>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</si>
  <si>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</si>
  <si>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</si>
  <si>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</si>
  <si>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</si>
  <si>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</si>
  <si>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</si>
  <si>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</si>
  <si>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</si>
  <si>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</si>
  <si>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</si>
  <si>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</si>
  <si>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</si>
  <si>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</si>
  <si>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</si>
  <si>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</si>
  <si>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</si>
  <si>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</si>
  <si>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</si>
  <si>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</si>
  <si>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</si>
  <si>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</si>
  <si>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</si>
  <si>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</si>
  <si>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</si>
  <si>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</si>
  <si>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</si>
  <si>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</si>
  <si>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</si>
  <si>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</si>
  <si>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</si>
  <si>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</si>
  <si>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</si>
  <si>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</si>
  <si>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</si>
  <si>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</si>
  <si>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</si>
  <si>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</si>
  <si>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</si>
  <si>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</si>
  <si>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</si>
  <si>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</si>
  <si>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</si>
  <si>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</si>
  <si>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</si>
  <si>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</si>
  <si>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</si>
  <si>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</si>
  <si>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</si>
  <si>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</si>
  <si>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</si>
  <si>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</si>
  <si>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</si>
  <si>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</si>
  <si>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</si>
  <si>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</si>
  <si>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</si>
  <si>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</si>
  <si>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MOMENT_NIGHT</t>
  </si>
  <si>
    <t>EVENT_ID</t>
  </si>
  <si>
    <t>EVENT_MASTER_CHANGE_ROOM</t>
  </si>
  <si>
    <t>EVENT_MASTER_CHANGE_MOMENT_DAY</t>
  </si>
  <si>
    <t>EVENT_CAN_GO_SOUTH_NEIGH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</si>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</sst>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1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3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5:N47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33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3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1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9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7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19:E22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4:F28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30:C31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3:B75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21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243</v>
      </c>
      <c r="E18" s="25" t="s">
        <v>236</v>
      </c>
      <c r="F18" s="23" t="s">
        <v>236</v>
      </c>
      <c r="G18" s="26" t="b">
        <v>0</v>
      </c>
      <c r="H18" s="23" t="s">
        <v>218</v>
      </c>
      <c r="I18" s="27" t="s">
        <v>271</v>
      </c>
    </row>
    <row r="19">
      <c r="A19" s="22">
        <f t="shared" si="1"/>
        <v>17</v>
      </c>
      <c r="B19" s="22" t="s">
        <v>272</v>
      </c>
      <c r="C19" s="23" t="s">
        <v>273</v>
      </c>
      <c r="D19" s="24" t="s">
        <v>243</v>
      </c>
      <c r="E19" s="25" t="s">
        <v>236</v>
      </c>
      <c r="F19" s="23" t="s">
        <v>236</v>
      </c>
      <c r="G19" s="26" t="b">
        <v>0</v>
      </c>
      <c r="H19" s="23" t="s">
        <v>218</v>
      </c>
      <c r="I19" s="27" t="s">
        <v>219</v>
      </c>
    </row>
    <row r="20">
      <c r="A20" s="22">
        <f t="shared" si="1"/>
        <v>18</v>
      </c>
      <c r="B20" s="22" t="s">
        <v>274</v>
      </c>
      <c r="C20" s="23" t="s">
        <v>275</v>
      </c>
      <c r="D20" s="24" t="s">
        <v>243</v>
      </c>
      <c r="E20" s="25" t="s">
        <v>236</v>
      </c>
      <c r="F20" s="23" t="s">
        <v>236</v>
      </c>
      <c r="G20" s="26" t="b">
        <v>0</v>
      </c>
      <c r="H20" s="23" t="s">
        <v>218</v>
      </c>
      <c r="I20" s="27" t="s">
        <v>219</v>
      </c>
    </row>
    <row r="21">
      <c r="A21" s="22">
        <f t="shared" si="1"/>
        <v>19</v>
      </c>
      <c r="B21" s="22" t="s">
        <v>276</v>
      </c>
      <c r="C21" s="23" t="s">
        <v>277</v>
      </c>
      <c r="D21" s="24" t="s">
        <v>217</v>
      </c>
      <c r="E21" s="25" t="s">
        <v>278</v>
      </c>
      <c r="F21" s="23" t="s">
        <v>278</v>
      </c>
      <c r="G21" s="26" t="b">
        <v>0</v>
      </c>
      <c r="H21" s="23" t="s">
        <v>218</v>
      </c>
      <c r="I21" s="27" t="s">
        <v>219</v>
      </c>
    </row>
  </sheetData>
  <dataValidations>
    <dataValidation type="list" allowBlank="1" sqref="E2:E21 I2:I21">
      <formula1>#REF!</formula1>
    </dataValidation>
    <dataValidation type="list" allowBlank="1" sqref="C2:D21 F2:F21 H2:H21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279</v>
      </c>
      <c r="C1" s="19" t="s">
        <v>280</v>
      </c>
      <c r="D1" s="20" t="s">
        <v>281</v>
      </c>
      <c r="E1" s="20" t="s">
        <v>282</v>
      </c>
      <c r="F1" s="20" t="s">
        <v>283</v>
      </c>
      <c r="G1" s="19" t="s">
        <v>284</v>
      </c>
      <c r="H1" s="19" t="s">
        <v>285</v>
      </c>
      <c r="I1" s="20" t="s">
        <v>286</v>
      </c>
      <c r="J1" s="21" t="s">
        <v>287</v>
      </c>
    </row>
    <row r="2">
      <c r="A2" s="28">
        <f>ROW()-ROW(Table_Action_Conditions[N])</f>
        <v>0</v>
      </c>
      <c r="B2" s="28" t="s">
        <v>219</v>
      </c>
      <c r="C2" s="29" t="s">
        <v>288</v>
      </c>
      <c r="D2" s="30" t="s">
        <v>289</v>
      </c>
      <c r="E2" s="30" t="s">
        <v>215</v>
      </c>
      <c r="F2" s="30" t="s">
        <v>290</v>
      </c>
      <c r="G2" s="30" t="s">
        <v>291</v>
      </c>
      <c r="H2" s="30" t="s">
        <v>292</v>
      </c>
      <c r="I2" s="30" t="s">
        <v>293</v>
      </c>
      <c r="J2" s="31" t="s">
        <v>288</v>
      </c>
    </row>
    <row r="3">
      <c r="A3" s="28">
        <f>ROW()-ROW(Table_Action_Conditions[N])</f>
        <v>1</v>
      </c>
      <c r="B3" s="28" t="s">
        <v>294</v>
      </c>
      <c r="C3" s="32" t="s">
        <v>295</v>
      </c>
      <c r="D3" s="30" t="s">
        <v>296</v>
      </c>
      <c r="E3" s="30" t="s">
        <v>215</v>
      </c>
      <c r="F3" s="30" t="s">
        <v>297</v>
      </c>
      <c r="G3" s="30" t="s">
        <v>298</v>
      </c>
      <c r="H3" s="30" t="s">
        <v>292</v>
      </c>
      <c r="I3" s="30" t="s">
        <v>293</v>
      </c>
      <c r="J3" s="33" t="s">
        <v>299</v>
      </c>
    </row>
    <row r="4">
      <c r="A4" s="28">
        <f>ROW()-ROW(Table_Action_Conditions[N])</f>
        <v>2</v>
      </c>
      <c r="B4" s="28" t="s">
        <v>300</v>
      </c>
      <c r="C4" s="32" t="s">
        <v>299</v>
      </c>
      <c r="D4" s="30" t="s">
        <v>296</v>
      </c>
      <c r="E4" s="30" t="s">
        <v>215</v>
      </c>
      <c r="F4" s="30" t="s">
        <v>297</v>
      </c>
      <c r="G4" s="30" t="s">
        <v>298</v>
      </c>
      <c r="H4" s="30" t="s">
        <v>292</v>
      </c>
      <c r="I4" s="30" t="s">
        <v>293</v>
      </c>
      <c r="J4" s="33" t="s">
        <v>295</v>
      </c>
    </row>
    <row r="5">
      <c r="A5" s="28">
        <f>ROW()-ROW(Table_Action_Conditions[N])</f>
        <v>3</v>
      </c>
      <c r="B5" s="28" t="s">
        <v>233</v>
      </c>
      <c r="C5" s="32" t="s">
        <v>301</v>
      </c>
      <c r="D5" s="30" t="s">
        <v>296</v>
      </c>
      <c r="E5" s="30" t="s">
        <v>215</v>
      </c>
      <c r="F5" s="30" t="s">
        <v>297</v>
      </c>
      <c r="G5" s="30" t="s">
        <v>298</v>
      </c>
      <c r="H5" s="30" t="s">
        <v>292</v>
      </c>
      <c r="I5" s="30" t="s">
        <v>293</v>
      </c>
      <c r="J5" s="33" t="s">
        <v>302</v>
      </c>
    </row>
    <row r="6">
      <c r="A6" s="28">
        <f>ROW()-ROW(Table_Action_Conditions[N])</f>
        <v>4</v>
      </c>
      <c r="B6" s="28" t="s">
        <v>237</v>
      </c>
      <c r="C6" s="32" t="s">
        <v>303</v>
      </c>
      <c r="D6" s="30" t="s">
        <v>296</v>
      </c>
      <c r="E6" s="30" t="s">
        <v>215</v>
      </c>
      <c r="F6" s="30" t="s">
        <v>297</v>
      </c>
      <c r="G6" s="30" t="s">
        <v>298</v>
      </c>
      <c r="H6" s="30" t="s">
        <v>292</v>
      </c>
      <c r="I6" s="30" t="s">
        <v>293</v>
      </c>
      <c r="J6" s="33" t="s">
        <v>304</v>
      </c>
    </row>
    <row r="7">
      <c r="A7" s="28">
        <f>ROW()-ROW(Table_Action_Conditions[N])</f>
        <v>5</v>
      </c>
      <c r="B7" s="28" t="s">
        <v>240</v>
      </c>
      <c r="C7" s="32" t="s">
        <v>304</v>
      </c>
      <c r="D7" s="30" t="s">
        <v>296</v>
      </c>
      <c r="E7" s="30" t="s">
        <v>215</v>
      </c>
      <c r="F7" s="30" t="s">
        <v>297</v>
      </c>
      <c r="G7" s="30" t="s">
        <v>298</v>
      </c>
      <c r="H7" s="30" t="s">
        <v>292</v>
      </c>
      <c r="I7" s="30" t="s">
        <v>293</v>
      </c>
      <c r="J7" s="33" t="s">
        <v>303</v>
      </c>
    </row>
    <row r="8">
      <c r="A8" s="28">
        <f>ROW()-ROW(Table_Action_Conditions[N])</f>
        <v>6</v>
      </c>
      <c r="B8" s="28" t="s">
        <v>305</v>
      </c>
      <c r="C8" s="32" t="s">
        <v>288</v>
      </c>
      <c r="D8" s="30" t="s">
        <v>296</v>
      </c>
      <c r="E8" s="30" t="s">
        <v>215</v>
      </c>
      <c r="F8" s="30" t="s">
        <v>306</v>
      </c>
      <c r="G8" s="30" t="s">
        <v>291</v>
      </c>
      <c r="H8" s="30" t="s">
        <v>307</v>
      </c>
      <c r="I8" s="30" t="s">
        <v>293</v>
      </c>
      <c r="J8" s="33" t="s">
        <v>288</v>
      </c>
    </row>
    <row r="9">
      <c r="A9" s="28">
        <f>ROW()-ROW(Table_Action_Conditions[N])</f>
        <v>7</v>
      </c>
      <c r="B9" s="28" t="s">
        <v>256</v>
      </c>
      <c r="C9" s="32" t="s">
        <v>288</v>
      </c>
      <c r="D9" s="30" t="s">
        <v>296</v>
      </c>
      <c r="E9" s="30" t="s">
        <v>215</v>
      </c>
      <c r="F9" s="30" t="s">
        <v>308</v>
      </c>
      <c r="G9" s="30" t="s">
        <v>309</v>
      </c>
      <c r="H9" s="30" t="s">
        <v>310</v>
      </c>
      <c r="I9" s="30" t="s">
        <v>311</v>
      </c>
      <c r="J9" s="33" t="s">
        <v>312</v>
      </c>
    </row>
    <row r="10">
      <c r="A10" s="28">
        <f>ROW()-ROW(Table_Action_Conditions[N])</f>
        <v>8</v>
      </c>
      <c r="B10" s="28" t="s">
        <v>313</v>
      </c>
      <c r="C10" s="32" t="s">
        <v>314</v>
      </c>
      <c r="D10" s="30" t="s">
        <v>296</v>
      </c>
      <c r="E10" s="30" t="s">
        <v>215</v>
      </c>
      <c r="F10" s="30" t="s">
        <v>315</v>
      </c>
      <c r="G10" s="30" t="s">
        <v>291</v>
      </c>
      <c r="H10" s="30" t="s">
        <v>310</v>
      </c>
      <c r="I10" s="30" t="s">
        <v>316</v>
      </c>
      <c r="J10" s="33" t="s">
        <v>288</v>
      </c>
    </row>
    <row r="11">
      <c r="A11" s="28">
        <f>ROW()-ROW(Table_Action_Conditions[N])</f>
        <v>9</v>
      </c>
      <c r="B11" s="28" t="s">
        <v>317</v>
      </c>
      <c r="C11" s="32" t="s">
        <v>318</v>
      </c>
      <c r="D11" s="30" t="s">
        <v>296</v>
      </c>
      <c r="E11" s="30" t="s">
        <v>215</v>
      </c>
      <c r="F11" s="30" t="s">
        <v>315</v>
      </c>
      <c r="G11" s="30" t="s">
        <v>291</v>
      </c>
      <c r="H11" s="30" t="s">
        <v>310</v>
      </c>
      <c r="I11" s="30" t="s">
        <v>319</v>
      </c>
      <c r="J11" s="33" t="s">
        <v>288</v>
      </c>
    </row>
    <row r="12">
      <c r="A12" s="28">
        <f>ROW()-ROW(Table_Action_Conditions[N])</f>
        <v>10</v>
      </c>
      <c r="B12" s="28" t="s">
        <v>320</v>
      </c>
      <c r="C12" s="32" t="s">
        <v>321</v>
      </c>
      <c r="D12" s="30" t="s">
        <v>296</v>
      </c>
      <c r="E12" s="30" t="s">
        <v>215</v>
      </c>
      <c r="F12" s="30" t="s">
        <v>315</v>
      </c>
      <c r="G12" s="30" t="s">
        <v>291</v>
      </c>
      <c r="H12" s="30" t="s">
        <v>310</v>
      </c>
      <c r="I12" s="30" t="s">
        <v>319</v>
      </c>
      <c r="J12" s="33" t="s">
        <v>288</v>
      </c>
    </row>
    <row r="13">
      <c r="A13" s="28">
        <f>ROW()-ROW(Table_Action_Conditions[N])</f>
        <v>11</v>
      </c>
      <c r="B13" s="28" t="s">
        <v>322</v>
      </c>
      <c r="C13" s="32" t="s">
        <v>288</v>
      </c>
      <c r="D13" s="30" t="s">
        <v>296</v>
      </c>
      <c r="E13" s="30" t="s">
        <v>215</v>
      </c>
      <c r="F13" s="30" t="s">
        <v>297</v>
      </c>
      <c r="G13" s="30" t="s">
        <v>291</v>
      </c>
      <c r="H13" s="30" t="s">
        <v>310</v>
      </c>
      <c r="I13" s="30" t="s">
        <v>323</v>
      </c>
      <c r="J13" s="33" t="s">
        <v>288</v>
      </c>
    </row>
    <row r="14">
      <c r="A14" s="28">
        <f>ROW()-ROW(Table_Action_Conditions[N])</f>
        <v>12</v>
      </c>
      <c r="B14" s="28" t="s">
        <v>324</v>
      </c>
      <c r="C14" s="32" t="s">
        <v>318</v>
      </c>
      <c r="D14" s="30" t="s">
        <v>296</v>
      </c>
      <c r="E14" s="30" t="s">
        <v>262</v>
      </c>
      <c r="F14" s="30" t="s">
        <v>325</v>
      </c>
      <c r="G14" s="30" t="s">
        <v>326</v>
      </c>
      <c r="H14" s="30" t="s">
        <v>310</v>
      </c>
      <c r="I14" s="30" t="s">
        <v>327</v>
      </c>
      <c r="J14" s="33" t="s">
        <v>328</v>
      </c>
    </row>
    <row r="15">
      <c r="A15" s="28">
        <f>ROW()-ROW(Table_Action_Conditions[N])</f>
        <v>13</v>
      </c>
      <c r="B15" s="28" t="s">
        <v>329</v>
      </c>
      <c r="C15" s="32" t="s">
        <v>328</v>
      </c>
      <c r="D15" s="30" t="s">
        <v>296</v>
      </c>
      <c r="E15" s="30" t="s">
        <v>262</v>
      </c>
      <c r="F15" s="30" t="s">
        <v>325</v>
      </c>
      <c r="G15" s="30" t="s">
        <v>330</v>
      </c>
      <c r="H15" s="30" t="s">
        <v>310</v>
      </c>
      <c r="I15" s="30" t="s">
        <v>331</v>
      </c>
      <c r="J15" s="33" t="s">
        <v>288</v>
      </c>
    </row>
    <row r="16">
      <c r="A16" s="28">
        <f>ROW()-ROW(Table_Action_Conditions[N])</f>
        <v>14</v>
      </c>
      <c r="B16" s="28" t="s">
        <v>265</v>
      </c>
      <c r="C16" s="32" t="s">
        <v>332</v>
      </c>
      <c r="D16" s="30" t="s">
        <v>296</v>
      </c>
      <c r="E16" s="30" t="s">
        <v>215</v>
      </c>
      <c r="F16" s="30" t="s">
        <v>297</v>
      </c>
      <c r="G16" s="30" t="s">
        <v>298</v>
      </c>
      <c r="H16" s="30" t="s">
        <v>292</v>
      </c>
      <c r="I16" s="30" t="s">
        <v>293</v>
      </c>
      <c r="J16" s="33" t="s">
        <v>333</v>
      </c>
    </row>
    <row r="17">
      <c r="A17" s="28">
        <f>ROW()-ROW(Table_Action_Conditions[N])</f>
        <v>15</v>
      </c>
      <c r="B17" s="28" t="s">
        <v>334</v>
      </c>
      <c r="C17" s="32" t="s">
        <v>335</v>
      </c>
      <c r="D17" s="30" t="s">
        <v>296</v>
      </c>
      <c r="E17" s="30" t="s">
        <v>215</v>
      </c>
      <c r="F17" s="30" t="s">
        <v>297</v>
      </c>
      <c r="G17" s="30" t="s">
        <v>298</v>
      </c>
      <c r="H17" s="30" t="s">
        <v>310</v>
      </c>
      <c r="I17" s="30" t="s">
        <v>336</v>
      </c>
      <c r="J17" s="33" t="s">
        <v>337</v>
      </c>
    </row>
    <row r="18">
      <c r="A18" s="28">
        <f>ROW()-ROW(Table_Action_Conditions[N])</f>
        <v>16</v>
      </c>
      <c r="B18" s="28" t="s">
        <v>338</v>
      </c>
      <c r="C18" s="32" t="s">
        <v>339</v>
      </c>
      <c r="D18" s="30" t="s">
        <v>296</v>
      </c>
      <c r="E18" s="30" t="s">
        <v>215</v>
      </c>
      <c r="F18" s="30" t="s">
        <v>297</v>
      </c>
      <c r="G18" s="30" t="s">
        <v>330</v>
      </c>
      <c r="H18" s="30" t="s">
        <v>310</v>
      </c>
      <c r="I18" s="30" t="s">
        <v>340</v>
      </c>
      <c r="J18" s="33" t="s">
        <v>288</v>
      </c>
    </row>
    <row r="19">
      <c r="A19" s="28">
        <f>ROW()-ROW(Table_Action_Conditions[N])</f>
        <v>17</v>
      </c>
      <c r="B19" s="28" t="s">
        <v>341</v>
      </c>
      <c r="C19" s="32" t="s">
        <v>337</v>
      </c>
      <c r="D19" s="30" t="s">
        <v>296</v>
      </c>
      <c r="E19" s="30" t="s">
        <v>215</v>
      </c>
      <c r="F19" s="30" t="s">
        <v>297</v>
      </c>
      <c r="G19" s="30" t="s">
        <v>330</v>
      </c>
      <c r="H19" s="30" t="s">
        <v>310</v>
      </c>
      <c r="I19" s="30" t="s">
        <v>342</v>
      </c>
      <c r="J19" s="33" t="s">
        <v>288</v>
      </c>
    </row>
    <row r="20">
      <c r="A20" s="28">
        <f>ROW()-ROW(Table_Action_Conditions[N])</f>
        <v>18</v>
      </c>
      <c r="B20" s="28" t="s">
        <v>343</v>
      </c>
      <c r="C20" s="32" t="s">
        <v>288</v>
      </c>
      <c r="D20" s="30" t="s">
        <v>296</v>
      </c>
      <c r="E20" s="30" t="s">
        <v>229</v>
      </c>
      <c r="F20" s="30" t="s">
        <v>325</v>
      </c>
      <c r="G20" s="30" t="s">
        <v>291</v>
      </c>
      <c r="H20" s="30" t="s">
        <v>344</v>
      </c>
      <c r="I20" s="30" t="s">
        <v>293</v>
      </c>
      <c r="J20" s="33" t="s">
        <v>288</v>
      </c>
    </row>
    <row r="21">
      <c r="A21" s="28">
        <f>ROW()-ROW(Table_Action_Conditions[N])</f>
        <v>19</v>
      </c>
      <c r="B21" s="28" t="s">
        <v>268</v>
      </c>
      <c r="C21" s="32" t="s">
        <v>288</v>
      </c>
      <c r="D21" s="30" t="s">
        <v>296</v>
      </c>
      <c r="E21" s="30" t="s">
        <v>215</v>
      </c>
      <c r="F21" s="30" t="s">
        <v>297</v>
      </c>
      <c r="G21" s="30" t="s">
        <v>291</v>
      </c>
      <c r="H21" s="30" t="s">
        <v>292</v>
      </c>
      <c r="I21" s="30" t="s">
        <v>293</v>
      </c>
      <c r="J21" s="33" t="s">
        <v>345</v>
      </c>
    </row>
    <row r="22">
      <c r="A22" s="28">
        <f>ROW()-ROW(Table_Action_Conditions[N])</f>
        <v>20</v>
      </c>
      <c r="B22" s="28" t="s">
        <v>271</v>
      </c>
      <c r="C22" s="32" t="s">
        <v>346</v>
      </c>
      <c r="D22" s="30" t="s">
        <v>296</v>
      </c>
      <c r="E22" s="30" t="s">
        <v>215</v>
      </c>
      <c r="F22" s="30" t="s">
        <v>315</v>
      </c>
      <c r="G22" s="30" t="s">
        <v>291</v>
      </c>
      <c r="H22" s="30" t="s">
        <v>310</v>
      </c>
      <c r="I22" s="30" t="s">
        <v>347</v>
      </c>
      <c r="J22" s="33" t="s">
        <v>288</v>
      </c>
    </row>
    <row r="23">
      <c r="A23" s="28">
        <f>ROW()-ROW(Table_Action_Conditions[N])</f>
        <v>21</v>
      </c>
      <c r="B23" s="28" t="s">
        <v>348</v>
      </c>
      <c r="C23" s="29" t="s">
        <v>288</v>
      </c>
      <c r="D23" s="30" t="s">
        <v>289</v>
      </c>
      <c r="E23" s="30" t="s">
        <v>215</v>
      </c>
      <c r="F23" s="30" t="s">
        <v>290</v>
      </c>
      <c r="G23" s="30" t="s">
        <v>298</v>
      </c>
      <c r="H23" s="30" t="s">
        <v>292</v>
      </c>
      <c r="I23" s="30" t="s">
        <v>293</v>
      </c>
      <c r="J23" s="31" t="s">
        <v>288</v>
      </c>
    </row>
    <row r="25">
      <c r="A25" s="19" t="s">
        <v>0</v>
      </c>
      <c r="B25" s="19" t="s">
        <v>349</v>
      </c>
      <c r="C25" s="20" t="s">
        <v>350</v>
      </c>
      <c r="D25" s="19" t="s">
        <v>351</v>
      </c>
      <c r="E25" s="21" t="s">
        <v>352</v>
      </c>
      <c r="F25" s="21" t="s">
        <v>280</v>
      </c>
      <c r="G25" s="21" t="s">
        <v>353</v>
      </c>
      <c r="H25" s="21" t="s">
        <v>354</v>
      </c>
      <c r="I25" s="21" t="s">
        <v>355</v>
      </c>
      <c r="J25" s="21" t="s">
        <v>356</v>
      </c>
      <c r="K25" s="21" t="s">
        <v>357</v>
      </c>
      <c r="L25" s="21" t="s">
        <v>358</v>
      </c>
      <c r="M25" s="34" t="s">
        <v>359</v>
      </c>
      <c r="N25" s="34" t="s">
        <v>360</v>
      </c>
    </row>
    <row r="26">
      <c r="A26" s="28">
        <f>ROW()-ROW(Table_Unchain_Conditions[N])</f>
        <v>0</v>
      </c>
      <c r="B26" s="28" t="s">
        <v>361</v>
      </c>
      <c r="C26" s="35" t="b">
        <v>0</v>
      </c>
      <c r="D26" s="30" t="s">
        <v>362</v>
      </c>
      <c r="E26" s="36" t="s">
        <v>363</v>
      </c>
      <c r="F26" s="33" t="s">
        <v>288</v>
      </c>
      <c r="G26" s="36" t="s">
        <v>364</v>
      </c>
      <c r="H26" s="36" t="s">
        <v>215</v>
      </c>
      <c r="I26" s="36" t="s">
        <v>218</v>
      </c>
      <c r="J26" s="37" t="s">
        <v>289</v>
      </c>
      <c r="K26" s="36" t="s">
        <v>365</v>
      </c>
      <c r="L26" s="33" t="s">
        <v>363</v>
      </c>
      <c r="M26" s="30" t="s">
        <v>366</v>
      </c>
      <c r="N26" s="30" t="s">
        <v>364</v>
      </c>
    </row>
    <row r="27">
      <c r="A27" s="28">
        <f>ROW()-ROW(Table_Unchain_Conditions[N])</f>
        <v>1</v>
      </c>
      <c r="B27" s="28" t="s">
        <v>367</v>
      </c>
      <c r="C27" s="35" t="b">
        <v>0</v>
      </c>
      <c r="D27" s="30" t="s">
        <v>368</v>
      </c>
      <c r="E27" s="36" t="s">
        <v>363</v>
      </c>
      <c r="F27" s="33" t="s">
        <v>363</v>
      </c>
      <c r="G27" s="36" t="s">
        <v>364</v>
      </c>
      <c r="H27" s="36" t="s">
        <v>215</v>
      </c>
      <c r="I27" s="36" t="s">
        <v>218</v>
      </c>
      <c r="J27" s="37" t="s">
        <v>289</v>
      </c>
      <c r="K27" s="36" t="s">
        <v>369</v>
      </c>
      <c r="L27" s="33" t="s">
        <v>288</v>
      </c>
      <c r="M27" s="30" t="s">
        <v>366</v>
      </c>
      <c r="N27" s="30" t="s">
        <v>364</v>
      </c>
    </row>
    <row r="28">
      <c r="A28" s="28">
        <f>ROW()-ROW(Table_Unchain_Conditions[N])</f>
        <v>2</v>
      </c>
      <c r="B28" s="28" t="s">
        <v>370</v>
      </c>
      <c r="C28" s="35" t="b">
        <v>1</v>
      </c>
      <c r="D28" s="30" t="s">
        <v>371</v>
      </c>
      <c r="E28" s="36" t="s">
        <v>288</v>
      </c>
      <c r="F28" s="33" t="s">
        <v>299</v>
      </c>
      <c r="G28" s="36" t="s">
        <v>364</v>
      </c>
      <c r="H28" s="36" t="s">
        <v>223</v>
      </c>
      <c r="I28" s="36" t="s">
        <v>372</v>
      </c>
      <c r="J28" s="37" t="s">
        <v>289</v>
      </c>
      <c r="K28" s="36" t="s">
        <v>365</v>
      </c>
      <c r="L28" s="33" t="s">
        <v>288</v>
      </c>
      <c r="M28" s="30" t="s">
        <v>366</v>
      </c>
      <c r="N28" s="30" t="s">
        <v>364</v>
      </c>
    </row>
    <row r="29">
      <c r="A29" s="28">
        <f>ROW()-ROW(Table_Unchain_Conditions[N])</f>
        <v>3</v>
      </c>
      <c r="B29" s="28" t="s">
        <v>373</v>
      </c>
      <c r="C29" s="35" t="b">
        <v>1</v>
      </c>
      <c r="D29" s="30" t="s">
        <v>374</v>
      </c>
      <c r="E29" s="36" t="s">
        <v>302</v>
      </c>
      <c r="F29" s="33" t="s">
        <v>299</v>
      </c>
      <c r="G29" s="36" t="s">
        <v>364</v>
      </c>
      <c r="H29" s="36" t="s">
        <v>229</v>
      </c>
      <c r="I29" s="36" t="s">
        <v>218</v>
      </c>
      <c r="J29" s="37" t="s">
        <v>289</v>
      </c>
      <c r="K29" s="36" t="s">
        <v>365</v>
      </c>
      <c r="L29" s="33" t="s">
        <v>288</v>
      </c>
      <c r="M29" s="30" t="s">
        <v>366</v>
      </c>
      <c r="N29" s="30" t="s">
        <v>364</v>
      </c>
    </row>
    <row r="30">
      <c r="A30" s="28">
        <f>ROW()-ROW(Table_Unchain_Conditions[N])</f>
        <v>4</v>
      </c>
      <c r="B30" s="28" t="s">
        <v>375</v>
      </c>
      <c r="C30" s="35" t="b">
        <v>1</v>
      </c>
      <c r="D30" s="30" t="s">
        <v>374</v>
      </c>
      <c r="E30" s="36" t="s">
        <v>288</v>
      </c>
      <c r="F30" s="33" t="s">
        <v>299</v>
      </c>
      <c r="G30" s="36" t="s">
        <v>364</v>
      </c>
      <c r="H30" s="36" t="s">
        <v>251</v>
      </c>
      <c r="I30" s="36" t="s">
        <v>218</v>
      </c>
      <c r="J30" s="37" t="s">
        <v>289</v>
      </c>
      <c r="K30" s="36" t="s">
        <v>365</v>
      </c>
      <c r="L30" s="33" t="s">
        <v>288</v>
      </c>
      <c r="M30" s="30" t="s">
        <v>366</v>
      </c>
      <c r="N30" s="30" t="s">
        <v>364</v>
      </c>
    </row>
    <row r="31">
      <c r="A31" s="28">
        <f>ROW()-ROW(Table_Unchain_Conditions[N])</f>
        <v>5</v>
      </c>
      <c r="B31" s="28" t="s">
        <v>376</v>
      </c>
      <c r="C31" s="35" t="b">
        <v>1</v>
      </c>
      <c r="D31" s="30" t="s">
        <v>371</v>
      </c>
      <c r="E31" s="36" t="s">
        <v>288</v>
      </c>
      <c r="F31" s="33" t="s">
        <v>295</v>
      </c>
      <c r="G31" s="36" t="s">
        <v>364</v>
      </c>
      <c r="H31" s="36" t="s">
        <v>223</v>
      </c>
      <c r="I31" s="36" t="s">
        <v>227</v>
      </c>
      <c r="J31" s="37" t="s">
        <v>289</v>
      </c>
      <c r="K31" s="36" t="s">
        <v>365</v>
      </c>
      <c r="L31" s="33" t="s">
        <v>288</v>
      </c>
      <c r="M31" s="30" t="s">
        <v>366</v>
      </c>
      <c r="N31" s="30" t="s">
        <v>364</v>
      </c>
    </row>
    <row r="32">
      <c r="A32" s="28">
        <f>ROW()-ROW(Table_Unchain_Conditions[N])</f>
        <v>6</v>
      </c>
      <c r="B32" s="28" t="s">
        <v>377</v>
      </c>
      <c r="C32" s="35" t="b">
        <v>1</v>
      </c>
      <c r="D32" s="30" t="s">
        <v>378</v>
      </c>
      <c r="E32" s="36" t="s">
        <v>302</v>
      </c>
      <c r="F32" s="33" t="s">
        <v>295</v>
      </c>
      <c r="G32" s="36" t="s">
        <v>364</v>
      </c>
      <c r="H32" s="36" t="s">
        <v>229</v>
      </c>
      <c r="I32" s="36" t="s">
        <v>218</v>
      </c>
      <c r="J32" s="37" t="s">
        <v>289</v>
      </c>
      <c r="K32" s="36" t="s">
        <v>365</v>
      </c>
      <c r="L32" s="33" t="s">
        <v>288</v>
      </c>
      <c r="M32" s="30" t="s">
        <v>366</v>
      </c>
      <c r="N32" s="30" t="s">
        <v>364</v>
      </c>
    </row>
    <row r="33">
      <c r="A33" s="28">
        <f>ROW()-ROW(Table_Unchain_Conditions[N])</f>
        <v>7</v>
      </c>
      <c r="B33" s="28" t="s">
        <v>379</v>
      </c>
      <c r="C33" s="35" t="b">
        <v>1</v>
      </c>
      <c r="D33" s="30" t="s">
        <v>378</v>
      </c>
      <c r="E33" s="36" t="s">
        <v>288</v>
      </c>
      <c r="F33" s="33" t="s">
        <v>295</v>
      </c>
      <c r="G33" s="36" t="s">
        <v>364</v>
      </c>
      <c r="H33" s="36" t="s">
        <v>251</v>
      </c>
      <c r="I33" s="36" t="s">
        <v>218</v>
      </c>
      <c r="J33" s="37" t="s">
        <v>289</v>
      </c>
      <c r="K33" s="36" t="s">
        <v>365</v>
      </c>
      <c r="L33" s="33" t="s">
        <v>288</v>
      </c>
      <c r="M33" s="30" t="s">
        <v>366</v>
      </c>
      <c r="N33" s="30" t="s">
        <v>364</v>
      </c>
    </row>
    <row r="34">
      <c r="A34" s="28">
        <f>ROW()-ROW(Table_Unchain_Conditions[N])</f>
        <v>8</v>
      </c>
      <c r="B34" s="28" t="s">
        <v>380</v>
      </c>
      <c r="C34" s="35" t="b">
        <v>0</v>
      </c>
      <c r="D34" s="30" t="s">
        <v>381</v>
      </c>
      <c r="E34" s="36" t="s">
        <v>288</v>
      </c>
      <c r="F34" s="33" t="s">
        <v>302</v>
      </c>
      <c r="G34" s="36" t="s">
        <v>364</v>
      </c>
      <c r="H34" s="36" t="s">
        <v>229</v>
      </c>
      <c r="I34" s="36" t="s">
        <v>218</v>
      </c>
      <c r="J34" s="37" t="s">
        <v>289</v>
      </c>
      <c r="K34" s="36" t="s">
        <v>365</v>
      </c>
      <c r="L34" s="33" t="s">
        <v>288</v>
      </c>
      <c r="M34" s="30" t="s">
        <v>366</v>
      </c>
      <c r="N34" s="30" t="s">
        <v>364</v>
      </c>
    </row>
    <row r="35">
      <c r="A35" s="28">
        <f>ROW()-ROW(Table_Unchain_Conditions[N])</f>
        <v>9</v>
      </c>
      <c r="B35" s="28" t="s">
        <v>382</v>
      </c>
      <c r="C35" s="35" t="b">
        <v>0</v>
      </c>
      <c r="D35" s="30" t="s">
        <v>383</v>
      </c>
      <c r="E35" s="36" t="s">
        <v>302</v>
      </c>
      <c r="F35" s="33" t="s">
        <v>302</v>
      </c>
      <c r="G35" s="36" t="s">
        <v>364</v>
      </c>
      <c r="H35" s="36" t="s">
        <v>229</v>
      </c>
      <c r="I35" s="36" t="s">
        <v>218</v>
      </c>
      <c r="J35" s="37" t="s">
        <v>296</v>
      </c>
      <c r="K35" s="36" t="s">
        <v>365</v>
      </c>
      <c r="L35" s="33" t="s">
        <v>288</v>
      </c>
      <c r="M35" s="30" t="s">
        <v>366</v>
      </c>
      <c r="N35" s="30" t="s">
        <v>364</v>
      </c>
    </row>
    <row r="36">
      <c r="A36" s="28">
        <f>ROW()-ROW(Table_Unchain_Conditions[N])</f>
        <v>10</v>
      </c>
      <c r="B36" s="28" t="s">
        <v>384</v>
      </c>
      <c r="C36" s="35" t="b">
        <v>1</v>
      </c>
      <c r="D36" s="30" t="s">
        <v>374</v>
      </c>
      <c r="E36" s="36" t="s">
        <v>288</v>
      </c>
      <c r="F36" s="33" t="s">
        <v>304</v>
      </c>
      <c r="G36" s="36" t="s">
        <v>364</v>
      </c>
      <c r="H36" s="36" t="s">
        <v>238</v>
      </c>
      <c r="I36" s="36" t="s">
        <v>218</v>
      </c>
      <c r="J36" s="37" t="s">
        <v>289</v>
      </c>
      <c r="K36" s="36" t="s">
        <v>365</v>
      </c>
      <c r="L36" s="33" t="s">
        <v>288</v>
      </c>
      <c r="M36" s="30" t="s">
        <v>366</v>
      </c>
      <c r="N36" s="30" t="s">
        <v>364</v>
      </c>
    </row>
    <row r="37">
      <c r="A37" s="28">
        <f>ROW()-ROW(Table_Unchain_Conditions[N])</f>
        <v>11</v>
      </c>
      <c r="B37" s="28" t="s">
        <v>385</v>
      </c>
      <c r="C37" s="35" t="b">
        <v>1</v>
      </c>
      <c r="D37" s="30" t="s">
        <v>378</v>
      </c>
      <c r="E37" s="36" t="s">
        <v>288</v>
      </c>
      <c r="F37" s="33" t="s">
        <v>304</v>
      </c>
      <c r="G37" s="36" t="s">
        <v>364</v>
      </c>
      <c r="H37" s="36" t="s">
        <v>234</v>
      </c>
      <c r="I37" s="36" t="s">
        <v>218</v>
      </c>
      <c r="J37" s="37" t="s">
        <v>289</v>
      </c>
      <c r="K37" s="36" t="s">
        <v>365</v>
      </c>
      <c r="L37" s="33" t="s">
        <v>288</v>
      </c>
      <c r="M37" s="30" t="s">
        <v>366</v>
      </c>
      <c r="N37" s="30" t="s">
        <v>364</v>
      </c>
    </row>
    <row r="38">
      <c r="A38" s="28">
        <f>ROW()-ROW(Table_Unchain_Conditions[N])</f>
        <v>12</v>
      </c>
      <c r="B38" s="28" t="s">
        <v>386</v>
      </c>
      <c r="C38" s="35" t="b">
        <v>1</v>
      </c>
      <c r="D38" s="30" t="s">
        <v>374</v>
      </c>
      <c r="E38" s="36" t="s">
        <v>333</v>
      </c>
      <c r="F38" s="33" t="s">
        <v>304</v>
      </c>
      <c r="G38" s="36" t="s">
        <v>364</v>
      </c>
      <c r="H38" s="36" t="s">
        <v>262</v>
      </c>
      <c r="I38" s="36" t="s">
        <v>218</v>
      </c>
      <c r="J38" s="37" t="s">
        <v>289</v>
      </c>
      <c r="K38" s="36" t="s">
        <v>365</v>
      </c>
      <c r="L38" s="33" t="s">
        <v>288</v>
      </c>
      <c r="M38" s="30" t="s">
        <v>366</v>
      </c>
      <c r="N38" s="30" t="s">
        <v>364</v>
      </c>
    </row>
    <row r="39">
      <c r="A39" s="28">
        <f>ROW()-ROW(Table_Unchain_Conditions[N])</f>
        <v>13</v>
      </c>
      <c r="B39" s="28" t="s">
        <v>387</v>
      </c>
      <c r="C39" s="35" t="b">
        <v>1</v>
      </c>
      <c r="D39" s="30" t="s">
        <v>374</v>
      </c>
      <c r="E39" s="36" t="s">
        <v>288</v>
      </c>
      <c r="F39" s="33" t="s">
        <v>303</v>
      </c>
      <c r="G39" s="36" t="s">
        <v>364</v>
      </c>
      <c r="H39" s="36" t="s">
        <v>234</v>
      </c>
      <c r="I39" s="36" t="s">
        <v>218</v>
      </c>
      <c r="J39" s="37" t="s">
        <v>289</v>
      </c>
      <c r="K39" s="36" t="s">
        <v>365</v>
      </c>
      <c r="L39" s="33" t="s">
        <v>288</v>
      </c>
      <c r="M39" s="30" t="s">
        <v>366</v>
      </c>
      <c r="N39" s="30" t="s">
        <v>364</v>
      </c>
    </row>
    <row r="40">
      <c r="A40" s="28">
        <f>ROW()-ROW(Table_Unchain_Conditions[N])</f>
        <v>14</v>
      </c>
      <c r="B40" s="28" t="s">
        <v>388</v>
      </c>
      <c r="C40" s="35" t="b">
        <v>1</v>
      </c>
      <c r="D40" s="30" t="s">
        <v>378</v>
      </c>
      <c r="E40" s="36" t="s">
        <v>288</v>
      </c>
      <c r="F40" s="33" t="s">
        <v>303</v>
      </c>
      <c r="G40" s="36" t="s">
        <v>364</v>
      </c>
      <c r="H40" s="36" t="s">
        <v>238</v>
      </c>
      <c r="I40" s="36" t="s">
        <v>218</v>
      </c>
      <c r="J40" s="37" t="s">
        <v>289</v>
      </c>
      <c r="K40" s="36" t="s">
        <v>365</v>
      </c>
      <c r="L40" s="33" t="s">
        <v>288</v>
      </c>
      <c r="M40" s="30" t="s">
        <v>366</v>
      </c>
      <c r="N40" s="30" t="s">
        <v>364</v>
      </c>
    </row>
    <row r="41">
      <c r="A41" s="28">
        <f>ROW()-ROW(Table_Unchain_Conditions[N])</f>
        <v>15</v>
      </c>
      <c r="B41" s="28" t="s">
        <v>389</v>
      </c>
      <c r="C41" s="35" t="b">
        <v>1</v>
      </c>
      <c r="D41" s="30" t="s">
        <v>378</v>
      </c>
      <c r="E41" s="36" t="s">
        <v>333</v>
      </c>
      <c r="F41" s="33" t="s">
        <v>303</v>
      </c>
      <c r="G41" s="36" t="s">
        <v>364</v>
      </c>
      <c r="H41" s="36" t="s">
        <v>262</v>
      </c>
      <c r="I41" s="36" t="s">
        <v>218</v>
      </c>
      <c r="J41" s="37" t="s">
        <v>289</v>
      </c>
      <c r="K41" s="36" t="s">
        <v>365</v>
      </c>
      <c r="L41" s="33" t="s">
        <v>288</v>
      </c>
      <c r="M41" s="30" t="s">
        <v>366</v>
      </c>
      <c r="N41" s="30" t="s">
        <v>364</v>
      </c>
    </row>
    <row r="42">
      <c r="A42" s="28">
        <f>ROW()-ROW(Table_Unchain_Conditions[N])</f>
        <v>16</v>
      </c>
      <c r="B42" s="28" t="s">
        <v>390</v>
      </c>
      <c r="C42" s="35" t="b">
        <v>0</v>
      </c>
      <c r="D42" s="30" t="s">
        <v>368</v>
      </c>
      <c r="E42" s="36" t="s">
        <v>312</v>
      </c>
      <c r="F42" s="33" t="s">
        <v>312</v>
      </c>
      <c r="G42" s="36" t="s">
        <v>364</v>
      </c>
      <c r="H42" s="36" t="s">
        <v>215</v>
      </c>
      <c r="I42" s="36" t="s">
        <v>218</v>
      </c>
      <c r="J42" s="37" t="s">
        <v>289</v>
      </c>
      <c r="K42" s="36" t="s">
        <v>391</v>
      </c>
      <c r="L42" s="33" t="s">
        <v>288</v>
      </c>
      <c r="M42" s="30" t="s">
        <v>366</v>
      </c>
      <c r="N42" s="30" t="s">
        <v>364</v>
      </c>
    </row>
    <row r="43">
      <c r="A43" s="28">
        <f>ROW()-ROW(Table_Unchain_Conditions[N])</f>
        <v>17</v>
      </c>
      <c r="B43" s="38" t="s">
        <v>392</v>
      </c>
      <c r="C43" s="39" t="b">
        <v>0</v>
      </c>
      <c r="D43" s="36" t="s">
        <v>381</v>
      </c>
      <c r="E43" s="36" t="s">
        <v>288</v>
      </c>
      <c r="F43" s="33" t="s">
        <v>333</v>
      </c>
      <c r="G43" s="36" t="s">
        <v>364</v>
      </c>
      <c r="H43" s="36" t="s">
        <v>262</v>
      </c>
      <c r="I43" s="36" t="s">
        <v>218</v>
      </c>
      <c r="J43" s="37" t="s">
        <v>289</v>
      </c>
      <c r="K43" s="36" t="s">
        <v>365</v>
      </c>
      <c r="L43" s="33" t="s">
        <v>288</v>
      </c>
      <c r="M43" s="30" t="s">
        <v>366</v>
      </c>
      <c r="N43" s="30" t="s">
        <v>364</v>
      </c>
    </row>
    <row r="44">
      <c r="A44" s="28">
        <f>ROW()-ROW(Table_Unchain_Conditions[N])</f>
        <v>18</v>
      </c>
      <c r="B44" s="38" t="s">
        <v>393</v>
      </c>
      <c r="C44" s="39" t="b">
        <v>0</v>
      </c>
      <c r="D44" s="36" t="s">
        <v>383</v>
      </c>
      <c r="E44" s="36" t="s">
        <v>333</v>
      </c>
      <c r="F44" s="33" t="s">
        <v>333</v>
      </c>
      <c r="G44" s="36" t="s">
        <v>364</v>
      </c>
      <c r="H44" s="36" t="s">
        <v>262</v>
      </c>
      <c r="I44" s="36" t="s">
        <v>218</v>
      </c>
      <c r="J44" s="37" t="s">
        <v>296</v>
      </c>
      <c r="K44" s="36" t="s">
        <v>365</v>
      </c>
      <c r="L44" s="33" t="s">
        <v>288</v>
      </c>
      <c r="M44" s="30" t="s">
        <v>366</v>
      </c>
      <c r="N44" s="30" t="s">
        <v>364</v>
      </c>
    </row>
    <row r="45">
      <c r="A45" s="28">
        <f>ROW()-ROW(Table_Unchain_Conditions[N])</f>
        <v>19</v>
      </c>
      <c r="B45" s="38" t="s">
        <v>394</v>
      </c>
      <c r="C45" s="39" t="b">
        <v>1</v>
      </c>
      <c r="D45" s="36" t="s">
        <v>395</v>
      </c>
      <c r="E45" s="36" t="s">
        <v>288</v>
      </c>
      <c r="F45" s="33" t="s">
        <v>345</v>
      </c>
      <c r="G45" s="36" t="s">
        <v>364</v>
      </c>
      <c r="H45" s="36" t="s">
        <v>215</v>
      </c>
      <c r="I45" s="36" t="s">
        <v>218</v>
      </c>
      <c r="J45" s="37" t="s">
        <v>289</v>
      </c>
      <c r="K45" s="36" t="s">
        <v>365</v>
      </c>
      <c r="L45" s="33" t="s">
        <v>288</v>
      </c>
      <c r="M45" s="30" t="s">
        <v>396</v>
      </c>
      <c r="N45" s="30" t="s">
        <v>364</v>
      </c>
    </row>
    <row r="46">
      <c r="A46" s="28">
        <f>ROW()-ROW(Table_Unchain_Conditions[N])</f>
        <v>20</v>
      </c>
      <c r="B46" s="38" t="s">
        <v>397</v>
      </c>
      <c r="C46" s="39" t="b">
        <v>1</v>
      </c>
      <c r="D46" s="36" t="s">
        <v>362</v>
      </c>
      <c r="E46" s="36" t="s">
        <v>288</v>
      </c>
      <c r="F46" s="33" t="s">
        <v>345</v>
      </c>
      <c r="G46" s="36" t="s">
        <v>364</v>
      </c>
      <c r="H46" s="36" t="s">
        <v>215</v>
      </c>
      <c r="I46" s="36" t="s">
        <v>218</v>
      </c>
      <c r="J46" s="37" t="s">
        <v>289</v>
      </c>
      <c r="K46" s="36" t="s">
        <v>365</v>
      </c>
      <c r="L46" s="33" t="s">
        <v>398</v>
      </c>
      <c r="M46" s="30" t="s">
        <v>366</v>
      </c>
      <c r="N46" s="30" t="s">
        <v>364</v>
      </c>
    </row>
    <row r="47">
      <c r="A47" s="28">
        <f>ROW()-ROW(Table_Unchain_Conditions[N])</f>
        <v>21</v>
      </c>
      <c r="B47" s="38" t="s">
        <v>399</v>
      </c>
      <c r="C47" s="40" t="b">
        <v>1</v>
      </c>
      <c r="D47" s="41" t="s">
        <v>374</v>
      </c>
      <c r="E47" s="36" t="s">
        <v>288</v>
      </c>
      <c r="F47" s="33" t="s">
        <v>288</v>
      </c>
      <c r="G47" s="36" t="s">
        <v>400</v>
      </c>
      <c r="H47" s="36" t="s">
        <v>244</v>
      </c>
      <c r="I47" s="41" t="s">
        <v>218</v>
      </c>
      <c r="J47" s="42" t="s">
        <v>289</v>
      </c>
      <c r="K47" s="41" t="s">
        <v>365</v>
      </c>
      <c r="L47" s="43" t="s">
        <v>288</v>
      </c>
      <c r="M47" s="41" t="s">
        <v>366</v>
      </c>
      <c r="N47" s="41" t="s">
        <v>364</v>
      </c>
    </row>
  </sheetData>
  <dataValidations>
    <dataValidation type="list" allowBlank="1" sqref="J2:J23">
      <formula1>#REF!</formula1>
    </dataValidation>
    <dataValidation type="list" allowBlank="1" sqref="H2:H23">
      <formula1>#REF!</formula1>
    </dataValidation>
    <dataValidation type="list" allowBlank="1" sqref="C2:C23">
      <formula1>#REF!</formula1>
    </dataValidation>
    <dataValidation type="list" allowBlank="1" sqref="L26:L47">
      <formula1>#REF!</formula1>
    </dataValidation>
    <dataValidation type="list" allowBlank="1" sqref="E26:E47">
      <formula1>#REF!</formula1>
    </dataValidation>
    <dataValidation type="list" allowBlank="1" sqref="F26:F47">
      <formula1>#REF!</formula1>
    </dataValidation>
    <dataValidation type="list" allowBlank="1" sqref="D2:G23 D26:D47 G26:K47 M26:N47">
      <formula1>#REF!</formula1>
    </dataValidation>
    <dataValidation type="list" allowBlank="1" sqref="I2:I23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401</v>
      </c>
      <c r="C1" s="19" t="s">
        <v>402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403</v>
      </c>
    </row>
    <row r="4">
      <c r="A4" s="28">
        <f>ROW()-ROW(Table_sprites[N])</f>
        <v>2</v>
      </c>
      <c r="B4" s="28" t="s">
        <v>404</v>
      </c>
      <c r="C4" s="28" t="s">
        <v>405</v>
      </c>
    </row>
    <row r="5">
      <c r="A5" s="28">
        <f>ROW()-ROW(Table_sprites[N])</f>
        <v>3</v>
      </c>
      <c r="B5" s="28" t="s">
        <v>406</v>
      </c>
      <c r="C5" s="28" t="s">
        <v>407</v>
      </c>
    </row>
    <row r="6">
      <c r="A6" s="28">
        <f>ROW()-ROW(Table_sprites[N])</f>
        <v>4</v>
      </c>
      <c r="B6" s="28" t="s">
        <v>408</v>
      </c>
      <c r="C6" s="28" t="s">
        <v>409</v>
      </c>
    </row>
    <row r="7">
      <c r="A7" s="28">
        <f>ROW()-ROW(Table_sprites[N])</f>
        <v>5</v>
      </c>
      <c r="B7" s="28" t="s">
        <v>410</v>
      </c>
      <c r="C7" s="28" t="s">
        <v>411</v>
      </c>
    </row>
    <row r="8">
      <c r="A8" s="28">
        <f>ROW()-ROW(Table_sprites[N])</f>
        <v>6</v>
      </c>
      <c r="B8" s="28" t="s">
        <v>412</v>
      </c>
      <c r="C8" s="28" t="s">
        <v>413</v>
      </c>
    </row>
    <row r="9">
      <c r="A9" s="28">
        <f>ROW()-ROW(Table_sprites[N])</f>
        <v>7</v>
      </c>
      <c r="B9" s="28" t="s">
        <v>414</v>
      </c>
      <c r="C9" s="28" t="s">
        <v>415</v>
      </c>
    </row>
    <row r="10">
      <c r="A10" s="28">
        <f>ROW()-ROW(Table_sprites[N])</f>
        <v>8</v>
      </c>
      <c r="B10" s="28" t="s">
        <v>416</v>
      </c>
      <c r="C10" s="28" t="s">
        <v>417</v>
      </c>
    </row>
    <row r="11">
      <c r="A11" s="28">
        <f>ROW()-ROW(Table_sprites[N])</f>
        <v>9</v>
      </c>
      <c r="B11" s="28" t="s">
        <v>418</v>
      </c>
      <c r="C11" s="28" t="s">
        <v>419</v>
      </c>
    </row>
    <row r="12">
      <c r="A12" s="28">
        <f>ROW()-ROW(Table_sprites[N])</f>
        <v>10</v>
      </c>
      <c r="B12" s="28" t="s">
        <v>420</v>
      </c>
      <c r="C12" s="28" t="s">
        <v>421</v>
      </c>
    </row>
    <row r="13">
      <c r="A13" s="28">
        <f>ROW()-ROW(Table_sprites[N])</f>
        <v>11</v>
      </c>
      <c r="B13" s="28" t="s">
        <v>422</v>
      </c>
      <c r="C13" s="28" t="s">
        <v>423</v>
      </c>
    </row>
    <row r="14">
      <c r="A14" s="28">
        <f>ROW()-ROW(Table_sprites[N])</f>
        <v>12</v>
      </c>
      <c r="B14" s="28" t="s">
        <v>227</v>
      </c>
      <c r="C14" s="28" t="s">
        <v>424</v>
      </c>
    </row>
    <row r="15">
      <c r="A15" s="28">
        <f>ROW()-ROW(Table_sprites[N])</f>
        <v>13</v>
      </c>
      <c r="B15" s="28" t="s">
        <v>372</v>
      </c>
      <c r="C15" s="28" t="s">
        <v>425</v>
      </c>
    </row>
    <row r="16">
      <c r="A16" s="28">
        <f>ROW()-ROW(Table_sprites[N])</f>
        <v>14</v>
      </c>
      <c r="B16" s="28" t="s">
        <v>231</v>
      </c>
      <c r="C16" s="28" t="s">
        <v>426</v>
      </c>
    </row>
    <row r="17">
      <c r="A17" s="28">
        <f>ROW()-ROW(Table_sprites[N])</f>
        <v>15</v>
      </c>
      <c r="B17" s="28" t="s">
        <v>232</v>
      </c>
      <c r="C17" s="28" t="s">
        <v>427</v>
      </c>
    </row>
    <row r="18">
      <c r="A18" s="28">
        <f>ROW()-ROW(Table_sprites[N])</f>
        <v>16</v>
      </c>
      <c r="B18" s="28" t="s">
        <v>428</v>
      </c>
      <c r="C18" s="28" t="s">
        <v>429</v>
      </c>
    </row>
    <row r="19">
      <c r="A19" s="28">
        <f>ROW()-ROW(Table_sprites[N])</f>
        <v>17</v>
      </c>
      <c r="B19" s="28" t="s">
        <v>239</v>
      </c>
      <c r="C19" s="28" t="s">
        <v>430</v>
      </c>
    </row>
    <row r="20">
      <c r="A20" s="28">
        <f>ROW()-ROW(Table_sprites[N])</f>
        <v>18</v>
      </c>
      <c r="B20" s="28" t="s">
        <v>431</v>
      </c>
      <c r="C20" s="28" t="s">
        <v>432</v>
      </c>
    </row>
    <row r="21">
      <c r="A21" s="28">
        <f>ROW()-ROW(Table_sprites[N])</f>
        <v>19</v>
      </c>
      <c r="B21" s="28" t="s">
        <v>247</v>
      </c>
      <c r="C21" s="28" t="s">
        <v>433</v>
      </c>
    </row>
    <row r="22">
      <c r="A22" s="28">
        <f>ROW()-ROW(Table_sprites[N])</f>
        <v>20</v>
      </c>
      <c r="B22" s="28" t="s">
        <v>434</v>
      </c>
      <c r="C22" s="28" t="s">
        <v>435</v>
      </c>
    </row>
    <row r="23">
      <c r="A23" s="28">
        <f>ROW()-ROW(Table_sprites[N])</f>
        <v>21</v>
      </c>
      <c r="B23" s="28" t="s">
        <v>436</v>
      </c>
      <c r="C23" s="28" t="s">
        <v>437</v>
      </c>
    </row>
    <row r="24">
      <c r="A24" s="28">
        <f>ROW()-ROW(Table_sprites[N])</f>
        <v>22</v>
      </c>
      <c r="B24" s="28" t="s">
        <v>438</v>
      </c>
      <c r="C24" s="28" t="s">
        <v>439</v>
      </c>
    </row>
    <row r="25">
      <c r="A25" s="28">
        <f>ROW()-ROW(Table_sprites[N])</f>
        <v>23</v>
      </c>
      <c r="B25" s="28" t="s">
        <v>264</v>
      </c>
      <c r="C25" s="28" t="s">
        <v>440</v>
      </c>
    </row>
    <row r="26">
      <c r="A26" s="28">
        <f>ROW()-ROW(Table_sprites[N])</f>
        <v>24</v>
      </c>
      <c r="B26" s="28" t="s">
        <v>441</v>
      </c>
      <c r="C26" s="28" t="s">
        <v>442</v>
      </c>
    </row>
    <row r="27">
      <c r="A27" s="28">
        <f>ROW()-ROW(Table_sprites[N])</f>
        <v>25</v>
      </c>
      <c r="B27" s="28" t="s">
        <v>443</v>
      </c>
      <c r="C27" s="28" t="s">
        <v>444</v>
      </c>
    </row>
    <row r="28">
      <c r="A28" s="28">
        <f>ROW()-ROW(Table_sprites[N])</f>
        <v>26</v>
      </c>
      <c r="B28" s="28" t="s">
        <v>445</v>
      </c>
      <c r="C28" s="28" t="s">
        <v>446</v>
      </c>
    </row>
    <row r="29">
      <c r="A29" s="28">
        <f>ROW()-ROW(Table_sprites[N])</f>
        <v>27</v>
      </c>
      <c r="B29" s="28" t="s">
        <v>447</v>
      </c>
      <c r="C29" s="28" t="s">
        <v>448</v>
      </c>
    </row>
    <row r="30">
      <c r="A30" s="28">
        <f>ROW()-ROW(Table_sprites[N])</f>
        <v>28</v>
      </c>
      <c r="B30" s="28" t="s">
        <v>449</v>
      </c>
      <c r="C30" s="28" t="s">
        <v>450</v>
      </c>
    </row>
    <row r="31">
      <c r="A31" s="28">
        <f>ROW()-ROW(Table_sprites[N])</f>
        <v>29</v>
      </c>
      <c r="B31" s="28" t="s">
        <v>451</v>
      </c>
      <c r="C31" s="28" t="s">
        <v>452</v>
      </c>
    </row>
    <row r="32">
      <c r="A32" s="28">
        <f>ROW()-ROW(Table_sprites[N])</f>
        <v>30</v>
      </c>
      <c r="B32" s="28" t="s">
        <v>453</v>
      </c>
      <c r="C32" s="28" t="s">
        <v>454</v>
      </c>
    </row>
    <row r="33">
      <c r="A33" s="28">
        <f>ROW()-ROW(Table_sprites[N])</f>
        <v>31</v>
      </c>
      <c r="B33" s="28" t="s">
        <v>278</v>
      </c>
      <c r="C33" s="28" t="s">
        <v>278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455</v>
      </c>
      <c r="C1" s="21" t="s">
        <v>456</v>
      </c>
      <c r="D1" s="21" t="s">
        <v>457</v>
      </c>
    </row>
    <row r="2">
      <c r="A2" s="28">
        <f>ROW()-ROW(Table_Dialogs[N])</f>
        <v>0</v>
      </c>
      <c r="B2" s="28" t="s">
        <v>292</v>
      </c>
      <c r="C2" s="33" t="s">
        <v>215</v>
      </c>
      <c r="D2" s="31" t="s">
        <v>458</v>
      </c>
    </row>
    <row r="3">
      <c r="A3" s="28">
        <f>ROW()-ROW(Table_Dialogs[N])</f>
        <v>1</v>
      </c>
      <c r="B3" s="28" t="s">
        <v>310</v>
      </c>
      <c r="C3" s="33" t="s">
        <v>215</v>
      </c>
      <c r="D3" s="31" t="s">
        <v>459</v>
      </c>
    </row>
    <row r="4">
      <c r="A4" s="28">
        <f>ROW()-ROW(Table_Dialogs[N])</f>
        <v>2</v>
      </c>
      <c r="B4" s="28" t="s">
        <v>307</v>
      </c>
      <c r="C4" s="33" t="s">
        <v>215</v>
      </c>
      <c r="D4" s="33" t="s">
        <v>460</v>
      </c>
    </row>
    <row r="5">
      <c r="A5" s="28">
        <f>ROW()-ROW(Table_Dialogs[N])</f>
        <v>3</v>
      </c>
      <c r="B5" s="28" t="s">
        <v>461</v>
      </c>
      <c r="C5" s="33" t="s">
        <v>215</v>
      </c>
      <c r="D5" s="33" t="s">
        <v>462</v>
      </c>
    </row>
    <row r="6">
      <c r="A6" s="28">
        <f>ROW()-ROW(Table_Dialogs[N])</f>
        <v>4</v>
      </c>
      <c r="B6" s="28" t="s">
        <v>344</v>
      </c>
      <c r="C6" s="33" t="s">
        <v>215</v>
      </c>
      <c r="D6" s="33" t="s">
        <v>463</v>
      </c>
    </row>
    <row r="7">
      <c r="A7" s="28">
        <f>ROW()-ROW(Table_Dialogs[N])</f>
        <v>5</v>
      </c>
      <c r="B7" s="28" t="s">
        <v>464</v>
      </c>
      <c r="C7" s="33" t="s">
        <v>215</v>
      </c>
      <c r="D7" s="31" t="s">
        <v>458</v>
      </c>
    </row>
    <row r="9">
      <c r="A9" s="19" t="s">
        <v>0</v>
      </c>
      <c r="B9" s="19" t="s">
        <v>465</v>
      </c>
      <c r="C9" s="19" t="s">
        <v>280</v>
      </c>
      <c r="D9" s="21" t="s">
        <v>466</v>
      </c>
      <c r="E9" s="21" t="s">
        <v>467</v>
      </c>
      <c r="F9" s="21" t="s">
        <v>468</v>
      </c>
    </row>
    <row r="10">
      <c r="A10" s="28">
        <f>ROW()-ROW(Table_Dialog_Options[N])</f>
        <v>0</v>
      </c>
      <c r="B10" s="28" t="s">
        <v>458</v>
      </c>
      <c r="C10" s="29" t="s">
        <v>288</v>
      </c>
      <c r="D10" s="29" t="s">
        <v>288</v>
      </c>
      <c r="E10" s="30" t="s">
        <v>292</v>
      </c>
      <c r="F10" s="29" t="s">
        <v>293</v>
      </c>
    </row>
    <row r="11">
      <c r="A11" s="28">
        <f>ROW()-ROW(Table_Dialog_Options[N])</f>
        <v>1</v>
      </c>
      <c r="B11" s="28" t="s">
        <v>459</v>
      </c>
      <c r="C11" s="29" t="s">
        <v>288</v>
      </c>
      <c r="D11" s="29" t="s">
        <v>288</v>
      </c>
      <c r="E11" s="30" t="s">
        <v>292</v>
      </c>
      <c r="F11" s="29" t="s">
        <v>293</v>
      </c>
    </row>
    <row r="12">
      <c r="A12" s="28">
        <f>ROW()-ROW(Table_Dialog_Options[N])</f>
        <v>2</v>
      </c>
      <c r="B12" s="28" t="s">
        <v>460</v>
      </c>
      <c r="C12" s="32" t="s">
        <v>288</v>
      </c>
      <c r="D12" s="32" t="s">
        <v>288</v>
      </c>
      <c r="E12" s="30" t="s">
        <v>461</v>
      </c>
      <c r="F12" s="32" t="s">
        <v>469</v>
      </c>
    </row>
    <row r="13">
      <c r="A13" s="28">
        <f>ROW()-ROW(Table_Dialog_Options[N])</f>
        <v>3</v>
      </c>
      <c r="B13" s="28" t="s">
        <v>470</v>
      </c>
      <c r="C13" s="32" t="s">
        <v>288</v>
      </c>
      <c r="D13" s="32" t="s">
        <v>288</v>
      </c>
      <c r="E13" s="30" t="s">
        <v>461</v>
      </c>
      <c r="F13" s="32" t="s">
        <v>471</v>
      </c>
    </row>
    <row r="14">
      <c r="A14" s="28">
        <f>ROW()-ROW(Table_Dialog_Options[N])</f>
        <v>4</v>
      </c>
      <c r="B14" s="28" t="s">
        <v>472</v>
      </c>
      <c r="C14" s="32" t="s">
        <v>288</v>
      </c>
      <c r="D14" s="32" t="s">
        <v>288</v>
      </c>
      <c r="E14" s="30" t="s">
        <v>292</v>
      </c>
      <c r="F14" s="32" t="s">
        <v>473</v>
      </c>
    </row>
    <row r="15">
      <c r="A15" s="28">
        <f>ROW()-ROW(Table_Dialog_Options[N])</f>
        <v>5</v>
      </c>
      <c r="B15" s="28" t="s">
        <v>463</v>
      </c>
      <c r="C15" s="32" t="s">
        <v>288</v>
      </c>
      <c r="D15" s="32" t="s">
        <v>288</v>
      </c>
      <c r="E15" s="30" t="s">
        <v>292</v>
      </c>
      <c r="F15" s="32" t="s">
        <v>474</v>
      </c>
    </row>
    <row r="16">
      <c r="A16" s="28">
        <f>ROW()-ROW(Table_Dialog_Options[N])</f>
        <v>6</v>
      </c>
      <c r="B16" s="28" t="s">
        <v>475</v>
      </c>
      <c r="C16" s="29" t="s">
        <v>288</v>
      </c>
      <c r="D16" s="29" t="s">
        <v>288</v>
      </c>
      <c r="E16" s="30" t="s">
        <v>292</v>
      </c>
      <c r="F16" s="29" t="s">
        <v>293</v>
      </c>
    </row>
    <row r="18">
      <c r="A18" s="44"/>
      <c r="B18" s="44"/>
      <c r="C18" s="44"/>
      <c r="D18" s="44"/>
      <c r="E18" s="44"/>
      <c r="F18" s="44"/>
    </row>
    <row r="19">
      <c r="A19" s="44"/>
      <c r="B19" s="44"/>
      <c r="C19" s="44"/>
      <c r="D19" s="44"/>
      <c r="E19" s="44"/>
      <c r="F19" s="44"/>
    </row>
    <row r="20">
      <c r="A20" s="44"/>
      <c r="B20" s="44"/>
      <c r="C20" s="44"/>
      <c r="D20" s="44"/>
      <c r="E20" s="44"/>
      <c r="F20" s="44"/>
    </row>
    <row r="21">
      <c r="A21" s="44"/>
      <c r="B21" s="44"/>
      <c r="C21" s="44"/>
      <c r="D21" s="44"/>
      <c r="E21" s="44"/>
      <c r="F21" s="44"/>
    </row>
    <row r="22">
      <c r="A22" s="44"/>
      <c r="B22" s="44"/>
      <c r="C22" s="44"/>
      <c r="D22" s="44"/>
      <c r="E22" s="44"/>
      <c r="F22" s="44"/>
    </row>
    <row r="23">
      <c r="A23" s="44"/>
      <c r="B23" s="44"/>
      <c r="C23" s="44"/>
      <c r="D23" s="44"/>
      <c r="E23" s="44"/>
      <c r="F23" s="44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476</v>
      </c>
      <c r="C1" s="45" t="s">
        <v>477</v>
      </c>
    </row>
    <row r="2">
      <c r="A2" s="28">
        <f>ROW()-ROW(Table_Decisions[N])</f>
        <v>0</v>
      </c>
      <c r="B2" s="28" t="s">
        <v>366</v>
      </c>
      <c r="C2" s="32" t="s">
        <v>478</v>
      </c>
    </row>
    <row r="3">
      <c r="A3" s="28">
        <f>ROW()-ROW(Table_Decisions[N])</f>
        <v>1</v>
      </c>
      <c r="B3" s="28" t="s">
        <v>396</v>
      </c>
      <c r="C3" s="32" t="s">
        <v>479</v>
      </c>
    </row>
    <row r="4">
      <c r="A4" s="28">
        <f>ROW()-ROW(Table_Decisions[N])</f>
        <v>2</v>
      </c>
      <c r="B4" s="28" t="s">
        <v>480</v>
      </c>
      <c r="C4" s="32" t="s">
        <v>481</v>
      </c>
    </row>
    <row r="6">
      <c r="A6" s="19" t="s">
        <v>0</v>
      </c>
      <c r="B6" s="19" t="s">
        <v>482</v>
      </c>
      <c r="C6" s="19" t="s">
        <v>483</v>
      </c>
      <c r="D6" s="34" t="s">
        <v>466</v>
      </c>
    </row>
    <row r="7">
      <c r="A7" s="46">
        <f>ROW()-ROW(Table_Decision_Options[N])</f>
        <v>0</v>
      </c>
      <c r="B7" s="28" t="s">
        <v>478</v>
      </c>
      <c r="C7" s="30" t="s">
        <v>293</v>
      </c>
      <c r="D7" s="47" t="s">
        <v>288</v>
      </c>
    </row>
    <row r="8">
      <c r="A8" s="46">
        <f>ROW()-ROW(Table_Decision_Options[N])</f>
        <v>1</v>
      </c>
      <c r="B8" s="28" t="s">
        <v>484</v>
      </c>
      <c r="C8" s="30" t="s">
        <v>485</v>
      </c>
      <c r="D8" s="47" t="s">
        <v>288</v>
      </c>
    </row>
    <row r="9">
      <c r="A9" s="46">
        <f>ROW()-ROW(Table_Decision_Options[N])</f>
        <v>2</v>
      </c>
      <c r="B9" s="28" t="s">
        <v>486</v>
      </c>
      <c r="C9" s="30" t="s">
        <v>487</v>
      </c>
      <c r="D9" s="47" t="s">
        <v>488</v>
      </c>
    </row>
    <row r="10">
      <c r="A10" s="46">
        <f>ROW()-ROW(Table_Decision_Options[N])</f>
        <v>3</v>
      </c>
      <c r="B10" s="28" t="s">
        <v>489</v>
      </c>
      <c r="C10" s="30" t="s">
        <v>490</v>
      </c>
      <c r="D10" s="47" t="s">
        <v>491</v>
      </c>
    </row>
    <row r="11">
      <c r="A11" s="46">
        <f>ROW()-ROW(Table_Decision_Options[N])</f>
        <v>4</v>
      </c>
      <c r="B11" s="28" t="s">
        <v>481</v>
      </c>
      <c r="C11" s="30" t="s">
        <v>293</v>
      </c>
      <c r="D11" s="47" t="s">
        <v>288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71"/>
    <col customWidth="1" min="3" max="3" width="26.43"/>
    <col customWidth="1" min="4" max="4" width="35.43"/>
  </cols>
  <sheetData>
    <row r="1">
      <c r="A1" s="48" t="s">
        <v>0</v>
      </c>
      <c r="B1" s="49" t="s">
        <v>492</v>
      </c>
      <c r="C1" s="48" t="s">
        <v>493</v>
      </c>
      <c r="D1" s="48" t="s">
        <v>494</v>
      </c>
    </row>
    <row r="2">
      <c r="A2" s="22">
        <f>ROW()-ROW(Table_Name[NAME_ID])</f>
        <v>0</v>
      </c>
      <c r="B2" s="22" t="s">
        <v>216</v>
      </c>
      <c r="C2" s="50"/>
      <c r="D2" s="50"/>
    </row>
    <row r="3">
      <c r="A3" s="22">
        <f>ROW()-ROW(Table_Name[NAME_ID])</f>
        <v>1</v>
      </c>
      <c r="B3" s="22" t="s">
        <v>221</v>
      </c>
      <c r="C3" s="22" t="s">
        <v>495</v>
      </c>
      <c r="D3" s="22" t="s">
        <v>495</v>
      </c>
    </row>
    <row r="4">
      <c r="A4" s="22">
        <f>ROW()-ROW(Table_Name[NAME_ID])</f>
        <v>2</v>
      </c>
      <c r="B4" s="22" t="s">
        <v>496</v>
      </c>
      <c r="C4" s="22" t="s">
        <v>497</v>
      </c>
      <c r="D4" s="22" t="s">
        <v>498</v>
      </c>
    </row>
    <row r="5">
      <c r="A5" s="22">
        <f>ROW()-ROW(Table_Name[NAME_ID])</f>
        <v>3</v>
      </c>
      <c r="B5" s="22" t="s">
        <v>499</v>
      </c>
      <c r="C5" s="22" t="s">
        <v>500</v>
      </c>
      <c r="D5" s="22" t="s">
        <v>501</v>
      </c>
    </row>
    <row r="6">
      <c r="A6" s="22">
        <f>ROW()-ROW(Table_Name[NAME_ID])</f>
        <v>4</v>
      </c>
      <c r="B6" s="22" t="s">
        <v>502</v>
      </c>
      <c r="C6" s="22" t="s">
        <v>503</v>
      </c>
      <c r="D6" s="22" t="s">
        <v>504</v>
      </c>
    </row>
    <row r="7">
      <c r="A7" s="22">
        <f>ROW()-ROW(Table_Name[NAME_ID])</f>
        <v>5</v>
      </c>
      <c r="B7" s="22" t="s">
        <v>224</v>
      </c>
      <c r="C7" s="22" t="s">
        <v>505</v>
      </c>
      <c r="D7" s="22" t="s">
        <v>506</v>
      </c>
    </row>
    <row r="8">
      <c r="A8" s="22">
        <f>ROW()-ROW(Table_Name[NAME_ID])</f>
        <v>6</v>
      </c>
      <c r="B8" s="22" t="s">
        <v>245</v>
      </c>
      <c r="C8" s="22" t="s">
        <v>507</v>
      </c>
      <c r="D8" s="22" t="s">
        <v>507</v>
      </c>
    </row>
    <row r="9">
      <c r="A9" s="22">
        <f>ROW()-ROW(Table_Name[NAME_ID])</f>
        <v>7</v>
      </c>
      <c r="B9" s="22" t="s">
        <v>252</v>
      </c>
      <c r="C9" s="22" t="s">
        <v>508</v>
      </c>
      <c r="D9" s="22" t="s">
        <v>509</v>
      </c>
    </row>
    <row r="10">
      <c r="A10" s="22">
        <f>ROW()-ROW(Table_Name[NAME_ID])</f>
        <v>8</v>
      </c>
      <c r="B10" s="22" t="s">
        <v>230</v>
      </c>
      <c r="C10" s="22" t="s">
        <v>510</v>
      </c>
      <c r="D10" s="22" t="s">
        <v>511</v>
      </c>
    </row>
    <row r="11">
      <c r="A11" s="22">
        <f>ROW()-ROW(Table_Name[NAME_ID])</f>
        <v>9</v>
      </c>
      <c r="B11" s="22" t="s">
        <v>512</v>
      </c>
      <c r="C11" s="22" t="s">
        <v>513</v>
      </c>
      <c r="D11" s="22" t="s">
        <v>514</v>
      </c>
    </row>
    <row r="12">
      <c r="A12" s="22">
        <f>ROW()-ROW(Table_Name[NAME_ID])</f>
        <v>10</v>
      </c>
      <c r="B12" s="22" t="s">
        <v>515</v>
      </c>
      <c r="C12" s="22" t="s">
        <v>516</v>
      </c>
      <c r="D12" s="22" t="s">
        <v>517</v>
      </c>
    </row>
    <row r="13">
      <c r="A13" s="22">
        <f>ROW()-ROW(Table_Name[NAME_ID])</f>
        <v>11</v>
      </c>
      <c r="B13" s="22" t="s">
        <v>235</v>
      </c>
      <c r="C13" s="22" t="s">
        <v>518</v>
      </c>
      <c r="D13" s="22" t="s">
        <v>519</v>
      </c>
    </row>
    <row r="14">
      <c r="A14" s="22">
        <f>ROW()-ROW(Table_Name[NAME_ID])</f>
        <v>12</v>
      </c>
      <c r="B14" s="22" t="s">
        <v>242</v>
      </c>
      <c r="C14" s="22" t="s">
        <v>520</v>
      </c>
      <c r="D14" s="22" t="s">
        <v>521</v>
      </c>
    </row>
    <row r="15">
      <c r="A15" s="22">
        <f>ROW()-ROW(Table_Name[NAME_ID])</f>
        <v>13</v>
      </c>
      <c r="B15" s="22" t="s">
        <v>522</v>
      </c>
      <c r="C15" s="22" t="s">
        <v>523</v>
      </c>
      <c r="D15" s="22" t="s">
        <v>524</v>
      </c>
    </row>
    <row r="16">
      <c r="A16" s="22">
        <f>ROW()-ROW(Table_Name[NAME_ID])</f>
        <v>14</v>
      </c>
      <c r="B16" s="22" t="s">
        <v>255</v>
      </c>
      <c r="C16" s="22" t="s">
        <v>525</v>
      </c>
      <c r="D16" s="22" t="s">
        <v>526</v>
      </c>
    </row>
    <row r="17">
      <c r="A17" s="22">
        <f>ROW()-ROW(Table_Name[NAME_ID])</f>
        <v>15</v>
      </c>
      <c r="B17" s="22" t="s">
        <v>260</v>
      </c>
      <c r="C17" s="22" t="s">
        <v>527</v>
      </c>
      <c r="D17" s="22" t="s">
        <v>528</v>
      </c>
    </row>
    <row r="18">
      <c r="A18" s="22">
        <f>ROW()-ROW(Table_Name[NAME_ID])</f>
        <v>16</v>
      </c>
      <c r="B18" s="22" t="s">
        <v>263</v>
      </c>
      <c r="C18" s="22" t="s">
        <v>529</v>
      </c>
      <c r="D18" s="22" t="s">
        <v>530</v>
      </c>
    </row>
    <row r="19">
      <c r="A19" s="22">
        <f>ROW()-ROW(Table_Name[NAME_ID])</f>
        <v>17</v>
      </c>
      <c r="B19" s="22" t="s">
        <v>267</v>
      </c>
      <c r="C19" s="22" t="s">
        <v>531</v>
      </c>
      <c r="D19" s="22" t="s">
        <v>532</v>
      </c>
    </row>
    <row r="20">
      <c r="A20" s="22">
        <f>ROW()-ROW(Table_Name[NAME_ID])</f>
        <v>18</v>
      </c>
      <c r="B20" s="22" t="s">
        <v>270</v>
      </c>
      <c r="C20" s="22" t="s">
        <v>533</v>
      </c>
      <c r="D20" s="22" t="s">
        <v>534</v>
      </c>
    </row>
    <row r="21">
      <c r="A21" s="22">
        <f>ROW()-ROW(Table_Name[NAME_ID])</f>
        <v>19</v>
      </c>
      <c r="B21" s="22" t="s">
        <v>273</v>
      </c>
      <c r="C21" s="22" t="s">
        <v>535</v>
      </c>
      <c r="D21" s="22" t="s">
        <v>536</v>
      </c>
    </row>
    <row r="22">
      <c r="A22" s="22">
        <f>ROW()-ROW(Table_Name[NAME_ID])</f>
        <v>20</v>
      </c>
      <c r="B22" s="22" t="s">
        <v>275</v>
      </c>
      <c r="C22" s="22" t="s">
        <v>537</v>
      </c>
      <c r="D22" s="22" t="s">
        <v>538</v>
      </c>
    </row>
    <row r="23">
      <c r="A23" s="22">
        <f>ROW()-ROW(Table_Name[NAME_ID])</f>
        <v>21</v>
      </c>
      <c r="B23" s="22" t="s">
        <v>277</v>
      </c>
      <c r="C23" s="22" t="s">
        <v>539</v>
      </c>
      <c r="D23" s="22" t="s">
        <v>540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541</v>
      </c>
      <c r="C1" s="20" t="s">
        <v>542</v>
      </c>
      <c r="D1" s="19" t="s">
        <v>543</v>
      </c>
      <c r="E1" s="21" t="s">
        <v>544</v>
      </c>
      <c r="F1" s="19" t="s">
        <v>545</v>
      </c>
      <c r="G1" s="51" t="s">
        <v>546</v>
      </c>
    </row>
    <row r="2">
      <c r="A2" s="28">
        <f>ROW()-ROW(Table_Phrases[N])</f>
        <v>0</v>
      </c>
      <c r="B2" s="28" t="s">
        <v>293</v>
      </c>
      <c r="C2" s="28">
        <v>0.0</v>
      </c>
      <c r="D2" s="28">
        <v>0.0</v>
      </c>
      <c r="E2" s="36" t="s">
        <v>547</v>
      </c>
      <c r="F2" s="52"/>
      <c r="G2" s="29"/>
    </row>
    <row r="3">
      <c r="A3" s="28">
        <f>ROW()-ROW(Table_Phrases[N])</f>
        <v>1</v>
      </c>
      <c r="B3" s="28" t="s">
        <v>548</v>
      </c>
      <c r="C3" s="28">
        <v>0.0</v>
      </c>
      <c r="D3" s="28">
        <v>0.0</v>
      </c>
      <c r="E3" s="36" t="s">
        <v>549</v>
      </c>
      <c r="F3" s="29" t="s">
        <v>550</v>
      </c>
      <c r="G3" s="29" t="s">
        <v>551</v>
      </c>
    </row>
    <row r="4">
      <c r="A4" s="28">
        <f>ROW()-ROW(Table_Phrases[N])</f>
        <v>2</v>
      </c>
      <c r="B4" s="28" t="s">
        <v>552</v>
      </c>
      <c r="C4" s="28">
        <v>0.0</v>
      </c>
      <c r="D4" s="28">
        <v>0.0</v>
      </c>
      <c r="E4" s="36" t="s">
        <v>549</v>
      </c>
      <c r="F4" s="29" t="s">
        <v>553</v>
      </c>
      <c r="G4" s="29" t="s">
        <v>554</v>
      </c>
    </row>
    <row r="5">
      <c r="A5" s="28">
        <f>ROW()-ROW(Table_Phrases[N])</f>
        <v>3</v>
      </c>
      <c r="B5" s="28" t="s">
        <v>555</v>
      </c>
      <c r="C5" s="28">
        <v>0.0</v>
      </c>
      <c r="D5" s="28">
        <v>0.0</v>
      </c>
      <c r="E5" s="36" t="s">
        <v>549</v>
      </c>
      <c r="F5" s="29" t="s">
        <v>556</v>
      </c>
      <c r="G5" s="29" t="s">
        <v>557</v>
      </c>
    </row>
    <row r="6">
      <c r="A6" s="28">
        <f>ROW()-ROW(Table_Phrases[N])</f>
        <v>4</v>
      </c>
      <c r="B6" s="28" t="s">
        <v>558</v>
      </c>
      <c r="C6" s="28">
        <v>0.0</v>
      </c>
      <c r="D6" s="28">
        <v>0.0</v>
      </c>
      <c r="E6" s="36" t="s">
        <v>549</v>
      </c>
      <c r="F6" s="29" t="s">
        <v>559</v>
      </c>
      <c r="G6" s="29" t="s">
        <v>560</v>
      </c>
    </row>
    <row r="7">
      <c r="A7" s="28">
        <f>ROW()-ROW(Table_Phrases[N])</f>
        <v>5</v>
      </c>
      <c r="B7" s="28" t="s">
        <v>561</v>
      </c>
      <c r="C7" s="28">
        <v>0.0</v>
      </c>
      <c r="D7" s="28">
        <v>0.0</v>
      </c>
      <c r="E7" s="36" t="s">
        <v>549</v>
      </c>
      <c r="F7" s="29" t="s">
        <v>562</v>
      </c>
      <c r="G7" s="29" t="s">
        <v>563</v>
      </c>
    </row>
    <row r="8">
      <c r="A8" s="28">
        <f>ROW()-ROW(Table_Phrases[N])</f>
        <v>6</v>
      </c>
      <c r="B8" s="28" t="s">
        <v>331</v>
      </c>
      <c r="C8" s="28">
        <v>0.0</v>
      </c>
      <c r="D8" s="28">
        <v>0.0</v>
      </c>
      <c r="E8" s="36" t="s">
        <v>549</v>
      </c>
      <c r="F8" s="29" t="s">
        <v>564</v>
      </c>
      <c r="G8" s="29" t="s">
        <v>565</v>
      </c>
    </row>
    <row r="9">
      <c r="A9" s="28">
        <f>ROW()-ROW(Table_Phrases[N])</f>
        <v>7</v>
      </c>
      <c r="B9" s="28" t="s">
        <v>566</v>
      </c>
      <c r="C9" s="28">
        <v>0.0</v>
      </c>
      <c r="D9" s="28">
        <v>0.0</v>
      </c>
      <c r="E9" s="36" t="s">
        <v>549</v>
      </c>
      <c r="F9" s="29" t="s">
        <v>567</v>
      </c>
      <c r="G9" s="29" t="s">
        <v>568</v>
      </c>
    </row>
    <row r="10">
      <c r="A10" s="28">
        <f>ROW()-ROW(Table_Phrases[N])</f>
        <v>8</v>
      </c>
      <c r="B10" s="28" t="s">
        <v>569</v>
      </c>
      <c r="C10" s="28">
        <v>0.0</v>
      </c>
      <c r="D10" s="28">
        <v>0.0</v>
      </c>
      <c r="E10" s="36" t="s">
        <v>549</v>
      </c>
      <c r="F10" s="29" t="s">
        <v>570</v>
      </c>
      <c r="G10" s="29" t="s">
        <v>571</v>
      </c>
    </row>
    <row r="11">
      <c r="A11" s="28">
        <f>ROW()-ROW(Table_Phrases[N])</f>
        <v>9</v>
      </c>
      <c r="B11" s="28" t="s">
        <v>572</v>
      </c>
      <c r="C11" s="28">
        <v>1.0</v>
      </c>
      <c r="D11" s="28">
        <v>0.0</v>
      </c>
      <c r="E11" s="36" t="s">
        <v>549</v>
      </c>
      <c r="F11" s="29" t="s">
        <v>573</v>
      </c>
      <c r="G11" s="29" t="s">
        <v>574</v>
      </c>
    </row>
    <row r="12">
      <c r="A12" s="28">
        <f>ROW()-ROW(Table_Phrases[N])</f>
        <v>10</v>
      </c>
      <c r="B12" s="28" t="s">
        <v>575</v>
      </c>
      <c r="C12" s="28">
        <v>0.0</v>
      </c>
      <c r="D12" s="28">
        <v>0.0</v>
      </c>
      <c r="E12" s="36" t="s">
        <v>549</v>
      </c>
      <c r="F12" s="29" t="s">
        <v>576</v>
      </c>
      <c r="G12" s="29" t="s">
        <v>577</v>
      </c>
    </row>
    <row r="13">
      <c r="A13" s="28">
        <f>ROW()-ROW(Table_Phrases[N])</f>
        <v>11</v>
      </c>
      <c r="B13" s="28" t="s">
        <v>578</v>
      </c>
      <c r="C13" s="28">
        <v>0.0</v>
      </c>
      <c r="D13" s="28">
        <v>0.0</v>
      </c>
      <c r="E13" s="36" t="s">
        <v>549</v>
      </c>
      <c r="F13" s="29" t="s">
        <v>579</v>
      </c>
      <c r="G13" s="29" t="s">
        <v>580</v>
      </c>
    </row>
    <row r="14">
      <c r="A14" s="28">
        <f>ROW()-ROW(Table_Phrases[N])</f>
        <v>12</v>
      </c>
      <c r="B14" s="28" t="s">
        <v>581</v>
      </c>
      <c r="C14" s="28">
        <v>1.0</v>
      </c>
      <c r="D14" s="28">
        <v>0.0</v>
      </c>
      <c r="E14" s="36" t="s">
        <v>549</v>
      </c>
      <c r="F14" s="29" t="s">
        <v>582</v>
      </c>
      <c r="G14" s="29" t="s">
        <v>583</v>
      </c>
    </row>
    <row r="15">
      <c r="A15" s="28">
        <f>ROW()-ROW(Table_Phrases[N])</f>
        <v>13</v>
      </c>
      <c r="B15" s="28" t="s">
        <v>584</v>
      </c>
      <c r="C15" s="28">
        <v>1.0</v>
      </c>
      <c r="D15" s="28">
        <v>0.0</v>
      </c>
      <c r="E15" s="36" t="s">
        <v>549</v>
      </c>
      <c r="F15" s="29" t="s">
        <v>585</v>
      </c>
      <c r="G15" s="29" t="s">
        <v>586</v>
      </c>
    </row>
    <row r="16">
      <c r="A16" s="28">
        <f>ROW()-ROW(Table_Phrases[N])</f>
        <v>14</v>
      </c>
      <c r="B16" s="28" t="s">
        <v>473</v>
      </c>
      <c r="C16" s="28">
        <v>1.0</v>
      </c>
      <c r="D16" s="28">
        <v>0.0</v>
      </c>
      <c r="E16" s="36" t="s">
        <v>549</v>
      </c>
      <c r="F16" s="29" t="s">
        <v>587</v>
      </c>
      <c r="G16" s="29" t="s">
        <v>588</v>
      </c>
    </row>
    <row r="17">
      <c r="A17" s="28">
        <f>ROW()-ROW(Table_Phrases[N])</f>
        <v>15</v>
      </c>
      <c r="B17" s="28" t="s">
        <v>589</v>
      </c>
      <c r="C17" s="28">
        <v>0.0</v>
      </c>
      <c r="D17" s="28">
        <v>0.0</v>
      </c>
      <c r="E17" s="36" t="s">
        <v>549</v>
      </c>
      <c r="F17" s="29" t="s">
        <v>590</v>
      </c>
      <c r="G17" s="29" t="s">
        <v>591</v>
      </c>
    </row>
    <row r="18">
      <c r="A18" s="28">
        <f>ROW()-ROW(Table_Phrases[N])</f>
        <v>16</v>
      </c>
      <c r="B18" s="28" t="s">
        <v>311</v>
      </c>
      <c r="C18" s="28">
        <v>0.0</v>
      </c>
      <c r="D18" s="28">
        <v>0.0</v>
      </c>
      <c r="E18" s="36" t="s">
        <v>549</v>
      </c>
      <c r="F18" s="29" t="s">
        <v>592</v>
      </c>
      <c r="G18" s="29" t="s">
        <v>593</v>
      </c>
    </row>
    <row r="19">
      <c r="A19" s="28">
        <f>ROW()-ROW(Table_Phrases[N])</f>
        <v>17</v>
      </c>
      <c r="B19" s="28" t="s">
        <v>316</v>
      </c>
      <c r="C19" s="28">
        <v>0.0</v>
      </c>
      <c r="D19" s="28">
        <v>0.0</v>
      </c>
      <c r="E19" s="36" t="s">
        <v>549</v>
      </c>
      <c r="F19" s="29" t="s">
        <v>594</v>
      </c>
      <c r="G19" s="29" t="s">
        <v>595</v>
      </c>
    </row>
    <row r="20">
      <c r="A20" s="28">
        <f>ROW()-ROW(Table_Phrases[N])</f>
        <v>18</v>
      </c>
      <c r="B20" s="28" t="s">
        <v>319</v>
      </c>
      <c r="C20" s="28">
        <v>0.0</v>
      </c>
      <c r="D20" s="28">
        <v>0.0</v>
      </c>
      <c r="E20" s="36" t="s">
        <v>549</v>
      </c>
      <c r="F20" s="29" t="s">
        <v>596</v>
      </c>
      <c r="G20" s="29" t="s">
        <v>597</v>
      </c>
    </row>
    <row r="21">
      <c r="A21" s="28">
        <f>ROW()-ROW(Table_Phrases[N])</f>
        <v>19</v>
      </c>
      <c r="B21" s="28" t="s">
        <v>323</v>
      </c>
      <c r="C21" s="28">
        <v>0.0</v>
      </c>
      <c r="D21" s="28">
        <v>0.0</v>
      </c>
      <c r="E21" s="36" t="s">
        <v>549</v>
      </c>
      <c r="F21" s="29" t="s">
        <v>598</v>
      </c>
      <c r="G21" s="29" t="s">
        <v>599</v>
      </c>
    </row>
    <row r="22">
      <c r="A22" s="28">
        <f>ROW()-ROW(Table_Phrases[N])</f>
        <v>20</v>
      </c>
      <c r="B22" s="28" t="s">
        <v>327</v>
      </c>
      <c r="C22" s="28">
        <v>0.0</v>
      </c>
      <c r="D22" s="28">
        <v>0.0</v>
      </c>
      <c r="E22" s="36" t="s">
        <v>549</v>
      </c>
      <c r="F22" s="29" t="s">
        <v>600</v>
      </c>
      <c r="G22" s="29" t="s">
        <v>601</v>
      </c>
    </row>
    <row r="23">
      <c r="A23" s="28">
        <f>ROW()-ROW(Table_Phrases[N])</f>
        <v>21</v>
      </c>
      <c r="B23" s="28" t="s">
        <v>336</v>
      </c>
      <c r="C23" s="28">
        <v>0.0</v>
      </c>
      <c r="D23" s="28">
        <v>0.0</v>
      </c>
      <c r="E23" s="36" t="s">
        <v>549</v>
      </c>
      <c r="F23" s="29" t="s">
        <v>602</v>
      </c>
      <c r="G23" s="29" t="s">
        <v>603</v>
      </c>
    </row>
    <row r="24">
      <c r="A24" s="28">
        <f>ROW()-ROW(Table_Phrases[N])</f>
        <v>22</v>
      </c>
      <c r="B24" s="28" t="s">
        <v>340</v>
      </c>
      <c r="C24" s="28">
        <v>0.0</v>
      </c>
      <c r="D24" s="28">
        <v>0.0</v>
      </c>
      <c r="E24" s="36" t="s">
        <v>549</v>
      </c>
      <c r="F24" s="29" t="s">
        <v>604</v>
      </c>
      <c r="G24" s="29" t="s">
        <v>605</v>
      </c>
    </row>
    <row r="25">
      <c r="A25" s="28">
        <f>ROW()-ROW(Table_Phrases[N])</f>
        <v>23</v>
      </c>
      <c r="B25" s="28" t="s">
        <v>342</v>
      </c>
      <c r="C25" s="28">
        <v>0.0</v>
      </c>
      <c r="D25" s="28">
        <v>0.0</v>
      </c>
      <c r="E25" s="36" t="s">
        <v>549</v>
      </c>
      <c r="F25" s="29" t="s">
        <v>606</v>
      </c>
      <c r="G25" s="29" t="s">
        <v>607</v>
      </c>
    </row>
    <row r="26">
      <c r="A26" s="28">
        <f>ROW()-ROW(Table_Phrases[N])</f>
        <v>24</v>
      </c>
      <c r="B26" s="28" t="s">
        <v>608</v>
      </c>
      <c r="C26" s="28">
        <v>0.0</v>
      </c>
      <c r="D26" s="28">
        <v>0.0</v>
      </c>
      <c r="E26" s="36" t="s">
        <v>549</v>
      </c>
      <c r="F26" s="29" t="s">
        <v>609</v>
      </c>
      <c r="G26" s="29" t="s">
        <v>610</v>
      </c>
    </row>
    <row r="27">
      <c r="A27" s="28">
        <f>ROW()-ROW(Table_Phrases[N])</f>
        <v>25</v>
      </c>
      <c r="B27" s="28" t="s">
        <v>611</v>
      </c>
      <c r="C27" s="28">
        <v>1.0</v>
      </c>
      <c r="D27" s="28">
        <v>0.0</v>
      </c>
      <c r="E27" s="36" t="s">
        <v>549</v>
      </c>
      <c r="F27" s="29" t="s">
        <v>612</v>
      </c>
      <c r="G27" s="29" t="s">
        <v>613</v>
      </c>
    </row>
    <row r="28">
      <c r="A28" s="28">
        <f>ROW()-ROW(Table_Phrases[N])</f>
        <v>26</v>
      </c>
      <c r="B28" s="28" t="s">
        <v>485</v>
      </c>
      <c r="C28" s="28">
        <v>0.0</v>
      </c>
      <c r="D28" s="28">
        <v>0.0</v>
      </c>
      <c r="E28" s="36" t="s">
        <v>549</v>
      </c>
      <c r="F28" s="29" t="s">
        <v>614</v>
      </c>
      <c r="G28" s="29" t="s">
        <v>615</v>
      </c>
    </row>
    <row r="29">
      <c r="A29" s="28">
        <f>ROW()-ROW(Table_Phrases[N])</f>
        <v>27</v>
      </c>
      <c r="B29" s="28" t="s">
        <v>487</v>
      </c>
      <c r="C29" s="28">
        <v>0.0</v>
      </c>
      <c r="D29" s="28">
        <v>0.0</v>
      </c>
      <c r="E29" s="36" t="s">
        <v>549</v>
      </c>
      <c r="F29" s="29" t="s">
        <v>616</v>
      </c>
      <c r="G29" s="29" t="s">
        <v>617</v>
      </c>
    </row>
    <row r="30">
      <c r="A30" s="28">
        <f>ROW()-ROW(Table_Phrases[N])</f>
        <v>28</v>
      </c>
      <c r="B30" s="28" t="s">
        <v>490</v>
      </c>
      <c r="C30" s="28">
        <v>0.0</v>
      </c>
      <c r="D30" s="28">
        <v>0.0</v>
      </c>
      <c r="E30" s="36" t="s">
        <v>549</v>
      </c>
      <c r="F30" s="29" t="s">
        <v>618</v>
      </c>
      <c r="G30" s="29" t="s">
        <v>619</v>
      </c>
    </row>
    <row r="31">
      <c r="A31" s="28">
        <f>ROW()-ROW(Table_Phrases[N])</f>
        <v>29</v>
      </c>
      <c r="B31" s="28" t="s">
        <v>347</v>
      </c>
      <c r="C31" s="28">
        <v>0.0</v>
      </c>
      <c r="D31" s="28">
        <v>0.0</v>
      </c>
      <c r="E31" s="36" t="s">
        <v>549</v>
      </c>
      <c r="F31" s="29" t="s">
        <v>620</v>
      </c>
      <c r="G31" s="29" t="s">
        <v>621</v>
      </c>
    </row>
  </sheetData>
  <dataValidations>
    <dataValidation type="list" allowBlank="1" sqref="E2:E31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</row>
    <row r="2" ht="186.0" customHeight="1">
      <c r="A2" s="22">
        <f t="shared" ref="A2:A9" si="1">ROW()-ROW($A$2)-1</f>
        <v>-1</v>
      </c>
      <c r="B2" s="22" t="s">
        <v>630</v>
      </c>
      <c r="C2" s="53" t="s">
        <v>218</v>
      </c>
      <c r="D2" s="54" t="str">
        <f>IFERROR(__xludf.DUMMYFUNCTION("ARRAYFORMULA(
TEXTJOIN(""|"",TRUE,
UNIQUE(TRANSPOSE(
SPLIT(TEXTJOIN("", "",TRUE,
G2
),"", "")
))
)
)"),"SPRITE_NONE")</f>
        <v>SPRITE_NONE</v>
      </c>
      <c r="E2" s="54" t="str">
        <f t="shared" ref="E2:E9" si="2">SUBSTITUTE(I2,", ","|")</f>
        <v>PHRASE_NONSENSE</v>
      </c>
      <c r="F2" s="54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548</v>
      </c>
    </row>
    <row r="3">
      <c r="A3" s="22">
        <f t="shared" si="1"/>
        <v>0</v>
      </c>
      <c r="B3" s="22" t="s">
        <v>631</v>
      </c>
      <c r="C3" s="53" t="s">
        <v>422</v>
      </c>
      <c r="D3" s="54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4" t="str">
        <f t="shared" si="2"/>
        <v>PHRASE_NONSENSE|PHRASE_DECISION_NOT_SLEEP|PHRASE_DECISION_SLEEP_NAP|PHRASE_DECISION_SLEEP_LONG</v>
      </c>
      <c r="F3" s="54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632</v>
      </c>
      <c r="H3" s="27" t="s">
        <v>633</v>
      </c>
      <c r="I3" s="27" t="s">
        <v>634</v>
      </c>
    </row>
    <row r="4">
      <c r="A4" s="22">
        <f t="shared" si="1"/>
        <v>1</v>
      </c>
      <c r="B4" s="22" t="s">
        <v>635</v>
      </c>
      <c r="C4" s="53" t="s">
        <v>636</v>
      </c>
      <c r="D4" s="54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4" t="str">
        <f t="shared" si="2"/>
        <v>PHRASE_NONSENSE</v>
      </c>
      <c r="F4" s="54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636</v>
      </c>
      <c r="H4" s="27" t="s">
        <v>637</v>
      </c>
      <c r="I4" s="27" t="s">
        <v>548</v>
      </c>
    </row>
    <row r="5">
      <c r="A5" s="22">
        <f t="shared" si="1"/>
        <v>2</v>
      </c>
      <c r="B5" s="22" t="s">
        <v>638</v>
      </c>
      <c r="C5" s="53" t="s">
        <v>639</v>
      </c>
      <c r="D5" s="54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4" t="str">
        <f t="shared" si="2"/>
        <v>PHRASE_NONSENSE</v>
      </c>
      <c r="F5" s="54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639</v>
      </c>
      <c r="H5" s="27" t="s">
        <v>640</v>
      </c>
      <c r="I5" s="27" t="s">
        <v>548</v>
      </c>
    </row>
    <row r="6">
      <c r="A6" s="22">
        <f t="shared" si="1"/>
        <v>3</v>
      </c>
      <c r="B6" s="22" t="s">
        <v>641</v>
      </c>
      <c r="C6" s="53" t="s">
        <v>642</v>
      </c>
      <c r="D6" s="54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4" t="str">
        <f t="shared" si="2"/>
        <v>PHRASE_NONSENSE</v>
      </c>
      <c r="F6" s="54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642</v>
      </c>
      <c r="H6" s="27" t="s">
        <v>643</v>
      </c>
      <c r="I6" s="27" t="s">
        <v>548</v>
      </c>
    </row>
    <row r="7">
      <c r="A7" s="22">
        <f t="shared" si="1"/>
        <v>4</v>
      </c>
      <c r="B7" s="22" t="s">
        <v>644</v>
      </c>
      <c r="C7" s="25" t="s">
        <v>645</v>
      </c>
      <c r="D7" s="54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4" t="str">
        <f t="shared" si="2"/>
        <v>PHRASE_NONSENSE</v>
      </c>
      <c r="F7" s="54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27" t="s">
        <v>645</v>
      </c>
      <c r="H7" s="27" t="s">
        <v>646</v>
      </c>
      <c r="I7" s="27" t="s">
        <v>548</v>
      </c>
    </row>
    <row r="8">
      <c r="A8" s="22">
        <f t="shared" si="1"/>
        <v>5</v>
      </c>
      <c r="B8" s="22" t="s">
        <v>647</v>
      </c>
      <c r="C8" s="25" t="s">
        <v>648</v>
      </c>
      <c r="D8" s="54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54" t="str">
        <f t="shared" si="2"/>
        <v>PHRASE_NONSENSE</v>
      </c>
      <c r="F8" s="54" t="str">
        <f>IFERROR(__xludf.DUMMYFUNCTION("ARRAYFORMULA(
TEXTJOIN(""|"",TRUE,
UNIQUE(TRANSPOSE(
SPLIT(TEXTJOIN("", "",TRUE,
H8
),"", "")
))
)
)"),"ITEM_STREET2_PERIPH_DOOR")</f>
        <v>ITEM_STREET2_PERIPH_DOOR</v>
      </c>
      <c r="G8" s="27" t="s">
        <v>648</v>
      </c>
      <c r="H8" s="27" t="s">
        <v>274</v>
      </c>
      <c r="I8" s="27" t="s">
        <v>548</v>
      </c>
    </row>
    <row r="9">
      <c r="A9" s="22">
        <f t="shared" si="1"/>
        <v>6</v>
      </c>
      <c r="B9" s="22" t="s">
        <v>649</v>
      </c>
      <c r="C9" s="53" t="s">
        <v>218</v>
      </c>
      <c r="D9" s="54" t="str">
        <f>IFERROR(__xludf.DUMMYFUNCTION("ARRAYFORMULA(
TEXTJOIN(""|"",TRUE,
UNIQUE(TRANSPOSE(
SPLIT(TEXTJOIN("", "",TRUE,
G9
),"", "")
))
)
)"),"SPRITE_LAST")</f>
        <v>SPRITE_LAST</v>
      </c>
      <c r="E9" s="54" t="str">
        <f t="shared" si="2"/>
        <v>PHRASE_NONSENSE</v>
      </c>
      <c r="F9" s="54" t="str">
        <f>IFERROR(__xludf.DUMMYFUNCTION("ARRAYFORMULA(
TEXTJOIN(""|"",TRUE,
UNIQUE(TRANSPOSE(
SPLIT(TEXTJOIN("", "",TRUE,
H9
),"", "")
))
)
)"),"ITEM_LAST")</f>
        <v>ITEM_LAST</v>
      </c>
      <c r="G9" s="27" t="s">
        <v>278</v>
      </c>
      <c r="H9" s="27" t="s">
        <v>276</v>
      </c>
      <c r="I9" s="27" t="s">
        <v>548</v>
      </c>
    </row>
  </sheetData>
  <dataValidations>
    <dataValidation type="list" allowBlank="1" sqref="C2:C9 G2:I9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650</v>
      </c>
    </row>
    <row r="2">
      <c r="A2" s="28">
        <f>ROW()-ROW(Table_Characters[N])</f>
        <v>0</v>
      </c>
      <c r="B2" s="28" t="s">
        <v>289</v>
      </c>
    </row>
    <row r="3">
      <c r="A3" s="28">
        <f>ROW()-ROW(Table_Characters[N])</f>
        <v>1</v>
      </c>
      <c r="B3" s="28" t="s">
        <v>296</v>
      </c>
    </row>
    <row r="4">
      <c r="A4" s="28">
        <f>ROW()-ROW(Table_Characters[N])</f>
        <v>2</v>
      </c>
      <c r="B4" s="28" t="s">
        <v>651</v>
      </c>
    </row>
    <row r="5">
      <c r="A5" s="28">
        <f>ROW()-ROW(Table_Characters[N])</f>
        <v>3</v>
      </c>
      <c r="B5" s="28" t="s">
        <v>652</v>
      </c>
    </row>
    <row r="6">
      <c r="A6" s="10"/>
      <c r="B6" s="10"/>
    </row>
    <row r="7">
      <c r="A7" s="19" t="s">
        <v>0</v>
      </c>
      <c r="B7" s="19" t="s">
        <v>653</v>
      </c>
    </row>
    <row r="8">
      <c r="A8" s="28">
        <v>0.0</v>
      </c>
      <c r="B8" s="28" t="s">
        <v>291</v>
      </c>
    </row>
    <row r="9">
      <c r="A9" s="28">
        <v>1.0</v>
      </c>
      <c r="B9" s="28" t="s">
        <v>326</v>
      </c>
    </row>
    <row r="10">
      <c r="A10" s="28">
        <v>2.0</v>
      </c>
      <c r="B10" s="28" t="s">
        <v>298</v>
      </c>
    </row>
    <row r="11">
      <c r="A11" s="28">
        <v>3.0</v>
      </c>
      <c r="B11" s="28" t="s">
        <v>330</v>
      </c>
    </row>
    <row r="12">
      <c r="A12" s="28">
        <v>4.0</v>
      </c>
      <c r="B12" s="28" t="s">
        <v>309</v>
      </c>
    </row>
    <row r="13">
      <c r="A13" s="28">
        <v>5.0</v>
      </c>
      <c r="B13" s="28" t="s">
        <v>654</v>
      </c>
    </row>
    <row r="15">
      <c r="A15" s="19" t="s">
        <v>0</v>
      </c>
      <c r="B15" s="19" t="s">
        <v>655</v>
      </c>
    </row>
    <row r="16">
      <c r="A16" s="28">
        <f>ROW()-ROW(Table_Interaction[N])</f>
        <v>0</v>
      </c>
      <c r="B16" s="28" t="s">
        <v>290</v>
      </c>
    </row>
    <row r="17">
      <c r="A17" s="28">
        <f>ROW()-ROW(Table_Interaction[N])</f>
        <v>1</v>
      </c>
      <c r="B17" s="28" t="s">
        <v>656</v>
      </c>
    </row>
    <row r="18">
      <c r="A18" s="28">
        <f>ROW()-ROW(Table_Interaction[N])</f>
        <v>2</v>
      </c>
      <c r="B18" s="28" t="s">
        <v>325</v>
      </c>
    </row>
    <row r="19">
      <c r="A19" s="28">
        <f>ROW()-ROW(Table_Interaction[N])</f>
        <v>3</v>
      </c>
      <c r="B19" s="28" t="s">
        <v>297</v>
      </c>
    </row>
    <row r="20">
      <c r="A20" s="28">
        <f>ROW()-ROW(Table_Interaction[N])</f>
        <v>4</v>
      </c>
      <c r="B20" s="28" t="s">
        <v>308</v>
      </c>
    </row>
    <row r="21">
      <c r="A21" s="28">
        <f>ROW()-ROW(Table_Interaction[N])</f>
        <v>5</v>
      </c>
      <c r="B21" s="28" t="s">
        <v>306</v>
      </c>
    </row>
    <row r="22">
      <c r="A22" s="28">
        <f>ROW()-ROW(Table_Interaction[N])</f>
        <v>6</v>
      </c>
      <c r="B22" s="28" t="s">
        <v>315</v>
      </c>
    </row>
    <row r="24">
      <c r="A24" s="19" t="s">
        <v>0</v>
      </c>
      <c r="B24" s="19" t="s">
        <v>657</v>
      </c>
    </row>
    <row r="25">
      <c r="A25" s="28">
        <f>ROW()-ROW(Table_Unchain_Type[N])</f>
        <v>0</v>
      </c>
      <c r="B25" s="28" t="s">
        <v>374</v>
      </c>
    </row>
    <row r="26">
      <c r="A26" s="28">
        <f>ROW()-ROW(Table_Unchain_Type[N])</f>
        <v>1</v>
      </c>
      <c r="B26" s="28" t="s">
        <v>378</v>
      </c>
    </row>
    <row r="27">
      <c r="A27" s="28">
        <f>ROW()-ROW(Table_Unchain_Type[N])</f>
        <v>2</v>
      </c>
      <c r="B27" s="28" t="s">
        <v>381</v>
      </c>
    </row>
    <row r="28">
      <c r="A28" s="28">
        <f>ROW()-ROW(Table_Unchain_Type[N])</f>
        <v>3</v>
      </c>
      <c r="B28" s="28" t="s">
        <v>658</v>
      </c>
    </row>
    <row r="29">
      <c r="A29" s="28">
        <f>ROW()-ROW(Table_Unchain_Type[N])</f>
        <v>4</v>
      </c>
      <c r="B29" s="28" t="s">
        <v>371</v>
      </c>
    </row>
    <row r="30">
      <c r="A30" s="28">
        <f>ROW()-ROW(Table_Unchain_Type[N])</f>
        <v>5</v>
      </c>
      <c r="B30" s="28" t="s">
        <v>383</v>
      </c>
    </row>
    <row r="31">
      <c r="A31" s="28">
        <f>ROW()-ROW(Table_Unchain_Type[N])</f>
        <v>6</v>
      </c>
      <c r="B31" s="28" t="s">
        <v>659</v>
      </c>
    </row>
    <row r="32">
      <c r="A32" s="28">
        <f>ROW()-ROW(Table_Unchain_Type[N])</f>
        <v>7</v>
      </c>
      <c r="B32" s="28" t="s">
        <v>362</v>
      </c>
    </row>
    <row r="33">
      <c r="A33" s="28">
        <f>ROW()-ROW(Table_Unchain_Type[N])</f>
        <v>8</v>
      </c>
      <c r="B33" s="28" t="s">
        <v>660</v>
      </c>
    </row>
    <row r="34">
      <c r="A34" s="28">
        <f>ROW()-ROW(Table_Unchain_Type[N])</f>
        <v>9</v>
      </c>
      <c r="B34" s="28" t="s">
        <v>368</v>
      </c>
    </row>
    <row r="35">
      <c r="A35" s="28">
        <f>ROW()-ROW(Table_Unchain_Type[N])</f>
        <v>10</v>
      </c>
      <c r="B35" s="28" t="s">
        <v>395</v>
      </c>
    </row>
    <row r="36">
      <c r="A36" s="28">
        <f>ROW()-ROW(Table_Unchain_Type[N])</f>
        <v>11</v>
      </c>
      <c r="B36" s="28" t="s">
        <v>661</v>
      </c>
    </row>
    <row r="38">
      <c r="A38" s="19" t="s">
        <v>0</v>
      </c>
      <c r="B38" s="19" t="s">
        <v>662</v>
      </c>
    </row>
    <row r="39">
      <c r="A39" s="28">
        <v>0.0</v>
      </c>
      <c r="B39" s="28" t="s">
        <v>547</v>
      </c>
    </row>
    <row r="40">
      <c r="A40" s="28">
        <v>1.0</v>
      </c>
      <c r="B40" s="28" t="s">
        <v>549</v>
      </c>
    </row>
    <row r="42">
      <c r="A42" s="19" t="s">
        <v>0</v>
      </c>
      <c r="B42" s="19" t="s">
        <v>663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664</v>
      </c>
    </row>
    <row r="50">
      <c r="A50" s="28">
        <f>ROW()-ROW(Table_Moment_Day[N])</f>
        <v>0</v>
      </c>
      <c r="B50" s="28" t="s">
        <v>400</v>
      </c>
    </row>
    <row r="51">
      <c r="A51" s="28">
        <f>ROW()-ROW(Table_Moment_Day[N])</f>
        <v>1</v>
      </c>
      <c r="B51" s="28" t="s">
        <v>665</v>
      </c>
    </row>
    <row r="52">
      <c r="A52" s="28">
        <f>ROW()-ROW(Table_Moment_Day[N])</f>
        <v>2</v>
      </c>
      <c r="B52" s="28" t="s">
        <v>364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666</v>
      </c>
    </row>
    <row r="2">
      <c r="A2" s="28">
        <f t="shared" ref="A2:A17" si="1">ROW()-ROW($A$2)</f>
        <v>0</v>
      </c>
      <c r="B2" s="28" t="s">
        <v>288</v>
      </c>
    </row>
    <row r="3">
      <c r="A3" s="28">
        <f t="shared" si="1"/>
        <v>1</v>
      </c>
      <c r="B3" s="28" t="s">
        <v>667</v>
      </c>
    </row>
    <row r="4">
      <c r="A4" s="28">
        <f t="shared" si="1"/>
        <v>2</v>
      </c>
      <c r="B4" s="28" t="s">
        <v>668</v>
      </c>
    </row>
    <row r="5">
      <c r="A5" s="28">
        <f t="shared" si="1"/>
        <v>3</v>
      </c>
      <c r="B5" s="28" t="s">
        <v>488</v>
      </c>
    </row>
    <row r="6">
      <c r="A6" s="28">
        <f t="shared" si="1"/>
        <v>4</v>
      </c>
      <c r="B6" s="28" t="s">
        <v>491</v>
      </c>
    </row>
    <row r="7">
      <c r="A7" s="28">
        <f t="shared" si="1"/>
        <v>5</v>
      </c>
      <c r="B7" s="28" t="s">
        <v>363</v>
      </c>
    </row>
    <row r="8">
      <c r="A8" s="28">
        <f t="shared" si="1"/>
        <v>6</v>
      </c>
      <c r="B8" s="28" t="s">
        <v>299</v>
      </c>
    </row>
    <row r="9">
      <c r="A9" s="28">
        <f t="shared" si="1"/>
        <v>7</v>
      </c>
      <c r="B9" s="28" t="s">
        <v>302</v>
      </c>
    </row>
    <row r="10">
      <c r="A10" s="28">
        <f t="shared" si="1"/>
        <v>8</v>
      </c>
      <c r="B10" s="28" t="s">
        <v>304</v>
      </c>
    </row>
    <row r="11">
      <c r="A11" s="28">
        <f t="shared" si="1"/>
        <v>9</v>
      </c>
      <c r="B11" s="28" t="s">
        <v>312</v>
      </c>
    </row>
    <row r="12">
      <c r="A12" s="28">
        <f t="shared" si="1"/>
        <v>10</v>
      </c>
      <c r="B12" s="28" t="s">
        <v>337</v>
      </c>
    </row>
    <row r="13">
      <c r="A13" s="28">
        <f t="shared" si="1"/>
        <v>11</v>
      </c>
      <c r="B13" s="28" t="s">
        <v>328</v>
      </c>
    </row>
    <row r="14">
      <c r="A14" s="28">
        <f t="shared" si="1"/>
        <v>12</v>
      </c>
      <c r="B14" s="28" t="s">
        <v>333</v>
      </c>
    </row>
    <row r="15">
      <c r="A15" s="28">
        <f t="shared" si="1"/>
        <v>13</v>
      </c>
      <c r="B15" s="28" t="s">
        <v>345</v>
      </c>
    </row>
    <row r="16">
      <c r="A16" s="28">
        <f t="shared" si="1"/>
        <v>14</v>
      </c>
      <c r="B16" s="28" t="s">
        <v>669</v>
      </c>
    </row>
    <row r="17">
      <c r="A17" s="28">
        <f t="shared" si="1"/>
        <v>15</v>
      </c>
      <c r="B17" s="28" t="s">
        <v>670</v>
      </c>
    </row>
    <row r="19">
      <c r="A19" s="19" t="s">
        <v>0</v>
      </c>
      <c r="B19" s="19" t="s">
        <v>671</v>
      </c>
      <c r="C19" s="55" t="s">
        <v>208</v>
      </c>
      <c r="D19" s="55" t="s">
        <v>672</v>
      </c>
      <c r="E19" s="55" t="s">
        <v>673</v>
      </c>
    </row>
    <row r="20">
      <c r="A20" s="28">
        <f>ROW()-ROW(Table_Memento_Parent[N])</f>
        <v>0</v>
      </c>
      <c r="B20" s="28" t="s">
        <v>674</v>
      </c>
      <c r="C20" s="30" t="s">
        <v>216</v>
      </c>
      <c r="D20" s="30" t="s">
        <v>218</v>
      </c>
      <c r="E20" s="56" t="str">
        <f>IFERROR(__xludf.DUMMYFUNCTION("ArrayFormula(SUBSTITUTE(SUBSTITUTE(JOIN(""|"",UNIQUE(IF(Table_Memento[Parent]=B20,Table_Memento[MEMENTO_ID],""Ñ""))),""Ñ|"",""""),""|Ñ"",""""))"),"MEMENTO_NONE")</f>
        <v>MEMENTO_NONE</v>
      </c>
    </row>
    <row r="21">
      <c r="A21" s="28">
        <f>ROW()-ROW(Table_Memento_Parent[N])</f>
        <v>1</v>
      </c>
      <c r="B21" s="28" t="s">
        <v>675</v>
      </c>
      <c r="C21" s="30" t="s">
        <v>522</v>
      </c>
      <c r="D21" s="30" t="s">
        <v>438</v>
      </c>
      <c r="E21" s="56" t="str">
        <f>IFERROR(__xludf.DUMMYFUNCTION("ArrayFormula(SUBSTITUTE(SUBSTITUTE(JOIN(""|"",UNIQUE(IF(Table_Memento[Parent]=B21,Table_Memento[MEMENTO_ID],""Ñ""))),""Ñ|"",""""),""|Ñ"",""""))"),"MEMENTO_JOB_FIND_1_1|MEMENTO_JOB_FIND_1_2")</f>
        <v>MEMENTO_JOB_FIND_1_1|MEMENTO_JOB_FIND_1_2</v>
      </c>
    </row>
    <row r="22">
      <c r="A22" s="28">
        <f>ROW()-ROW(Table_Memento_Parent[N])</f>
        <v>2</v>
      </c>
      <c r="B22" s="28" t="s">
        <v>676</v>
      </c>
      <c r="C22" s="30" t="s">
        <v>277</v>
      </c>
      <c r="D22" s="30" t="s">
        <v>218</v>
      </c>
      <c r="E22" s="56" t="str">
        <f>IFERROR(__xludf.DUMMYFUNCTION("ArrayFormula(SUBSTITUTE(SUBSTITUTE(JOIN(""|"",UNIQUE(IF(Table_Memento[Parent]=B22,Table_Memento[MEMENTO_ID],""Ñ""))),""Ñ|"",""""),""|Ñ"",""""))"),"MEMENTO_LAST")</f>
        <v>MEMENTO_LAST</v>
      </c>
    </row>
    <row r="24">
      <c r="A24" s="19" t="s">
        <v>0</v>
      </c>
      <c r="B24" s="19" t="s">
        <v>677</v>
      </c>
      <c r="C24" s="57" t="s">
        <v>678</v>
      </c>
      <c r="D24" s="57" t="s">
        <v>483</v>
      </c>
      <c r="E24" s="55" t="s">
        <v>679</v>
      </c>
      <c r="F24" s="57" t="s">
        <v>680</v>
      </c>
    </row>
    <row r="25">
      <c r="A25" s="28">
        <f>ROW()-ROW(Table_Memento[N])</f>
        <v>0</v>
      </c>
      <c r="B25" s="28" t="s">
        <v>365</v>
      </c>
      <c r="C25" s="36" t="s">
        <v>674</v>
      </c>
      <c r="D25" s="36" t="s">
        <v>293</v>
      </c>
      <c r="E25" s="58" t="s">
        <v>681</v>
      </c>
      <c r="F25" s="39" t="b">
        <v>0</v>
      </c>
    </row>
    <row r="26">
      <c r="A26" s="28">
        <f>ROW()-ROW(Table_Memento[N])</f>
        <v>1</v>
      </c>
      <c r="B26" s="28" t="s">
        <v>369</v>
      </c>
      <c r="C26" s="36" t="s">
        <v>675</v>
      </c>
      <c r="D26" s="36" t="s">
        <v>589</v>
      </c>
      <c r="E26" s="58" t="s">
        <v>681</v>
      </c>
      <c r="F26" s="39" t="b">
        <v>0</v>
      </c>
    </row>
    <row r="27">
      <c r="A27" s="28">
        <f>ROW()-ROW(Table_Memento[N])</f>
        <v>2</v>
      </c>
      <c r="B27" s="28" t="s">
        <v>391</v>
      </c>
      <c r="C27" s="36" t="s">
        <v>675</v>
      </c>
      <c r="D27" s="36" t="s">
        <v>311</v>
      </c>
      <c r="E27" s="58" t="s">
        <v>681</v>
      </c>
      <c r="F27" s="39" t="b">
        <v>0</v>
      </c>
    </row>
    <row r="28">
      <c r="A28" s="28">
        <f>ROW()-ROW(Table_Memento[N])</f>
        <v>3</v>
      </c>
      <c r="B28" s="28" t="s">
        <v>682</v>
      </c>
      <c r="C28" s="36" t="s">
        <v>676</v>
      </c>
      <c r="D28" s="36" t="s">
        <v>293</v>
      </c>
      <c r="E28" s="58" t="s">
        <v>681</v>
      </c>
      <c r="F28" s="39" t="b">
        <v>0</v>
      </c>
    </row>
    <row r="30">
      <c r="A30" s="19" t="s">
        <v>0</v>
      </c>
      <c r="B30" s="19" t="s">
        <v>683</v>
      </c>
      <c r="C30" s="21" t="s">
        <v>684</v>
      </c>
    </row>
    <row r="31">
      <c r="A31" s="28">
        <f>ROW()-ROW(Table_Memento_Combi[N])</f>
        <v>0</v>
      </c>
      <c r="B31" s="28" t="s">
        <v>681</v>
      </c>
      <c r="C31" s="59" t="s">
        <v>288</v>
      </c>
    </row>
    <row r="33">
      <c r="A33" s="19" t="s">
        <v>0</v>
      </c>
      <c r="B33" s="19" t="s">
        <v>685</v>
      </c>
    </row>
    <row r="34">
      <c r="A34" s="38">
        <f>ROW()-ROW(Table_EventsCombi[N])</f>
        <v>0</v>
      </c>
      <c r="B34" s="60" t="str">
        <f>IFERROR(__xludf.DUMMYFUNCTION("ArrayFormula(FLATTEN(Table_Events[EVENT_ID],""(NOT)""&amp;Table_Events[EVENT_ID]))"),"EVENT_NONE")</f>
        <v>EVENT_NONE</v>
      </c>
    </row>
    <row r="35">
      <c r="A35" s="38">
        <f>ROW()-ROW(Table_EventsCombi[N])</f>
        <v>1</v>
      </c>
      <c r="B35" s="60" t="str">
        <f>IFERROR(__xludf.DUMMYFUNCTION("""COMPUTED_VALUE"""),"EVENT_MASTER_CHANGE_ROOM")</f>
        <v>EVENT_MASTER_CHANGE_ROOM</v>
      </c>
    </row>
    <row r="36">
      <c r="A36" s="38">
        <f>ROW()-ROW(Table_EventsCombi[N])</f>
        <v>2</v>
      </c>
      <c r="B36" s="60" t="str">
        <f>IFERROR(__xludf.DUMMYFUNCTION("""COMPUTED_VALUE"""),"EVENT_MASTER_CHANGE_MOMENT_DAY")</f>
        <v>EVENT_MASTER_CHANGE_MOMENT_DAY</v>
      </c>
    </row>
    <row r="37">
      <c r="A37" s="38">
        <f>ROW()-ROW(Table_EventsCombi[N])</f>
        <v>3</v>
      </c>
      <c r="B37" s="60" t="str">
        <f>IFERROR(__xludf.DUMMYFUNCTION("""COMPUTED_VALUE"""),"EVENT_MASTER_PENDING_SLEEP_NAP")</f>
        <v>EVENT_MASTER_PENDING_SLEEP_NAP</v>
      </c>
    </row>
    <row r="38">
      <c r="A38" s="38">
        <f>ROW()-ROW(Table_EventsCombi[N])</f>
        <v>4</v>
      </c>
      <c r="B38" s="60" t="str">
        <f>IFERROR(__xludf.DUMMYFUNCTION("""COMPUTED_VALUE"""),"EVENT_MASTER_PENDING_SLEEP_LONG")</f>
        <v>EVENT_MASTER_PENDING_SLEEP_LONG</v>
      </c>
    </row>
    <row r="39">
      <c r="A39" s="38">
        <f>ROW()-ROW(Table_EventsCombi[N])</f>
        <v>5</v>
      </c>
      <c r="B39" s="60" t="str">
        <f>IFERROR(__xludf.DUMMYFUNCTION("""COMPUTED_VALUE"""),"EVENT_FIRST")</f>
        <v>EVENT_FIRST</v>
      </c>
    </row>
    <row r="40">
      <c r="A40" s="38">
        <f>ROW()-ROW(Table_EventsCombi[N])</f>
        <v>6</v>
      </c>
      <c r="B40" s="60" t="str">
        <f>IFERROR(__xludf.DUMMYFUNCTION("""COMPUTED_VALUE"""),"EVENT_HIVE1_CHEST_OPENED")</f>
        <v>EVENT_HIVE1_CHEST_OPENED</v>
      </c>
    </row>
    <row r="41">
      <c r="A41" s="38">
        <f>ROW()-ROW(Table_EventsCombi[N])</f>
        <v>7</v>
      </c>
      <c r="B41" s="60" t="str">
        <f>IFERROR(__xludf.DUMMYFUNCTION("""COMPUTED_VALUE"""),"EVENT_CARDS_PICKABLE_TAKEN")</f>
        <v>EVENT_CARDS_PICKABLE_TAKEN</v>
      </c>
    </row>
    <row r="42">
      <c r="A42" s="38">
        <f>ROW()-ROW(Table_EventsCombi[N])</f>
        <v>8</v>
      </c>
      <c r="B42" s="60" t="str">
        <f>IFERROR(__xludf.DUMMYFUNCTION("""COMPUTED_VALUE"""),"EVENT_HIVE1_WARDROBE_OPENED")</f>
        <v>EVENT_HIVE1_WARDROBE_OPENED</v>
      </c>
    </row>
    <row r="43">
      <c r="A43" s="38">
        <f>ROW()-ROW(Table_EventsCombi[N])</f>
        <v>9</v>
      </c>
      <c r="B43" s="60" t="str">
        <f>IFERROR(__xludf.DUMMYFUNCTION("""COMPUTED_VALUE"""),"EVENT_HIVE1_AD_BOARD_OBSERVED_1")</f>
        <v>EVENT_HIVE1_AD_BOARD_OBSERVED_1</v>
      </c>
    </row>
    <row r="44">
      <c r="A44" s="38">
        <f>ROW()-ROW(Table_EventsCombi[N])</f>
        <v>10</v>
      </c>
      <c r="B44" s="60" t="str">
        <f>IFERROR(__xludf.DUMMYFUNCTION("""COMPUTED_VALUE"""),"EVENT_HIVE1_USED_PERFUME")</f>
        <v>EVENT_HIVE1_USED_PERFUME</v>
      </c>
    </row>
    <row r="45">
      <c r="A45" s="38">
        <f>ROW()-ROW(Table_EventsCombi[N])</f>
        <v>11</v>
      </c>
      <c r="B45" s="60" t="str">
        <f>IFERROR(__xludf.DUMMYFUNCTION("""COMPUTED_VALUE"""),"EVENT_HIVE1_USED_BASIN")</f>
        <v>EVENT_HIVE1_USED_BASIN</v>
      </c>
    </row>
    <row r="46">
      <c r="A46" s="38">
        <f>ROW()-ROW(Table_EventsCombi[N])</f>
        <v>12</v>
      </c>
      <c r="B46" s="60" t="str">
        <f>IFERROR(__xludf.DUMMYFUNCTION("""COMPUTED_VALUE"""),"EVENT_SOAP_PICKABLE_TAKEN")</f>
        <v>EVENT_SOAP_PICKABLE_TAKEN</v>
      </c>
    </row>
    <row r="47">
      <c r="A47" s="38">
        <f>ROW()-ROW(Table_EventsCombi[N])</f>
        <v>13</v>
      </c>
      <c r="B47" s="60" t="str">
        <f>IFERROR(__xludf.DUMMYFUNCTION("""COMPUTED_VALUE"""),"EVENT_LAUNCH_SLEEP_DECISION")</f>
        <v>EVENT_LAUNCH_SLEEP_DECISION</v>
      </c>
    </row>
    <row r="48">
      <c r="A48" s="38">
        <f>ROW()-ROW(Table_EventsCombi[N])</f>
        <v>14</v>
      </c>
      <c r="B48" s="60" t="str">
        <f>IFERROR(__xludf.DUMMYFUNCTION("""COMPUTED_VALUE"""),"EVENT_CAN_GO_SOUTH_NEIGH")</f>
        <v>EVENT_CAN_GO_SOUTH_NEIGH</v>
      </c>
    </row>
    <row r="49">
      <c r="A49" s="38">
        <f>ROW()-ROW(Table_EventsCombi[N])</f>
        <v>15</v>
      </c>
      <c r="B49" s="60" t="str">
        <f>IFERROR(__xludf.DUMMYFUNCTION("""COMPUTED_VALUE"""),"EVENT_LAST")</f>
        <v>EVENT_LAST</v>
      </c>
    </row>
    <row r="50">
      <c r="A50" s="38">
        <f>ROW()-ROW(Table_EventsCombi[N])</f>
        <v>16</v>
      </c>
      <c r="B50" s="60" t="str">
        <f>IFERROR(__xludf.DUMMYFUNCTION("""COMPUTED_VALUE"""),"(NOT)EVENT_NONE")</f>
        <v>(NOT)EVENT_NONE</v>
      </c>
    </row>
    <row r="51">
      <c r="A51" s="38">
        <f>ROW()-ROW(Table_EventsCombi[N])</f>
        <v>17</v>
      </c>
      <c r="B51" s="60" t="str">
        <f>IFERROR(__xludf.DUMMYFUNCTION("""COMPUTED_VALUE"""),"(NOT)EVENT_MASTER_CHANGE_ROOM")</f>
        <v>(NOT)EVENT_MASTER_CHANGE_ROOM</v>
      </c>
    </row>
    <row r="52">
      <c r="A52" s="38">
        <f>ROW()-ROW(Table_EventsCombi[N])</f>
        <v>18</v>
      </c>
      <c r="B52" s="60" t="str">
        <f>IFERROR(__xludf.DUMMYFUNCTION("""COMPUTED_VALUE"""),"(NOT)EVENT_MASTER_CHANGE_MOMENT_DAY")</f>
        <v>(NOT)EVENT_MASTER_CHANGE_MOMENT_DAY</v>
      </c>
    </row>
    <row r="53">
      <c r="A53" s="38">
        <f>ROW()-ROW(Table_EventsCombi[N])</f>
        <v>19</v>
      </c>
      <c r="B53" s="60" t="str">
        <f>IFERROR(__xludf.DUMMYFUNCTION("""COMPUTED_VALUE"""),"(NOT)EVENT_MASTER_PENDING_SLEEP_NAP")</f>
        <v>(NOT)EVENT_MASTER_PENDING_SLEEP_NAP</v>
      </c>
    </row>
    <row r="54">
      <c r="A54" s="38">
        <f>ROW()-ROW(Table_EventsCombi[N])</f>
        <v>20</v>
      </c>
      <c r="B54" s="60" t="str">
        <f>IFERROR(__xludf.DUMMYFUNCTION("""COMPUTED_VALUE"""),"(NOT)EVENT_MASTER_PENDING_SLEEP_LONG")</f>
        <v>(NOT)EVENT_MASTER_PENDING_SLEEP_LONG</v>
      </c>
    </row>
    <row r="55">
      <c r="A55" s="38">
        <f>ROW()-ROW(Table_EventsCombi[N])</f>
        <v>21</v>
      </c>
      <c r="B55" s="60" t="str">
        <f>IFERROR(__xludf.DUMMYFUNCTION("""COMPUTED_VALUE"""),"(NOT)EVENT_FIRST")</f>
        <v>(NOT)EVENT_FIRST</v>
      </c>
    </row>
    <row r="56">
      <c r="A56" s="38">
        <f>ROW()-ROW(Table_EventsCombi[N])</f>
        <v>22</v>
      </c>
      <c r="B56" s="60" t="str">
        <f>IFERROR(__xludf.DUMMYFUNCTION("""COMPUTED_VALUE"""),"(NOT)EVENT_HIVE1_CHEST_OPENED")</f>
        <v>(NOT)EVENT_HIVE1_CHEST_OPENED</v>
      </c>
    </row>
    <row r="57">
      <c r="A57" s="38">
        <f>ROW()-ROW(Table_EventsCombi[N])</f>
        <v>23</v>
      </c>
      <c r="B57" s="60" t="str">
        <f>IFERROR(__xludf.DUMMYFUNCTION("""COMPUTED_VALUE"""),"(NOT)EVENT_CARDS_PICKABLE_TAKEN")</f>
        <v>(NOT)EVENT_CARDS_PICKABLE_TAKEN</v>
      </c>
    </row>
    <row r="58">
      <c r="A58" s="38">
        <f>ROW()-ROW(Table_EventsCombi[N])</f>
        <v>24</v>
      </c>
      <c r="B58" s="60" t="str">
        <f>IFERROR(__xludf.DUMMYFUNCTION("""COMPUTED_VALUE"""),"(NOT)EVENT_HIVE1_WARDROBE_OPENED")</f>
        <v>(NOT)EVENT_HIVE1_WARDROBE_OPENED</v>
      </c>
    </row>
    <row r="59">
      <c r="A59" s="38">
        <f>ROW()-ROW(Table_EventsCombi[N])</f>
        <v>25</v>
      </c>
      <c r="B59" s="60" t="str">
        <f>IFERROR(__xludf.DUMMYFUNCTION("""COMPUTED_VALUE"""),"(NOT)EVENT_HIVE1_AD_BOARD_OBSERVED_1")</f>
        <v>(NOT)EVENT_HIVE1_AD_BOARD_OBSERVED_1</v>
      </c>
    </row>
    <row r="60">
      <c r="A60" s="38">
        <f>ROW()-ROW(Table_EventsCombi[N])</f>
        <v>26</v>
      </c>
      <c r="B60" s="60" t="str">
        <f>IFERROR(__xludf.DUMMYFUNCTION("""COMPUTED_VALUE"""),"(NOT)EVENT_HIVE1_USED_PERFUME")</f>
        <v>(NOT)EVENT_HIVE1_USED_PERFUME</v>
      </c>
    </row>
    <row r="61">
      <c r="A61" s="38">
        <f>ROW()-ROW(Table_EventsCombi[N])</f>
        <v>27</v>
      </c>
      <c r="B61" s="60" t="str">
        <f>IFERROR(__xludf.DUMMYFUNCTION("""COMPUTED_VALUE"""),"(NOT)EVENT_HIVE1_USED_BASIN")</f>
        <v>(NOT)EVENT_HIVE1_USED_BASIN</v>
      </c>
    </row>
    <row r="62">
      <c r="A62" s="38">
        <f>ROW()-ROW(Table_EventsCombi[N])</f>
        <v>28</v>
      </c>
      <c r="B62" s="60" t="str">
        <f>IFERROR(__xludf.DUMMYFUNCTION("""COMPUTED_VALUE"""),"(NOT)EVENT_SOAP_PICKABLE_TAKEN")</f>
        <v>(NOT)EVENT_SOAP_PICKABLE_TAKEN</v>
      </c>
    </row>
    <row r="63">
      <c r="A63" s="38">
        <f>ROW()-ROW(Table_EventsCombi[N])</f>
        <v>29</v>
      </c>
      <c r="B63" s="60" t="str">
        <f>IFERROR(__xludf.DUMMYFUNCTION("""COMPUTED_VALUE"""),"(NOT)EVENT_LAUNCH_SLEEP_DECISION")</f>
        <v>(NOT)EVENT_LAUNCH_SLEEP_DECISION</v>
      </c>
    </row>
    <row r="64">
      <c r="A64" s="38">
        <f>ROW()-ROW(Table_EventsCombi[N])</f>
        <v>30</v>
      </c>
      <c r="B64" s="60" t="str">
        <f>IFERROR(__xludf.DUMMYFUNCTION("""COMPUTED_VALUE"""),"(NOT)EVENT_CAN_GO_SOUTH_NEIGH")</f>
        <v>(NOT)EVENT_CAN_GO_SOUTH_NEIGH</v>
      </c>
    </row>
    <row r="65">
      <c r="A65" s="38">
        <f>ROW()-ROW(Table_EventsCombi[N])</f>
        <v>31</v>
      </c>
      <c r="B65" s="60" t="str">
        <f>IFERROR(__xludf.DUMMYFUNCTION("""COMPUTED_VALUE"""),"(NOT)EVENT_LAST")</f>
        <v>(NOT)EVENT_LAST</v>
      </c>
    </row>
    <row r="66">
      <c r="A66" s="38">
        <f>ROW()-ROW(Table_EventsCombi[N])</f>
        <v>32</v>
      </c>
      <c r="B66" s="60"/>
    </row>
    <row r="67">
      <c r="A67" s="38">
        <f>ROW()-ROW(Table_EventsCombi[N])</f>
        <v>33</v>
      </c>
      <c r="B67" s="60"/>
    </row>
    <row r="68">
      <c r="A68" s="38">
        <f>ROW()-ROW(Table_EventsCombi[N])</f>
        <v>34</v>
      </c>
      <c r="B68" s="60"/>
    </row>
    <row r="69">
      <c r="A69" s="38">
        <f>ROW()-ROW(Table_EventsCombi[N])</f>
        <v>35</v>
      </c>
      <c r="B69" s="60"/>
    </row>
    <row r="70">
      <c r="A70" s="38">
        <f>ROW()-ROW(Table_EventsCombi[N])</f>
        <v>36</v>
      </c>
      <c r="B70" s="60"/>
    </row>
    <row r="71">
      <c r="A71" s="38">
        <f>ROW()-ROW(Table_EventsCombi[N])</f>
        <v>37</v>
      </c>
      <c r="B71" s="60"/>
    </row>
    <row r="72">
      <c r="A72" s="38">
        <f>ROW()-ROW(Table_EventsCombi[N])</f>
        <v>38</v>
      </c>
      <c r="B72" s="60"/>
    </row>
    <row r="73">
      <c r="A73" s="38">
        <f>ROW()-ROW(Table_EventsCombi[N])</f>
        <v>39</v>
      </c>
      <c r="B73" s="60"/>
    </row>
    <row r="74">
      <c r="A74" s="38">
        <f>ROW()-ROW(Table_EventsCombi[N])</f>
        <v>40</v>
      </c>
      <c r="B74" s="60"/>
    </row>
    <row r="75">
      <c r="A75" s="38">
        <f>ROW()-ROW(Table_EventsCombi[N])</f>
        <v>41</v>
      </c>
      <c r="B75" s="60"/>
    </row>
  </sheetData>
  <dataValidations>
    <dataValidation type="list" allowBlank="1" sqref="E25:E28">
      <formula1>#REF!</formula1>
    </dataValidation>
    <dataValidation type="list" allowBlank="1" sqref="C20:D22 C25:D28 C31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686</v>
      </c>
      <c r="B1" s="19" t="s">
        <v>687</v>
      </c>
      <c r="C1" s="19" t="s">
        <v>688</v>
      </c>
      <c r="D1" s="19" t="s">
        <v>689</v>
      </c>
    </row>
    <row r="2">
      <c r="A2" s="28" t="s">
        <v>690</v>
      </c>
      <c r="B2" s="61">
        <v>1.0</v>
      </c>
      <c r="C2" s="28" t="b">
        <v>1</v>
      </c>
      <c r="D2" s="28" t="b">
        <v>1</v>
      </c>
    </row>
    <row r="3">
      <c r="A3" s="28" t="s">
        <v>691</v>
      </c>
      <c r="B3" s="61">
        <v>1.0</v>
      </c>
      <c r="C3" s="28" t="b">
        <v>0</v>
      </c>
      <c r="D3" s="28" t="b">
        <v>1</v>
      </c>
    </row>
    <row r="4">
      <c r="A4" s="28" t="s">
        <v>692</v>
      </c>
      <c r="B4" s="61">
        <v>3.0</v>
      </c>
      <c r="C4" s="28" t="b">
        <v>1</v>
      </c>
      <c r="D4" s="28" t="b">
        <v>1</v>
      </c>
    </row>
    <row r="5">
      <c r="A5" s="28" t="s">
        <v>693</v>
      </c>
      <c r="B5" s="61">
        <v>1.0</v>
      </c>
      <c r="C5" s="28" t="b">
        <v>1</v>
      </c>
      <c r="D5" s="28" t="b">
        <v>1</v>
      </c>
    </row>
    <row r="6">
      <c r="A6" s="28" t="s">
        <v>694</v>
      </c>
      <c r="B6" s="61">
        <v>3.0</v>
      </c>
      <c r="C6" s="28" t="b">
        <v>1</v>
      </c>
      <c r="D6" s="28" t="b">
        <v>1</v>
      </c>
    </row>
    <row r="7">
      <c r="A7" s="28" t="s">
        <v>695</v>
      </c>
      <c r="B7" s="61">
        <v>3.0</v>
      </c>
      <c r="C7" s="28" t="b">
        <v>1</v>
      </c>
      <c r="D7" s="28" t="b">
        <v>1</v>
      </c>
    </row>
    <row r="8">
      <c r="A8" s="28" t="s">
        <v>696</v>
      </c>
      <c r="B8" s="61">
        <v>5.0</v>
      </c>
      <c r="C8" s="28" t="b">
        <v>1</v>
      </c>
      <c r="D8" s="28" t="b">
        <v>1</v>
      </c>
    </row>
    <row r="9">
      <c r="A9" s="28" t="s">
        <v>697</v>
      </c>
      <c r="B9" s="61">
        <v>4.0</v>
      </c>
      <c r="C9" s="28" t="b">
        <v>1</v>
      </c>
      <c r="D9" s="28" t="b">
        <v>1</v>
      </c>
    </row>
    <row r="10">
      <c r="A10" s="28" t="s">
        <v>698</v>
      </c>
      <c r="B10" s="61">
        <v>5.0</v>
      </c>
      <c r="C10" s="28" t="b">
        <v>0</v>
      </c>
      <c r="D10" s="28" t="b">
        <v>0</v>
      </c>
    </row>
    <row r="11">
      <c r="A11" s="28" t="s">
        <v>699</v>
      </c>
      <c r="B11" s="61">
        <v>4.0</v>
      </c>
      <c r="C11" s="28" t="b">
        <v>0</v>
      </c>
      <c r="D11" s="28" t="b">
        <v>0</v>
      </c>
    </row>
    <row r="12">
      <c r="A12" s="28" t="s">
        <v>700</v>
      </c>
      <c r="B12" s="61">
        <v>1.0</v>
      </c>
      <c r="C12" s="28" t="b">
        <v>1</v>
      </c>
      <c r="D12" s="28" t="b">
        <v>1</v>
      </c>
    </row>
    <row r="13">
      <c r="A13" s="28" t="s">
        <v>701</v>
      </c>
      <c r="B13" s="61">
        <v>4.0</v>
      </c>
      <c r="C13" s="28" t="b">
        <v>1</v>
      </c>
      <c r="D13" s="28" t="b">
        <v>1</v>
      </c>
    </row>
    <row r="14">
      <c r="A14" s="28" t="s">
        <v>702</v>
      </c>
      <c r="B14" s="61">
        <v>1.0</v>
      </c>
      <c r="C14" s="28" t="b">
        <v>1</v>
      </c>
      <c r="D14" s="28" t="b">
        <v>1</v>
      </c>
    </row>
    <row r="15">
      <c r="A15" s="28" t="s">
        <v>703</v>
      </c>
      <c r="B15" s="61">
        <v>2.0</v>
      </c>
      <c r="C15" s="28" t="b">
        <v>1</v>
      </c>
      <c r="D15" s="28" t="b">
        <v>1</v>
      </c>
    </row>
    <row r="16">
      <c r="A16" s="28" t="s">
        <v>704</v>
      </c>
      <c r="B16" s="61">
        <v>3.0</v>
      </c>
      <c r="C16" s="28" t="b">
        <v>1</v>
      </c>
      <c r="D16" s="28" t="b">
        <v>1</v>
      </c>
    </row>
    <row r="17">
      <c r="A17" s="28" t="s">
        <v>705</v>
      </c>
      <c r="B17" s="61">
        <v>2.0</v>
      </c>
      <c r="C17" s="28" t="b">
        <v>1</v>
      </c>
      <c r="D17" s="28" t="b">
        <v>1</v>
      </c>
    </row>
    <row r="18">
      <c r="A18" s="28" t="s">
        <v>706</v>
      </c>
      <c r="B18" s="61">
        <v>2.0</v>
      </c>
      <c r="C18" s="28" t="b">
        <v>1</v>
      </c>
      <c r="D18" s="28" t="b">
        <v>1</v>
      </c>
    </row>
    <row r="19">
      <c r="A19" s="28" t="s">
        <v>707</v>
      </c>
      <c r="B19" s="61">
        <v>2.0</v>
      </c>
      <c r="C19" s="28" t="b">
        <v>1</v>
      </c>
      <c r="D19" s="28" t="b">
        <v>1</v>
      </c>
    </row>
    <row r="20">
      <c r="A20" s="28" t="s">
        <v>708</v>
      </c>
      <c r="B20" s="61">
        <v>2.0</v>
      </c>
      <c r="C20" s="28" t="b">
        <v>1</v>
      </c>
      <c r="D20" s="28" t="b">
        <v>1</v>
      </c>
    </row>
    <row r="21">
      <c r="A21" s="28" t="s">
        <v>709</v>
      </c>
      <c r="B21" s="61">
        <v>3.0</v>
      </c>
      <c r="C21" s="28" t="b">
        <v>1</v>
      </c>
      <c r="D21" s="28" t="b">
        <v>1</v>
      </c>
    </row>
    <row r="22">
      <c r="A22" s="28" t="s">
        <v>710</v>
      </c>
      <c r="B22" s="61">
        <v>2.0</v>
      </c>
      <c r="C22" s="28" t="b">
        <v>1</v>
      </c>
      <c r="D22" s="28" t="b">
        <v>1</v>
      </c>
    </row>
    <row r="23">
      <c r="A23" s="28" t="s">
        <v>711</v>
      </c>
      <c r="B23" s="61">
        <v>2.0</v>
      </c>
      <c r="C23" s="28" t="b">
        <v>1</v>
      </c>
      <c r="D23" s="28" t="b">
        <v>1</v>
      </c>
    </row>
    <row r="24">
      <c r="A24" s="28" t="s">
        <v>712</v>
      </c>
      <c r="B24" s="61">
        <v>2.0</v>
      </c>
      <c r="C24" s="28" t="b">
        <v>1</v>
      </c>
      <c r="D24" s="28" t="b">
        <v>1</v>
      </c>
    </row>
    <row r="25">
      <c r="A25" s="28" t="s">
        <v>713</v>
      </c>
      <c r="B25" s="61">
        <v>2.0</v>
      </c>
      <c r="C25" s="28" t="b">
        <v>1</v>
      </c>
      <c r="D25" s="28" t="b">
        <v>1</v>
      </c>
    </row>
    <row r="26">
      <c r="A26" s="28" t="s">
        <v>714</v>
      </c>
      <c r="B26" s="61">
        <v>2.0</v>
      </c>
      <c r="C26" s="28" t="b">
        <v>1</v>
      </c>
      <c r="D26" s="28" t="b">
        <v>1</v>
      </c>
    </row>
    <row r="27">
      <c r="A27" s="28" t="s">
        <v>715</v>
      </c>
      <c r="B27" s="61">
        <v>2.0</v>
      </c>
      <c r="C27" s="28" t="b">
        <v>1</v>
      </c>
      <c r="D27" s="28" t="b">
        <v>1</v>
      </c>
    </row>
    <row r="28">
      <c r="A28" s="28" t="s">
        <v>716</v>
      </c>
      <c r="B28" s="61">
        <v>2.0</v>
      </c>
      <c r="C28" s="28" t="b">
        <v>0</v>
      </c>
      <c r="D28" s="28" t="b">
        <v>0</v>
      </c>
    </row>
    <row r="29">
      <c r="A29" s="28" t="s">
        <v>717</v>
      </c>
      <c r="B29" s="61">
        <v>4.0</v>
      </c>
      <c r="C29" s="28" t="b">
        <v>0</v>
      </c>
      <c r="D29" s="28" t="b">
        <v>0</v>
      </c>
    </row>
    <row r="30">
      <c r="A30" s="28" t="s">
        <v>718</v>
      </c>
      <c r="B30" s="61">
        <v>2.0</v>
      </c>
      <c r="C30" s="28" t="b">
        <v>0</v>
      </c>
      <c r="D30" s="28" t="b">
        <v>0</v>
      </c>
    </row>
    <row r="31">
      <c r="A31" s="28" t="s">
        <v>539</v>
      </c>
      <c r="B31" s="61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2" t="s">
        <v>719</v>
      </c>
      <c r="B1" s="62" t="s">
        <v>720</v>
      </c>
      <c r="D1" s="62" t="s">
        <v>721</v>
      </c>
      <c r="E1" s="62" t="s">
        <v>720</v>
      </c>
    </row>
    <row r="2" ht="22.5" customHeight="1">
      <c r="A2" s="63" t="str">
        <f>IFERROR(__xludf.DUMMYFUNCTION("FILTER(Table_PickableSprites[WORK],Table_PickableSprites[WORK]&lt;&gt;"""")"),"SPRITE_ITEM_CARDS_PICKABLE")</f>
        <v>SPRITE_ITEM_CARDS_PICKABLE</v>
      </c>
      <c r="B2" s="63" t="str">
        <f t="array" ref="B2:B21">IF(Table_Items[SpritePickable]&lt;&gt;"SPRITE_NONE",Table_Items[SpritePickable],"")</f>
        <v/>
      </c>
      <c r="D2" s="63" t="str">
        <f>IFERROR(__xludf.DUMMYFUNCTION("FILTER(Table_PickableNames[WORK],Table_PickableNames[WORK]&lt;&gt;"""")"),"NAME_ITEM_CARDS")</f>
        <v>NAME_ITEM_CARDS</v>
      </c>
      <c r="E2" s="63" t="str">
        <f t="array" ref="E2:E21">IF(Table_Items[SpritePickable]&lt;&gt;"SPRITE_NONE",Table_Items[Name],"")</f>
        <v/>
      </c>
    </row>
    <row r="3" ht="22.5" customHeight="1">
      <c r="A3" s="63" t="str">
        <f>IFERROR(__xludf.DUMMYFUNCTION("""COMPUTED_VALUE"""),"SPRITE_PICKABLE_SOAP")</f>
        <v>SPRITE_PICKABLE_SOAP</v>
      </c>
      <c r="B3" s="63" t="s">
        <v>20</v>
      </c>
      <c r="D3" s="63" t="str">
        <f>IFERROR(__xludf.DUMMYFUNCTION("""COMPUTED_VALUE"""),"NAME_ITEM_SOAP")</f>
        <v>NAME_ITEM_SOAP</v>
      </c>
      <c r="E3" s="63" t="s">
        <v>20</v>
      </c>
    </row>
    <row r="4" ht="22.5" customHeight="1">
      <c r="B4" s="63" t="s">
        <v>20</v>
      </c>
      <c r="E4" s="63" t="s">
        <v>20</v>
      </c>
    </row>
    <row r="5" ht="22.5" customHeight="1">
      <c r="B5" s="63" t="s">
        <v>232</v>
      </c>
      <c r="E5" s="63" t="s">
        <v>230</v>
      </c>
    </row>
    <row r="6" ht="22.5" customHeight="1">
      <c r="B6" s="63" t="s">
        <v>20</v>
      </c>
      <c r="E6" s="63" t="s">
        <v>20</v>
      </c>
    </row>
    <row r="7" ht="22.5" customHeight="1">
      <c r="B7" s="63" t="s">
        <v>20</v>
      </c>
      <c r="E7" s="63" t="s">
        <v>20</v>
      </c>
    </row>
    <row r="8" ht="22.5" customHeight="1">
      <c r="B8" s="63" t="s">
        <v>20</v>
      </c>
      <c r="E8" s="63" t="s">
        <v>20</v>
      </c>
    </row>
    <row r="9" ht="22.5" customHeight="1">
      <c r="B9" s="63" t="s">
        <v>20</v>
      </c>
      <c r="E9" s="63" t="s">
        <v>20</v>
      </c>
    </row>
    <row r="10" ht="22.5" customHeight="1">
      <c r="B10" s="63" t="s">
        <v>20</v>
      </c>
      <c r="E10" s="63" t="s">
        <v>20</v>
      </c>
    </row>
    <row r="11" ht="22.5" customHeight="1">
      <c r="B11" s="63" t="s">
        <v>20</v>
      </c>
      <c r="E11" s="63" t="s">
        <v>20</v>
      </c>
    </row>
    <row r="12" ht="22.5" customHeight="1">
      <c r="B12" s="63" t="s">
        <v>20</v>
      </c>
      <c r="E12" s="63" t="s">
        <v>20</v>
      </c>
    </row>
    <row r="13" ht="22.5" customHeight="1">
      <c r="B13" s="63" t="s">
        <v>20</v>
      </c>
      <c r="E13" s="63" t="s">
        <v>20</v>
      </c>
    </row>
    <row r="14" ht="22.5" customHeight="1">
      <c r="B14" s="63" t="s">
        <v>20</v>
      </c>
      <c r="E14" s="63" t="s">
        <v>20</v>
      </c>
    </row>
    <row r="15" ht="22.5" customHeight="1">
      <c r="B15" s="63" t="s">
        <v>20</v>
      </c>
      <c r="E15" s="63" t="s">
        <v>20</v>
      </c>
    </row>
    <row r="16" ht="22.5" customHeight="1">
      <c r="B16" s="63" t="s">
        <v>264</v>
      </c>
      <c r="E16" s="63" t="s">
        <v>263</v>
      </c>
    </row>
    <row r="17" ht="22.5" customHeight="1">
      <c r="B17" s="63" t="s">
        <v>20</v>
      </c>
      <c r="E17" s="63" t="s">
        <v>20</v>
      </c>
    </row>
    <row r="18" ht="22.5" customHeight="1">
      <c r="B18" s="63" t="s">
        <v>20</v>
      </c>
      <c r="E18" s="63" t="s">
        <v>20</v>
      </c>
    </row>
    <row r="19" ht="22.5" customHeight="1">
      <c r="B19" s="63" t="s">
        <v>20</v>
      </c>
      <c r="E19" s="63" t="s">
        <v>20</v>
      </c>
    </row>
    <row r="20" ht="22.5" customHeight="1">
      <c r="B20" s="63" t="s">
        <v>20</v>
      </c>
      <c r="E20" s="63" t="s">
        <v>20</v>
      </c>
    </row>
    <row r="21" ht="22.5" customHeight="1">
      <c r="B21" s="63" t="s">
        <v>20</v>
      </c>
      <c r="E21" s="63" t="s">
        <v>20</v>
      </c>
    </row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