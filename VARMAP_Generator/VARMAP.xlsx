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RevQRioADhUqV9bUm1e5eju+pgJalEnDZytwzxc5bt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Calculated
======</t>
      </text>
    </comment>
    <comment authorId="0" ref="E7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<sst xmlns="http://schemas.openxmlformats.org/spreadsheetml/2006/main" count="1028" uniqueCount="434">
  <si>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</si>
  <si>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</si>
  <si>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</si>
  <si>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</si>
  <si>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</si>
  <si>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</si>
  <si>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</si>
  <si>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</si>
  <si>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</si>
  <si>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</si>
  <si>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</si>
  <si>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</si>
  <si>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</si>
  <si>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</si>
  <si>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</si>
  <si>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</si>
  <si>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</si>
  <si>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</si>
  <si>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</si>
  <si>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</si>
  <si>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</si>
  <si>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</si>
  <si>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</si>
  <si>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</si>
  <si>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</si>
  <si>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</si>
  <si>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</si>
  <si>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</si>
  <si>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</si>
  <si>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</si>
  <si>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</si>
  <si>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</si>
  <si>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</si>
  <si>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</si>
  <si>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</si>
  <si>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</si>
  <si>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</si>
  <si>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</si>
  <si>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</si>
  <si>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</si>
  <si>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</si>
  <si>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</si>
  <si>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</si>
  <si>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</si>
  <si>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</si>
  <si>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</si>
  <si>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</si>
  <si>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</si>
  <si>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</si>
  <si>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</si>
  <si>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</si>
  <si>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</si>
  <si>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</si>
  <si>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</si>
  <si>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</si>
  <si>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</si>
  <si>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</si>
  <si>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</si>
  <si>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</si>
  <si>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</si>
  <si>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</si>
  <si>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</si>
  <si>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</si>
  <si>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</si>
  <si>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</si>
  <si>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</si>
  <si>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</si>
  <si>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</si>
  <si>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</si>
  <si>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</si>
  <si>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</si>
  <si>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</si>
  <si>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</si>
  <si>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</si>
  <si>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</si>
  <si>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</si>
  <si>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</si>
  <si>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</si>
  <si>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</si>
  <si>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</si>
  <si>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</si>
  <si>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</si>
  <si>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</si>
  <si>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</si>
  <si>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</si>
  <si>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</si>
  <si>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</si>
  <si>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</si>
  <si>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</si>
  <si>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</si>
  <si>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</si>
  <si>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</si>
  <si>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</si>
  <si>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</si>
  <si>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</si>
  <si>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</si>
  <si>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</si>
  <si>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</si>
  <si>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</si>
  <si>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</si>
  <si>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</si>
  <si>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</si>
  <si>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</si>
  <si>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WP_REGISTER</t>
  </si>
  <si>
    <t>WP_REGISTER_DELEGATE</t>
  </si>
  <si>
    <t>LevelMasterClass.WPRegisterService</t>
  </si>
  <si>
    <t>Registers a Waypoint in level</t>
  </si>
  <si>
    <t>DOOR_REGISTER</t>
  </si>
  <si>
    <t>DOOR_REGISTER_DELEGATE</t>
  </si>
  <si>
    <t>LevelMasterClass.DoorRegisterService</t>
  </si>
  <si>
    <t>Registers a door in level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</si>
  <si>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</si>
  <si>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</si>
  <si>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</si>
  <si>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</si>
  <si>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</si>
  <si>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</si>
  <si>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</si>
  <si>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</si>
  <si>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</si>
  <si>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</si>
  <si>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</si>
  <si>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</si>
  <si>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</si>
  <si>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</si>
  <si>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</si>
  <si>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</si>
  <si>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</si>
  <si>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</si>
  <si>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</si>
  <si>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</si>
  <si>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</si>
  <si>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</si>
  <si>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</si>
  <si>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</si>
  <si>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</si>
  <si>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</si>
  <si>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</si>
  <si>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</si>
  <si>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</si>
  <si>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</si>
  <si>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</si>
  <si>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</si>
  <si>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</si>
  <si>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</si>
  <si>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</si>
  <si>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</si>
  <si>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</si>
  <si>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</si>
  <si>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</si>
  <si>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</si>
  <si>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</si>
  <si>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</si>
  <si>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</si>
  <si>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</si>
  <si>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</si>
  <si>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</si>
  <si>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</si>
  <si>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</si>
  <si>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</si>
  <si>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</si>
  <si>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</si>
  <si>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</si>
  <si>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</si>
  <si>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</si>
  <si>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</si>
  <si>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</si>
  <si>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</si>
  <si>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</si>
  <si>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</si>
  <si>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</si>
  <si>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</si>
  <si>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</si>
  <si>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</si>
  <si>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</si>
  <si>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</si>
  <si>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</si>
  <si>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</si>
  <si>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</si>
  <si>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</si>
  <si>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</si>
  <si>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</si>
  <si>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</si>
  <si>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</si>
  <si>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</si>
  <si>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</si>
  <si>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</si>
  <si>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</si>
  <si>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</si>
  <si>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</si>
  <si>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</si>
  <si>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</si>
  <si>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</si>
  <si>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</si>
  <si>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</si>
  <si>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</si>
  <si>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</si>
  <si>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</si>
  <si>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</si>
  <si>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</si>
  <si>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</si>
  <si>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</si>
  <si>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</si>
  <si>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</si>
  <si>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</si>
  <si>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</si>
  <si>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</si>
  <si>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</si>
  <si>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</si>
  <si>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</si>
  <si>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</si>
  <si>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</si>
  <si>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</si>
  <si>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</si>
  <si>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</si>
  <si>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</si>
  <si>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</si>
  <si>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</si>
  <si>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</si>
  <si>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TargetEvents</t>
  </si>
  <si>
    <t>UNCHAIN_RED_POTION_TOOK</t>
  </si>
  <si>
    <t>UNCHAIN_TYPE_DESPAWN</t>
  </si>
  <si>
    <t>SPRITE_NONE</t>
  </si>
  <si>
    <t>UNCHAIN_FOUNTAIN_FULL</t>
  </si>
  <si>
    <t>UNCHAIN_TYPE_SET_SPRITE</t>
  </si>
  <si>
    <t>ITEM_FOUNTAIN</t>
  </si>
  <si>
    <t>SPRITE_FOUNTAIN_FULL</t>
  </si>
  <si>
    <t>ITEM_ID</t>
  </si>
  <si>
    <t>Name</t>
  </si>
  <si>
    <t>FamilyType</t>
  </si>
  <si>
    <t>Sprites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</si>
  <si>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</si>
  <si>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</si>
  <si>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</si>
  <si>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</si>
  <si>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</si>
  <si>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</si>
  <si>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</si>
  <si>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</si>
  <si>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</si>
  <si>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</si>
  <si>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</si>
  <si>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</si>
  <si>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</si>
  <si>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</si>
  <si>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</si>
  <si>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</si>
  <si>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</si>
  <si>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</si>
  <si>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</si>
  <si>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</si>
  <si>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</si>
  <si>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</si>
  <si>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</si>
  <si>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</si>
  <si>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</si>
  <si>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</si>
  <si>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</si>
  <si>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</si>
  <si>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</si>
  <si>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</si>
  <si>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</si>
  <si>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</si>
  <si>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</si>
  <si>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</si>
  <si>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</si>
  <si>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</si>
  <si>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</si>
  <si>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</si>
  <si>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</si>
  <si>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</si>
  <si>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</si>
  <si>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</si>
  <si>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</si>
  <si>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</si>
  <si>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</si>
  <si>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</si>
  <si>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</si>
  <si>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</si>
  <si>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SPRITE_FOUNTAIN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</si>
  <si>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</si>
  <si>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</si>
  <si>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</si>
  <si>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</si>
  <si>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</si>
  <si>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</si>
  <si>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</si>
  <si>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</si>
  <si>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</si>
  <si>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</si>
  <si>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</si>
  <si>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</si>
  <si>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</si>
  <si>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</si>
  <si>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</si>
  <si>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</si>
  <si>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</si>
  <si>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</si>
  <si>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</si>
  <si>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</si>
  <si>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</si>
  <si>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</si>
  <si>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</si>
  <si>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</si>
  <si>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</si>
  <si>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</si>
  <si>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</si>
  <si>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</si>
  <si>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</si>
  <si>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</si>
  <si>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</si>
  <si>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</si>
  <si>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</si>
  <si>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</si>
  <si>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</si>
  <si>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</si>
  <si>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</si>
  <si>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</si>
  <si>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</si>
  <si>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</si>
  <si>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</si>
  <si>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</si>
  <si>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</si>
  <si>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</si>
  <si>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</si>
  <si>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</si>
  <si>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</si>
  <si>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</si>
  <si>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</si>
  <si>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</si>
  <si>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</si>
  <si>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</si>
  <si>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</si>
  <si>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</si>
  <si>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</si>
  <si>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</si>
  <si>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</si>
  <si>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</si>
  <si>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</si>
  <si>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</si>
  <si>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</si>
  <si>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</si>
  <si>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</si>
  <si>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</si>
  <si>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</si>
  <si>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</si>
  <si>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</si>
  <si>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</si>
  <si>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</si>
  <si>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</si>
  <si>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</si>
  <si>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</si>
  <si>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</si>
  <si>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</si>
  <si>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</si>
  <si>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</si>
  <si>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</si>
  <si>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</si>
  <si>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</si>
  <si>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</si>
  <si>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</si>
  <si>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</si>
  <si>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</si>
  <si>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</si>
  <si>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</si>
  <si>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</si>
  <si>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</si>
  <si>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</si>
  <si>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</si>
  <si>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</si>
  <si>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</si>
  <si>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</si>
  <si>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</si>
  <si>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</si>
  <si>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</si>
  <si>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</si>
  <si>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</si>
  <si>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</si>
  <si>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</si>
  <si>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</si>
  <si>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</si>
  <si>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</si>
  <si>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</si>
  <si>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</si>
  <si>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</si>
  <si>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</si>
  <si>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</si>
  <si>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</si>
  <si>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</si>
  <si>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</si>
  <si>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</si>
  <si>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</si>
  <si>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</si>
  <si>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</si>
  <si>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DIALOG_ANIMATION_ID</t>
  </si>
  <si>
    <t>ITEM_FAMILY_TYPE_ID</t>
  </si>
  <si>
    <t>ITEM_FAMILY_TYPE_DOOR</t>
  </si>
  <si>
    <t>EVENT_ID</t>
  </si>
  <si>
    <t>EVENT_LAST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</si>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</sst>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2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6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28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H13" displayName="Table_Unchain_Conditions" name="Table_Unchain_Conditions" id="4">
  <tableColumns count="8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Events" id="8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H10" displayName="Table_Items" name="Table_Items" id="5">
  <tableColumns count="8">
    <tableColumn name="N" id="1"/>
    <tableColumn name="ITEM_ID" id="2"/>
    <tableColumn name="Name" id="3"/>
    <tableColumn name="FamilyType" id="4"/>
    <tableColumn name="Sprites" id="5"/>
    <tableColumn name="PICKABLE" id="6"/>
    <tableColumn name="SpritePickable" id="7"/>
    <tableColumn name="ActionConditions" id="8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3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27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29:B31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3:B38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5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7:B30" displayName="Table_EventsCombi" name="Table_EventsCombi" id="19">
  <tableColumns count="2">
    <tableColumn name="N" id="1"/>
    <tableColumn name="EVENT_COMBI_ID" id="2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:D26" displayName="Table_TODO" name="Table_TODO" id="2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1.xml><?xml version="1.0" encoding="utf-8"?>
<table xmlns="http://schemas.openxmlformats.org/spreadsheetml/2006/main" ref="A1:B128" displayName="Table_PickableSprites" name="Table_PickableSprites" id="21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2.xml><?xml version="1.0" encoding="utf-8"?>
<table xmlns="http://schemas.openxmlformats.org/spreadsheetml/2006/main" ref="D1:E128" displayName="Table_PickableNames" name="Table_PickableNames" id="22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18.xml"/><Relationship Id="rId5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1.xml"/><Relationship Id="rId5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6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3">
        <v>2.0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35</v>
      </c>
      <c r="D6" s="5">
        <v>2.0</v>
      </c>
      <c r="E6" s="6">
        <f>COUNTIF(Table_Items[PICKABLE],"=TRUE")</f>
        <v>2</v>
      </c>
      <c r="F6" s="2" t="s">
        <v>36</v>
      </c>
      <c r="G6" s="5" t="s">
        <v>19</v>
      </c>
      <c r="H6" s="3"/>
      <c r="I6" s="5" t="s">
        <v>21</v>
      </c>
      <c r="J6" s="5" t="s">
        <v>21</v>
      </c>
      <c r="K6" s="5" t="s">
        <v>22</v>
      </c>
      <c r="L6" s="5" t="s">
        <v>21</v>
      </c>
      <c r="M6" s="5" t="s">
        <v>30</v>
      </c>
      <c r="N6" s="5" t="s">
        <v>21</v>
      </c>
      <c r="O6" s="5" t="s">
        <v>23</v>
      </c>
      <c r="P6" s="5" t="s">
        <v>21</v>
      </c>
    </row>
    <row r="7">
      <c r="A7" s="2">
        <f t="shared" si="1"/>
        <v>5</v>
      </c>
      <c r="B7" s="2" t="s">
        <v>37</v>
      </c>
      <c r="C7" s="2" t="s">
        <v>38</v>
      </c>
      <c r="D7" s="5">
        <v>2.0</v>
      </c>
      <c r="E7" s="6">
        <f>COUNT(Table_Characters[N])-1</f>
        <v>3</v>
      </c>
      <c r="F7" s="2">
        <v>-1.0</v>
      </c>
      <c r="G7" s="5" t="s">
        <v>19</v>
      </c>
      <c r="H7" s="3"/>
      <c r="I7" s="5" t="s">
        <v>21</v>
      </c>
      <c r="J7" s="5" t="s">
        <v>21</v>
      </c>
      <c r="K7" s="5" t="s">
        <v>23</v>
      </c>
      <c r="L7" s="5" t="s">
        <v>21</v>
      </c>
      <c r="M7" s="5" t="s">
        <v>21</v>
      </c>
      <c r="N7" s="5" t="s">
        <v>22</v>
      </c>
      <c r="O7" s="5" t="s">
        <v>21</v>
      </c>
      <c r="P7" s="5" t="s">
        <v>21</v>
      </c>
    </row>
    <row r="8">
      <c r="A8" s="2">
        <f t="shared" si="1"/>
        <v>6</v>
      </c>
      <c r="B8" s="2" t="s">
        <v>39</v>
      </c>
      <c r="C8" s="2" t="s">
        <v>40</v>
      </c>
      <c r="D8" s="5">
        <v>0.0</v>
      </c>
      <c r="E8" s="2">
        <v>0.0</v>
      </c>
      <c r="F8" s="2" t="s">
        <v>41</v>
      </c>
      <c r="G8" s="5" t="s">
        <v>19</v>
      </c>
      <c r="H8" s="3"/>
      <c r="I8" s="5" t="s">
        <v>21</v>
      </c>
      <c r="J8" s="5" t="s">
        <v>23</v>
      </c>
      <c r="K8" s="5" t="s">
        <v>21</v>
      </c>
      <c r="L8" s="5" t="s">
        <v>21</v>
      </c>
      <c r="M8" s="5" t="s">
        <v>21</v>
      </c>
      <c r="N8" s="5" t="s">
        <v>21</v>
      </c>
      <c r="O8" s="5" t="s">
        <v>21</v>
      </c>
      <c r="P8" s="5" t="s">
        <v>21</v>
      </c>
    </row>
    <row r="9">
      <c r="A9" s="2">
        <f t="shared" si="1"/>
        <v>7</v>
      </c>
      <c r="B9" s="3" t="s">
        <v>42</v>
      </c>
      <c r="C9" s="3" t="s">
        <v>43</v>
      </c>
      <c r="D9" s="4">
        <v>0.0</v>
      </c>
      <c r="E9" s="3">
        <v>0.0</v>
      </c>
      <c r="F9" s="3" t="s">
        <v>44</v>
      </c>
      <c r="G9" s="4" t="s">
        <v>0</v>
      </c>
      <c r="H9" s="3" t="s">
        <v>20</v>
      </c>
      <c r="I9" s="4" t="s">
        <v>23</v>
      </c>
      <c r="J9" s="5" t="s">
        <v>21</v>
      </c>
      <c r="K9" s="4" t="s">
        <v>30</v>
      </c>
      <c r="L9" s="4" t="s">
        <v>30</v>
      </c>
      <c r="M9" s="4" t="s">
        <v>30</v>
      </c>
      <c r="N9" s="4" t="s">
        <v>30</v>
      </c>
      <c r="O9" s="5" t="s">
        <v>30</v>
      </c>
      <c r="P9" s="5" t="s">
        <v>21</v>
      </c>
    </row>
    <row r="10">
      <c r="A10" s="2">
        <f t="shared" si="1"/>
        <v>8</v>
      </c>
      <c r="B10" s="3" t="s">
        <v>45</v>
      </c>
      <c r="C10" s="3" t="s">
        <v>46</v>
      </c>
      <c r="D10" s="4">
        <v>0.0</v>
      </c>
      <c r="E10" s="3">
        <v>0.0</v>
      </c>
      <c r="F10" s="3" t="s">
        <v>47</v>
      </c>
      <c r="G10" s="4" t="s">
        <v>0</v>
      </c>
      <c r="H10" s="3" t="s">
        <v>20</v>
      </c>
      <c r="I10" s="4" t="s">
        <v>22</v>
      </c>
      <c r="J10" s="5" t="s">
        <v>23</v>
      </c>
      <c r="K10" s="5" t="s">
        <v>22</v>
      </c>
      <c r="L10" s="5" t="s">
        <v>22</v>
      </c>
      <c r="M10" s="4" t="s">
        <v>22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48</v>
      </c>
      <c r="C11" s="3" t="s">
        <v>49</v>
      </c>
      <c r="D11" s="4">
        <v>0.0</v>
      </c>
      <c r="E11" s="3">
        <v>0.0</v>
      </c>
      <c r="F11" s="3" t="s">
        <v>50</v>
      </c>
      <c r="G11" s="4" t="s">
        <v>0</v>
      </c>
      <c r="H11" s="3" t="s">
        <v>20</v>
      </c>
      <c r="I11" s="5" t="s">
        <v>21</v>
      </c>
      <c r="J11" s="4" t="s">
        <v>23</v>
      </c>
      <c r="K11" s="5" t="s">
        <v>22</v>
      </c>
      <c r="L11" s="4" t="s">
        <v>22</v>
      </c>
      <c r="M11" s="4" t="s">
        <v>22</v>
      </c>
      <c r="N11" s="5" t="s">
        <v>21</v>
      </c>
      <c r="O11" s="5" t="s">
        <v>21</v>
      </c>
      <c r="P11" s="5" t="s">
        <v>21</v>
      </c>
    </row>
    <row r="12">
      <c r="A12" s="2">
        <f t="shared" si="1"/>
        <v>10</v>
      </c>
      <c r="B12" s="2" t="s">
        <v>51</v>
      </c>
      <c r="C12" s="2" t="s">
        <v>35</v>
      </c>
      <c r="D12" s="5">
        <v>0.0</v>
      </c>
      <c r="E12" s="2">
        <v>0.0</v>
      </c>
      <c r="F12" s="2" t="s">
        <v>36</v>
      </c>
      <c r="G12" s="5" t="s">
        <v>0</v>
      </c>
      <c r="H12" s="7"/>
      <c r="I12" s="5" t="s">
        <v>21</v>
      </c>
      <c r="J12" s="5" t="s">
        <v>21</v>
      </c>
      <c r="K12" s="5" t="s">
        <v>23</v>
      </c>
      <c r="L12" s="5" t="s">
        <v>21</v>
      </c>
      <c r="M12" s="5" t="s">
        <v>22</v>
      </c>
      <c r="N12" s="5" t="s">
        <v>30</v>
      </c>
      <c r="O12" s="5" t="s">
        <v>22</v>
      </c>
      <c r="P12" s="5" t="s">
        <v>21</v>
      </c>
    </row>
    <row r="13" ht="15.75" customHeight="1">
      <c r="A13" s="2">
        <f t="shared" si="1"/>
        <v>11</v>
      </c>
      <c r="B13" s="2" t="s">
        <v>52</v>
      </c>
      <c r="C13" s="2" t="s">
        <v>53</v>
      </c>
      <c r="D13" s="5">
        <v>1.0</v>
      </c>
      <c r="E13" s="2">
        <v>0.0</v>
      </c>
      <c r="F13" s="2" t="s">
        <v>54</v>
      </c>
      <c r="G13" s="5" t="s">
        <v>0</v>
      </c>
      <c r="H13" s="7"/>
      <c r="I13" s="5" t="s">
        <v>21</v>
      </c>
      <c r="J13" s="5" t="s">
        <v>21</v>
      </c>
      <c r="K13" s="5" t="s">
        <v>22</v>
      </c>
      <c r="L13" s="5" t="s">
        <v>30</v>
      </c>
      <c r="M13" s="5" t="s">
        <v>23</v>
      </c>
      <c r="N13" s="5" t="s">
        <v>21</v>
      </c>
      <c r="O13" s="5" t="s">
        <v>22</v>
      </c>
      <c r="P13" s="5" t="s">
        <v>21</v>
      </c>
    </row>
    <row r="14" ht="15.75" customHeight="1">
      <c r="A14" s="2">
        <f t="shared" si="1"/>
        <v>12</v>
      </c>
      <c r="B14" s="2" t="s">
        <v>55</v>
      </c>
      <c r="C14" s="2" t="s">
        <v>53</v>
      </c>
      <c r="D14" s="5">
        <v>0.0</v>
      </c>
      <c r="E14" s="2">
        <v>0.0</v>
      </c>
      <c r="F14" s="2" t="s">
        <v>54</v>
      </c>
      <c r="G14" s="5" t="s">
        <v>0</v>
      </c>
      <c r="H14" s="7"/>
      <c r="I14" s="5" t="s">
        <v>21</v>
      </c>
      <c r="J14" s="5" t="s">
        <v>21</v>
      </c>
      <c r="K14" s="5" t="s">
        <v>23</v>
      </c>
      <c r="L14" s="5" t="s">
        <v>30</v>
      </c>
      <c r="M14" s="5" t="s">
        <v>21</v>
      </c>
      <c r="N14" s="5" t="s">
        <v>21</v>
      </c>
      <c r="O14" s="5" t="s">
        <v>21</v>
      </c>
      <c r="P14" s="5" t="s">
        <v>21</v>
      </c>
    </row>
    <row r="15" ht="15.75" customHeight="1">
      <c r="A15" s="2">
        <f t="shared" si="1"/>
        <v>13</v>
      </c>
      <c r="B15" s="2" t="s">
        <v>56</v>
      </c>
      <c r="C15" s="2" t="s">
        <v>57</v>
      </c>
      <c r="D15" s="5">
        <v>0.0</v>
      </c>
      <c r="E15" s="2">
        <v>0.0</v>
      </c>
      <c r="F15" s="2" t="s">
        <v>58</v>
      </c>
      <c r="G15" s="5" t="s">
        <v>0</v>
      </c>
      <c r="H15" s="7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21</v>
      </c>
      <c r="P15" s="5" t="s">
        <v>21</v>
      </c>
    </row>
    <row r="16" ht="15.75" customHeight="1">
      <c r="A16" s="2">
        <f t="shared" si="1"/>
        <v>14</v>
      </c>
      <c r="B16" s="2" t="s">
        <v>59</v>
      </c>
      <c r="C16" s="2" t="s">
        <v>60</v>
      </c>
      <c r="D16" s="5">
        <v>0.0</v>
      </c>
      <c r="E16" s="2">
        <v>0.0</v>
      </c>
      <c r="F16" s="8" t="s">
        <v>61</v>
      </c>
      <c r="G16" s="5" t="s">
        <v>0</v>
      </c>
      <c r="H16" s="7"/>
      <c r="I16" s="5" t="s">
        <v>23</v>
      </c>
      <c r="J16" s="5" t="s">
        <v>21</v>
      </c>
      <c r="K16" s="5" t="s">
        <v>21</v>
      </c>
      <c r="L16" s="5" t="s">
        <v>21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>
      <c r="I23" s="9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dataValidations>
    <dataValidation type="list" allowBlank="1" showErrorMessage="1" sqref="G2:G16">
      <formula1>"N,Y"</formula1>
    </dataValidation>
    <dataValidation type="list" allowBlank="1" showErrorMessage="1" sqref="D2:D16">
      <formula1>"0,1,2"</formula1>
    </dataValidation>
    <dataValidation type="list" allowBlank="1" showErrorMessage="1" sqref="I2:P16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0" t="s">
        <v>0</v>
      </c>
      <c r="B1" s="1" t="s">
        <v>62</v>
      </c>
      <c r="C1" s="1" t="s">
        <v>63</v>
      </c>
      <c r="D1" s="1" t="s">
        <v>64</v>
      </c>
      <c r="E1" s="10" t="s">
        <v>65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1">
        <f t="shared" ref="A2:A28" si="1">ROW()-ROW($A$2)</f>
        <v>0</v>
      </c>
      <c r="B2" s="3" t="s">
        <v>66</v>
      </c>
      <c r="C2" s="3" t="s">
        <v>67</v>
      </c>
      <c r="D2" s="3" t="s">
        <v>68</v>
      </c>
      <c r="E2" s="2" t="s">
        <v>69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70</v>
      </c>
      <c r="L2" s="5" t="s">
        <v>21</v>
      </c>
      <c r="M2" s="5" t="s">
        <v>21</v>
      </c>
      <c r="N2" s="5" t="s">
        <v>21</v>
      </c>
    </row>
    <row r="3">
      <c r="A3" s="11">
        <f t="shared" si="1"/>
        <v>1</v>
      </c>
      <c r="B3" s="2" t="s">
        <v>71</v>
      </c>
      <c r="C3" s="2" t="s">
        <v>72</v>
      </c>
      <c r="D3" s="2" t="s">
        <v>73</v>
      </c>
      <c r="E3" s="2" t="s">
        <v>74</v>
      </c>
      <c r="F3" s="3"/>
      <c r="G3" s="5" t="s">
        <v>23</v>
      </c>
      <c r="H3" s="5" t="s">
        <v>21</v>
      </c>
      <c r="I3" s="5" t="s">
        <v>70</v>
      </c>
      <c r="J3" s="5" t="s">
        <v>21</v>
      </c>
      <c r="K3" s="5" t="s">
        <v>70</v>
      </c>
      <c r="L3" s="5" t="s">
        <v>21</v>
      </c>
      <c r="M3" s="5" t="s">
        <v>21</v>
      </c>
      <c r="N3" s="5" t="s">
        <v>21</v>
      </c>
    </row>
    <row r="4">
      <c r="A4" s="11">
        <f t="shared" si="1"/>
        <v>2</v>
      </c>
      <c r="B4" s="2" t="s">
        <v>75</v>
      </c>
      <c r="C4" s="2" t="s">
        <v>76</v>
      </c>
      <c r="D4" s="2" t="s">
        <v>77</v>
      </c>
      <c r="E4" s="2" t="s">
        <v>78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70</v>
      </c>
      <c r="L4" s="5" t="s">
        <v>21</v>
      </c>
      <c r="M4" s="5" t="s">
        <v>21</v>
      </c>
      <c r="N4" s="5" t="s">
        <v>21</v>
      </c>
    </row>
    <row r="5">
      <c r="A5" s="11">
        <f t="shared" si="1"/>
        <v>3</v>
      </c>
      <c r="B5" s="3" t="s">
        <v>79</v>
      </c>
      <c r="C5" s="3" t="s">
        <v>80</v>
      </c>
      <c r="D5" s="3" t="s">
        <v>81</v>
      </c>
      <c r="E5" s="2" t="s">
        <v>82</v>
      </c>
      <c r="F5" s="3" t="s">
        <v>20</v>
      </c>
      <c r="G5" s="4" t="s">
        <v>23</v>
      </c>
      <c r="H5" s="5" t="s">
        <v>21</v>
      </c>
      <c r="I5" s="4" t="s">
        <v>70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1">
        <f t="shared" si="1"/>
        <v>4</v>
      </c>
      <c r="B6" s="3" t="s">
        <v>83</v>
      </c>
      <c r="C6" s="3" t="s">
        <v>84</v>
      </c>
      <c r="D6" s="3" t="s">
        <v>85</v>
      </c>
      <c r="E6" s="2" t="s">
        <v>86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70</v>
      </c>
      <c r="L6" s="5" t="s">
        <v>21</v>
      </c>
      <c r="M6" s="5" t="s">
        <v>21</v>
      </c>
      <c r="N6" s="5" t="s">
        <v>21</v>
      </c>
    </row>
    <row r="7">
      <c r="A7" s="11">
        <f t="shared" si="1"/>
        <v>5</v>
      </c>
      <c r="B7" s="2" t="s">
        <v>87</v>
      </c>
      <c r="C7" s="3" t="s">
        <v>88</v>
      </c>
      <c r="D7" s="3" t="s">
        <v>89</v>
      </c>
      <c r="E7" s="2" t="s">
        <v>90</v>
      </c>
      <c r="F7" s="3" t="s">
        <v>20</v>
      </c>
      <c r="G7" s="4" t="s">
        <v>23</v>
      </c>
      <c r="H7" s="5" t="s">
        <v>70</v>
      </c>
      <c r="I7" s="4" t="s">
        <v>70</v>
      </c>
      <c r="J7" s="5" t="s">
        <v>70</v>
      </c>
      <c r="K7" s="5" t="s">
        <v>70</v>
      </c>
      <c r="L7" s="5" t="s">
        <v>70</v>
      </c>
      <c r="M7" s="5" t="s">
        <v>70</v>
      </c>
      <c r="N7" s="5" t="s">
        <v>70</v>
      </c>
    </row>
    <row r="8">
      <c r="A8" s="11">
        <f t="shared" si="1"/>
        <v>6</v>
      </c>
      <c r="B8" s="2" t="s">
        <v>91</v>
      </c>
      <c r="C8" s="2" t="s">
        <v>92</v>
      </c>
      <c r="D8" s="2" t="s">
        <v>93</v>
      </c>
      <c r="E8" s="2" t="s">
        <v>94</v>
      </c>
      <c r="F8" s="3"/>
      <c r="G8" s="5" t="s">
        <v>23</v>
      </c>
      <c r="H8" s="5" t="s">
        <v>70</v>
      </c>
      <c r="I8" s="5" t="s">
        <v>70</v>
      </c>
      <c r="J8" s="5" t="s">
        <v>70</v>
      </c>
      <c r="K8" s="5" t="s">
        <v>70</v>
      </c>
      <c r="L8" s="5" t="s">
        <v>70</v>
      </c>
      <c r="M8" s="5" t="s">
        <v>70</v>
      </c>
      <c r="N8" s="5" t="s">
        <v>70</v>
      </c>
    </row>
    <row r="9">
      <c r="A9" s="11">
        <f t="shared" si="1"/>
        <v>7</v>
      </c>
      <c r="B9" s="2" t="s">
        <v>95</v>
      </c>
      <c r="C9" s="2" t="s">
        <v>96</v>
      </c>
      <c r="D9" s="2" t="s">
        <v>97</v>
      </c>
      <c r="E9" s="2" t="s">
        <v>98</v>
      </c>
      <c r="F9" s="7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70</v>
      </c>
      <c r="M9" s="5" t="s">
        <v>70</v>
      </c>
      <c r="N9" s="5" t="s">
        <v>21</v>
      </c>
    </row>
    <row r="10">
      <c r="A10" s="11">
        <f t="shared" si="1"/>
        <v>8</v>
      </c>
      <c r="B10" s="3" t="s">
        <v>99</v>
      </c>
      <c r="C10" s="2" t="s">
        <v>100</v>
      </c>
      <c r="D10" s="3" t="s">
        <v>101</v>
      </c>
      <c r="E10" s="2" t="s">
        <v>102</v>
      </c>
      <c r="F10" s="7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70</v>
      </c>
      <c r="M10" s="5" t="s">
        <v>21</v>
      </c>
      <c r="N10" s="5" t="s">
        <v>21</v>
      </c>
    </row>
    <row r="11">
      <c r="A11" s="11">
        <f t="shared" si="1"/>
        <v>9</v>
      </c>
      <c r="B11" s="2" t="s">
        <v>103</v>
      </c>
      <c r="C11" s="2" t="s">
        <v>104</v>
      </c>
      <c r="D11" s="2" t="s">
        <v>105</v>
      </c>
      <c r="E11" s="2" t="s">
        <v>106</v>
      </c>
      <c r="F11" s="7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1">
        <f t="shared" si="1"/>
        <v>10</v>
      </c>
      <c r="B12" s="2" t="s">
        <v>107</v>
      </c>
      <c r="C12" s="2" t="s">
        <v>108</v>
      </c>
      <c r="D12" s="2" t="s">
        <v>109</v>
      </c>
      <c r="E12" s="2" t="s">
        <v>110</v>
      </c>
      <c r="F12" s="7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21</v>
      </c>
      <c r="N12" s="5" t="s">
        <v>21</v>
      </c>
    </row>
    <row r="13">
      <c r="A13" s="11">
        <f t="shared" si="1"/>
        <v>11</v>
      </c>
      <c r="B13" s="2" t="s">
        <v>111</v>
      </c>
      <c r="C13" s="2" t="s">
        <v>112</v>
      </c>
      <c r="D13" s="2" t="s">
        <v>113</v>
      </c>
      <c r="E13" s="2" t="s">
        <v>114</v>
      </c>
      <c r="F13" s="7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70</v>
      </c>
      <c r="M13" s="5" t="s">
        <v>21</v>
      </c>
      <c r="N13" s="5" t="s">
        <v>21</v>
      </c>
    </row>
    <row r="14">
      <c r="A14" s="11">
        <f t="shared" si="1"/>
        <v>12</v>
      </c>
      <c r="B14" s="2" t="s">
        <v>115</v>
      </c>
      <c r="C14" s="2" t="s">
        <v>116</v>
      </c>
      <c r="D14" s="2" t="s">
        <v>117</v>
      </c>
      <c r="E14" s="2" t="s">
        <v>118</v>
      </c>
      <c r="F14" s="7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70</v>
      </c>
      <c r="L14" s="5" t="s">
        <v>21</v>
      </c>
      <c r="M14" s="5" t="s">
        <v>70</v>
      </c>
      <c r="N14" s="5" t="s">
        <v>21</v>
      </c>
    </row>
    <row r="15">
      <c r="A15" s="11">
        <f t="shared" si="1"/>
        <v>13</v>
      </c>
      <c r="B15" s="2" t="s">
        <v>119</v>
      </c>
      <c r="C15" s="2" t="s">
        <v>120</v>
      </c>
      <c r="D15" s="2" t="s">
        <v>121</v>
      </c>
      <c r="E15" s="2" t="s">
        <v>122</v>
      </c>
      <c r="F15" s="7"/>
      <c r="G15" s="5" t="s">
        <v>21</v>
      </c>
      <c r="H15" s="5" t="s">
        <v>21</v>
      </c>
      <c r="I15" s="5" t="s">
        <v>23</v>
      </c>
      <c r="J15" s="5" t="s">
        <v>70</v>
      </c>
      <c r="K15" s="5" t="s">
        <v>21</v>
      </c>
      <c r="L15" s="5" t="s">
        <v>70</v>
      </c>
      <c r="M15" s="5" t="s">
        <v>21</v>
      </c>
      <c r="N15" s="5" t="s">
        <v>21</v>
      </c>
    </row>
    <row r="16">
      <c r="A16" s="11">
        <f t="shared" si="1"/>
        <v>14</v>
      </c>
      <c r="B16" s="2" t="s">
        <v>123</v>
      </c>
      <c r="C16" s="2" t="s">
        <v>124</v>
      </c>
      <c r="D16" s="2" t="s">
        <v>125</v>
      </c>
      <c r="E16" s="2" t="s">
        <v>126</v>
      </c>
      <c r="F16" s="7"/>
      <c r="G16" s="5" t="s">
        <v>21</v>
      </c>
      <c r="H16" s="5" t="s">
        <v>21</v>
      </c>
      <c r="I16" s="5" t="s">
        <v>23</v>
      </c>
      <c r="J16" s="5" t="s">
        <v>21</v>
      </c>
      <c r="K16" s="5" t="s">
        <v>21</v>
      </c>
      <c r="L16" s="5" t="s">
        <v>70</v>
      </c>
      <c r="M16" s="5" t="s">
        <v>70</v>
      </c>
      <c r="N16" s="5" t="s">
        <v>21</v>
      </c>
    </row>
    <row r="17">
      <c r="A17" s="11">
        <f t="shared" si="1"/>
        <v>15</v>
      </c>
      <c r="B17" s="12" t="s">
        <v>127</v>
      </c>
      <c r="C17" s="12" t="s">
        <v>128</v>
      </c>
      <c r="D17" s="12" t="s">
        <v>129</v>
      </c>
      <c r="E17" s="12" t="s">
        <v>130</v>
      </c>
      <c r="F17" s="13"/>
      <c r="G17" s="14" t="s">
        <v>21</v>
      </c>
      <c r="H17" s="14" t="s">
        <v>21</v>
      </c>
      <c r="I17" s="14" t="s">
        <v>70</v>
      </c>
      <c r="J17" s="14" t="s">
        <v>21</v>
      </c>
      <c r="K17" s="14" t="s">
        <v>70</v>
      </c>
      <c r="L17" s="14" t="s">
        <v>70</v>
      </c>
      <c r="M17" s="14" t="s">
        <v>70</v>
      </c>
      <c r="N17" s="14" t="s">
        <v>23</v>
      </c>
      <c r="O17" s="15"/>
      <c r="P17" s="15"/>
      <c r="Q17" s="15"/>
      <c r="R17" s="15"/>
      <c r="S17" s="15"/>
      <c r="T17" s="15"/>
      <c r="U17" s="15"/>
      <c r="V17" s="15"/>
      <c r="W17" s="15"/>
      <c r="X17" s="15"/>
    </row>
    <row r="18">
      <c r="A18" s="11">
        <f t="shared" si="1"/>
        <v>16</v>
      </c>
      <c r="B18" s="2" t="s">
        <v>131</v>
      </c>
      <c r="C18" s="2" t="s">
        <v>132</v>
      </c>
      <c r="D18" s="2" t="s">
        <v>133</v>
      </c>
      <c r="E18" s="2" t="s">
        <v>134</v>
      </c>
      <c r="F18" s="7"/>
      <c r="G18" s="5" t="s">
        <v>21</v>
      </c>
      <c r="H18" s="5" t="s">
        <v>21</v>
      </c>
      <c r="I18" s="5" t="s">
        <v>70</v>
      </c>
      <c r="J18" s="5" t="s">
        <v>21</v>
      </c>
      <c r="K18" s="5" t="s">
        <v>70</v>
      </c>
      <c r="L18" s="5" t="s">
        <v>70</v>
      </c>
      <c r="M18" s="5" t="s">
        <v>70</v>
      </c>
      <c r="N18" s="5" t="s">
        <v>23</v>
      </c>
    </row>
    <row r="19">
      <c r="A19" s="11">
        <f t="shared" si="1"/>
        <v>17</v>
      </c>
      <c r="B19" s="12" t="s">
        <v>135</v>
      </c>
      <c r="C19" s="12" t="s">
        <v>136</v>
      </c>
      <c r="D19" s="12" t="s">
        <v>137</v>
      </c>
      <c r="E19" s="12" t="s">
        <v>138</v>
      </c>
      <c r="F19" s="13"/>
      <c r="G19" s="14" t="s">
        <v>21</v>
      </c>
      <c r="H19" s="14" t="s">
        <v>21</v>
      </c>
      <c r="I19" s="14" t="s">
        <v>70</v>
      </c>
      <c r="J19" s="14" t="s">
        <v>21</v>
      </c>
      <c r="K19" s="14" t="s">
        <v>21</v>
      </c>
      <c r="L19" s="14" t="s">
        <v>23</v>
      </c>
      <c r="M19" s="14" t="s">
        <v>21</v>
      </c>
      <c r="N19" s="14" t="s">
        <v>21</v>
      </c>
      <c r="O19" s="15"/>
      <c r="P19" s="15"/>
      <c r="Q19" s="15"/>
      <c r="R19" s="15"/>
      <c r="S19" s="15"/>
      <c r="T19" s="15"/>
      <c r="U19" s="15"/>
      <c r="V19" s="15"/>
      <c r="W19" s="15"/>
      <c r="X19" s="15"/>
    </row>
    <row r="20">
      <c r="A20" s="11">
        <f t="shared" si="1"/>
        <v>18</v>
      </c>
      <c r="B20" s="12" t="s">
        <v>139</v>
      </c>
      <c r="C20" s="12" t="s">
        <v>140</v>
      </c>
      <c r="D20" s="12" t="s">
        <v>141</v>
      </c>
      <c r="E20" s="12" t="s">
        <v>142</v>
      </c>
      <c r="F20" s="13"/>
      <c r="G20" s="14" t="s">
        <v>21</v>
      </c>
      <c r="H20" s="14" t="s">
        <v>21</v>
      </c>
      <c r="I20" s="14" t="s">
        <v>21</v>
      </c>
      <c r="J20" s="14" t="s">
        <v>21</v>
      </c>
      <c r="K20" s="14" t="s">
        <v>21</v>
      </c>
      <c r="L20" s="14" t="s">
        <v>21</v>
      </c>
      <c r="M20" s="14" t="s">
        <v>23</v>
      </c>
      <c r="N20" s="14" t="s">
        <v>70</v>
      </c>
      <c r="O20" s="15"/>
      <c r="P20" s="15"/>
      <c r="Q20" s="15"/>
      <c r="R20" s="15"/>
      <c r="S20" s="15"/>
      <c r="T20" s="15"/>
      <c r="U20" s="15"/>
      <c r="V20" s="15"/>
      <c r="W20" s="15"/>
      <c r="X20" s="15"/>
    </row>
    <row r="21">
      <c r="A21" s="11">
        <f t="shared" si="1"/>
        <v>19</v>
      </c>
      <c r="B21" s="12" t="s">
        <v>143</v>
      </c>
      <c r="C21" s="12" t="s">
        <v>144</v>
      </c>
      <c r="D21" s="12" t="s">
        <v>145</v>
      </c>
      <c r="E21" s="12" t="s">
        <v>146</v>
      </c>
      <c r="F21" s="13"/>
      <c r="G21" s="14" t="s">
        <v>21</v>
      </c>
      <c r="H21" s="14" t="s">
        <v>21</v>
      </c>
      <c r="I21" s="14" t="s">
        <v>23</v>
      </c>
      <c r="J21" s="14" t="s">
        <v>21</v>
      </c>
      <c r="K21" s="14" t="s">
        <v>21</v>
      </c>
      <c r="L21" s="14" t="s">
        <v>70</v>
      </c>
      <c r="M21" s="14" t="s">
        <v>21</v>
      </c>
      <c r="N21" s="14" t="s">
        <v>21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1">
        <f t="shared" si="1"/>
        <v>20</v>
      </c>
      <c r="B22" s="16" t="s">
        <v>147</v>
      </c>
      <c r="C22" s="16" t="s">
        <v>148</v>
      </c>
      <c r="D22" s="16" t="s">
        <v>149</v>
      </c>
      <c r="E22" s="12" t="s">
        <v>150</v>
      </c>
      <c r="F22" s="13"/>
      <c r="G22" s="17" t="s">
        <v>21</v>
      </c>
      <c r="H22" s="17" t="s">
        <v>21</v>
      </c>
      <c r="I22" s="14" t="s">
        <v>70</v>
      </c>
      <c r="J22" s="17" t="s">
        <v>21</v>
      </c>
      <c r="K22" s="17" t="s">
        <v>21</v>
      </c>
      <c r="L22" s="14" t="s">
        <v>21</v>
      </c>
      <c r="M22" s="17" t="s">
        <v>23</v>
      </c>
      <c r="N22" s="17" t="s">
        <v>21</v>
      </c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>
      <c r="A23" s="11">
        <f t="shared" si="1"/>
        <v>21</v>
      </c>
      <c r="B23" s="2" t="s">
        <v>151</v>
      </c>
      <c r="C23" s="2" t="s">
        <v>152</v>
      </c>
      <c r="D23" s="2" t="s">
        <v>153</v>
      </c>
      <c r="E23" s="2" t="s">
        <v>154</v>
      </c>
      <c r="F23" s="7"/>
      <c r="G23" s="5" t="s">
        <v>21</v>
      </c>
      <c r="H23" s="5" t="s">
        <v>21</v>
      </c>
      <c r="I23" s="5" t="s">
        <v>70</v>
      </c>
      <c r="J23" s="5" t="s">
        <v>21</v>
      </c>
      <c r="K23" s="5" t="s">
        <v>23</v>
      </c>
      <c r="L23" s="5" t="s">
        <v>21</v>
      </c>
      <c r="M23" s="5" t="s">
        <v>70</v>
      </c>
      <c r="N23" s="5" t="s">
        <v>21</v>
      </c>
    </row>
    <row r="24">
      <c r="A24" s="11">
        <f t="shared" si="1"/>
        <v>22</v>
      </c>
      <c r="B24" s="2" t="s">
        <v>155</v>
      </c>
      <c r="C24" s="2" t="s">
        <v>156</v>
      </c>
      <c r="D24" s="2" t="s">
        <v>157</v>
      </c>
      <c r="E24" s="2" t="s">
        <v>158</v>
      </c>
      <c r="F24" s="2"/>
      <c r="G24" s="5" t="s">
        <v>21</v>
      </c>
      <c r="H24" s="5" t="s">
        <v>23</v>
      </c>
      <c r="I24" s="5" t="s">
        <v>21</v>
      </c>
      <c r="J24" s="5" t="s">
        <v>21</v>
      </c>
      <c r="K24" s="5" t="s">
        <v>70</v>
      </c>
      <c r="L24" s="5" t="s">
        <v>21</v>
      </c>
      <c r="M24" s="5" t="s">
        <v>21</v>
      </c>
      <c r="N24" s="5" t="s">
        <v>21</v>
      </c>
    </row>
    <row r="25">
      <c r="A25" s="11">
        <f t="shared" si="1"/>
        <v>23</v>
      </c>
      <c r="B25" s="2" t="s">
        <v>159</v>
      </c>
      <c r="C25" s="2" t="s">
        <v>160</v>
      </c>
      <c r="D25" s="2" t="s">
        <v>161</v>
      </c>
      <c r="E25" s="2" t="s">
        <v>162</v>
      </c>
      <c r="F25" s="7"/>
      <c r="G25" s="5" t="s">
        <v>21</v>
      </c>
      <c r="H25" s="5" t="s">
        <v>21</v>
      </c>
      <c r="I25" s="5" t="s">
        <v>70</v>
      </c>
      <c r="J25" s="5" t="s">
        <v>21</v>
      </c>
      <c r="K25" s="5" t="s">
        <v>21</v>
      </c>
      <c r="L25" s="5" t="s">
        <v>23</v>
      </c>
      <c r="M25" s="5" t="s">
        <v>21</v>
      </c>
      <c r="N25" s="5" t="s">
        <v>21</v>
      </c>
    </row>
    <row r="26">
      <c r="A26" s="11">
        <f t="shared" si="1"/>
        <v>24</v>
      </c>
      <c r="B26" s="2" t="s">
        <v>163</v>
      </c>
      <c r="C26" s="2" t="s">
        <v>164</v>
      </c>
      <c r="D26" s="2" t="s">
        <v>165</v>
      </c>
      <c r="E26" s="2" t="s">
        <v>166</v>
      </c>
      <c r="F26" s="7"/>
      <c r="G26" s="5" t="s">
        <v>23</v>
      </c>
      <c r="H26" s="5" t="s">
        <v>21</v>
      </c>
      <c r="I26" s="5" t="s">
        <v>70</v>
      </c>
      <c r="J26" s="5" t="s">
        <v>21</v>
      </c>
      <c r="K26" s="5" t="s">
        <v>70</v>
      </c>
      <c r="L26" s="5" t="s">
        <v>21</v>
      </c>
      <c r="M26" s="5" t="s">
        <v>21</v>
      </c>
      <c r="N26" s="5" t="s">
        <v>21</v>
      </c>
    </row>
    <row r="27">
      <c r="A27" s="11">
        <f t="shared" si="1"/>
        <v>25</v>
      </c>
      <c r="B27" s="2" t="s">
        <v>167</v>
      </c>
      <c r="C27" s="2" t="s">
        <v>168</v>
      </c>
      <c r="D27" s="2" t="s">
        <v>169</v>
      </c>
      <c r="E27" s="2" t="s">
        <v>170</v>
      </c>
      <c r="F27" s="7"/>
      <c r="G27" s="5" t="s">
        <v>21</v>
      </c>
      <c r="H27" s="5" t="s">
        <v>21</v>
      </c>
      <c r="I27" s="5" t="s">
        <v>70</v>
      </c>
      <c r="J27" s="5" t="s">
        <v>21</v>
      </c>
      <c r="K27" s="5" t="s">
        <v>23</v>
      </c>
      <c r="L27" s="5" t="s">
        <v>21</v>
      </c>
      <c r="M27" s="5" t="s">
        <v>21</v>
      </c>
      <c r="N27" s="5" t="s">
        <v>21</v>
      </c>
    </row>
    <row r="28">
      <c r="A28" s="11">
        <f t="shared" si="1"/>
        <v>26</v>
      </c>
      <c r="B28" s="2" t="s">
        <v>171</v>
      </c>
      <c r="C28" s="3" t="s">
        <v>84</v>
      </c>
      <c r="D28" s="3" t="s">
        <v>85</v>
      </c>
      <c r="E28" s="2" t="s">
        <v>172</v>
      </c>
      <c r="F28" s="7"/>
      <c r="G28" s="5" t="s">
        <v>23</v>
      </c>
      <c r="H28" s="5" t="s">
        <v>21</v>
      </c>
      <c r="I28" s="5" t="s">
        <v>21</v>
      </c>
      <c r="J28" s="5" t="s">
        <v>21</v>
      </c>
      <c r="K28" s="5" t="s">
        <v>21</v>
      </c>
      <c r="L28" s="5" t="s">
        <v>21</v>
      </c>
      <c r="M28" s="5" t="s">
        <v>21</v>
      </c>
      <c r="N28" s="5" t="s">
        <v>21</v>
      </c>
    </row>
  </sheetData>
  <dataValidations>
    <dataValidation type="custom" allowBlank="1" showDropDown="1" sqref="A2:A28">
      <formula1>AND(ISNUMBER(A2),(NOT(OR(NOT(ISERROR(DATEVALUE(A2))), AND(ISNUMBER(A2), LEFT(CELL("format", A2))="D")))))</formula1>
    </dataValidation>
    <dataValidation type="list" allowBlank="1" showErrorMessage="1" sqref="G2:N28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1.14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8" t="s">
        <v>0</v>
      </c>
      <c r="B1" s="18" t="s">
        <v>173</v>
      </c>
      <c r="C1" s="18" t="s">
        <v>174</v>
      </c>
      <c r="D1" s="19" t="s">
        <v>175</v>
      </c>
      <c r="E1" s="19" t="s">
        <v>176</v>
      </c>
      <c r="F1" s="19" t="s">
        <v>177</v>
      </c>
      <c r="G1" s="18" t="s">
        <v>178</v>
      </c>
      <c r="H1" s="18" t="s">
        <v>179</v>
      </c>
      <c r="I1" s="19" t="s">
        <v>180</v>
      </c>
      <c r="J1" s="20" t="s">
        <v>181</v>
      </c>
    </row>
    <row r="2">
      <c r="A2" s="21">
        <f>ROW()-ROW(Table_Action_Conditions[N])</f>
        <v>0</v>
      </c>
      <c r="B2" s="21" t="s">
        <v>182</v>
      </c>
      <c r="C2" s="22" t="s">
        <v>183</v>
      </c>
      <c r="D2" s="23" t="s">
        <v>184</v>
      </c>
      <c r="E2" s="23" t="s">
        <v>185</v>
      </c>
      <c r="F2" s="23" t="s">
        <v>186</v>
      </c>
      <c r="G2" s="23" t="s">
        <v>187</v>
      </c>
      <c r="H2" s="23" t="s">
        <v>188</v>
      </c>
      <c r="I2" s="23" t="s">
        <v>189</v>
      </c>
      <c r="J2" s="24" t="s">
        <v>183</v>
      </c>
    </row>
    <row r="3">
      <c r="A3" s="21">
        <f>ROW()-ROW(Table_Action_Conditions[N])</f>
        <v>1</v>
      </c>
      <c r="B3" s="21" t="s">
        <v>190</v>
      </c>
      <c r="C3" s="25" t="s">
        <v>183</v>
      </c>
      <c r="D3" s="23" t="s">
        <v>191</v>
      </c>
      <c r="E3" s="23" t="s">
        <v>185</v>
      </c>
      <c r="F3" s="23" t="s">
        <v>192</v>
      </c>
      <c r="G3" s="23" t="s">
        <v>187</v>
      </c>
      <c r="H3" s="23" t="s">
        <v>188</v>
      </c>
      <c r="I3" s="23" t="s">
        <v>189</v>
      </c>
      <c r="J3" s="24" t="s">
        <v>193</v>
      </c>
    </row>
    <row r="4">
      <c r="A4" s="21">
        <f>ROW()-ROW(Table_Action_Conditions[N])</f>
        <v>2</v>
      </c>
      <c r="B4" s="21" t="s">
        <v>194</v>
      </c>
      <c r="C4" s="25" t="s">
        <v>183</v>
      </c>
      <c r="D4" s="23" t="s">
        <v>191</v>
      </c>
      <c r="E4" s="23" t="s">
        <v>185</v>
      </c>
      <c r="F4" s="23" t="s">
        <v>195</v>
      </c>
      <c r="G4" s="23" t="s">
        <v>196</v>
      </c>
      <c r="H4" s="23" t="s">
        <v>197</v>
      </c>
      <c r="I4" s="23" t="s">
        <v>198</v>
      </c>
      <c r="J4" s="24" t="s">
        <v>183</v>
      </c>
    </row>
    <row r="5">
      <c r="A5" s="21">
        <f>ROW()-ROW(Table_Action_Conditions[N])</f>
        <v>3</v>
      </c>
      <c r="B5" s="21" t="s">
        <v>199</v>
      </c>
      <c r="C5" s="25" t="s">
        <v>183</v>
      </c>
      <c r="D5" s="23" t="s">
        <v>200</v>
      </c>
      <c r="E5" s="23" t="s">
        <v>201</v>
      </c>
      <c r="F5" s="23" t="s">
        <v>192</v>
      </c>
      <c r="G5" s="23" t="s">
        <v>187</v>
      </c>
      <c r="H5" s="23" t="s">
        <v>188</v>
      </c>
      <c r="I5" s="23" t="s">
        <v>189</v>
      </c>
      <c r="J5" s="24" t="s">
        <v>183</v>
      </c>
    </row>
    <row r="6">
      <c r="A6" s="21">
        <f>ROW()-ROW(Table_Action_Conditions[N])</f>
        <v>4</v>
      </c>
      <c r="B6" s="21" t="s">
        <v>202</v>
      </c>
      <c r="C6" s="22" t="s">
        <v>183</v>
      </c>
      <c r="D6" s="23" t="s">
        <v>191</v>
      </c>
      <c r="E6" s="23" t="s">
        <v>203</v>
      </c>
      <c r="F6" s="23" t="s">
        <v>204</v>
      </c>
      <c r="G6" s="23" t="s">
        <v>205</v>
      </c>
      <c r="H6" s="23" t="s">
        <v>188</v>
      </c>
      <c r="I6" s="23" t="s">
        <v>189</v>
      </c>
      <c r="J6" s="24" t="s">
        <v>206</v>
      </c>
    </row>
    <row r="7">
      <c r="A7" s="21">
        <f>ROW()-ROW(Table_Action_Conditions[N])</f>
        <v>5</v>
      </c>
      <c r="B7" s="21" t="s">
        <v>207</v>
      </c>
      <c r="C7" s="22" t="s">
        <v>183</v>
      </c>
      <c r="D7" s="23" t="s">
        <v>200</v>
      </c>
      <c r="E7" s="23" t="s">
        <v>201</v>
      </c>
      <c r="F7" s="23" t="s">
        <v>204</v>
      </c>
      <c r="G7" s="23" t="s">
        <v>208</v>
      </c>
      <c r="H7" s="23" t="s">
        <v>209</v>
      </c>
      <c r="I7" s="23" t="s">
        <v>189</v>
      </c>
      <c r="J7" s="24" t="s">
        <v>183</v>
      </c>
    </row>
    <row r="8">
      <c r="A8" s="21">
        <f>ROW()-ROW(Table_Action_Conditions[N])</f>
        <v>6</v>
      </c>
      <c r="B8" s="21" t="s">
        <v>210</v>
      </c>
      <c r="C8" s="25" t="s">
        <v>183</v>
      </c>
      <c r="D8" s="23" t="s">
        <v>191</v>
      </c>
      <c r="E8" s="23" t="s">
        <v>185</v>
      </c>
      <c r="F8" s="23" t="s">
        <v>211</v>
      </c>
      <c r="G8" s="23" t="s">
        <v>196</v>
      </c>
      <c r="H8" s="23" t="s">
        <v>212</v>
      </c>
      <c r="I8" s="23" t="s">
        <v>189</v>
      </c>
      <c r="J8" s="24" t="s">
        <v>183</v>
      </c>
    </row>
    <row r="9">
      <c r="A9" s="21">
        <f>ROW()-ROW(Table_Action_Conditions[N])</f>
        <v>7</v>
      </c>
      <c r="B9" s="21" t="s">
        <v>213</v>
      </c>
      <c r="C9" s="22" t="s">
        <v>183</v>
      </c>
      <c r="D9" s="23" t="s">
        <v>184</v>
      </c>
      <c r="E9" s="23" t="s">
        <v>185</v>
      </c>
      <c r="F9" s="23" t="s">
        <v>186</v>
      </c>
      <c r="G9" s="23" t="s">
        <v>187</v>
      </c>
      <c r="H9" s="23" t="s">
        <v>188</v>
      </c>
      <c r="I9" s="23" t="s">
        <v>189</v>
      </c>
      <c r="J9" s="24" t="s">
        <v>183</v>
      </c>
    </row>
    <row r="11">
      <c r="A11" s="18" t="s">
        <v>0</v>
      </c>
      <c r="B11" s="18" t="s">
        <v>214</v>
      </c>
      <c r="C11" s="18" t="s">
        <v>215</v>
      </c>
      <c r="D11" s="20" t="s">
        <v>216</v>
      </c>
      <c r="E11" s="20" t="s">
        <v>174</v>
      </c>
      <c r="F11" s="20" t="s">
        <v>217</v>
      </c>
      <c r="G11" s="20" t="s">
        <v>218</v>
      </c>
      <c r="H11" s="20" t="s">
        <v>219</v>
      </c>
    </row>
    <row r="12">
      <c r="A12" s="21">
        <f>ROW()-ROW(Table_Unchain_Conditions[N])</f>
        <v>0</v>
      </c>
      <c r="B12" s="21" t="s">
        <v>220</v>
      </c>
      <c r="C12" s="23" t="s">
        <v>221</v>
      </c>
      <c r="D12" s="26" t="s">
        <v>183</v>
      </c>
      <c r="E12" s="27" t="s">
        <v>193</v>
      </c>
      <c r="F12" s="26" t="s">
        <v>203</v>
      </c>
      <c r="G12" s="26" t="s">
        <v>222</v>
      </c>
      <c r="H12" s="27" t="s">
        <v>183</v>
      </c>
    </row>
    <row r="13">
      <c r="A13" s="21">
        <f>ROW()-ROW(Table_Unchain_Conditions[N])</f>
        <v>1</v>
      </c>
      <c r="B13" s="21" t="s">
        <v>223</v>
      </c>
      <c r="C13" s="23" t="s">
        <v>224</v>
      </c>
      <c r="D13" s="26" t="s">
        <v>183</v>
      </c>
      <c r="E13" s="27" t="s">
        <v>206</v>
      </c>
      <c r="F13" s="26" t="s">
        <v>225</v>
      </c>
      <c r="G13" s="26" t="s">
        <v>226</v>
      </c>
      <c r="H13" s="27" t="s">
        <v>183</v>
      </c>
    </row>
  </sheetData>
  <dataValidations>
    <dataValidation type="list" allowBlank="1" sqref="D12:D13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3 H12:H13">
      <formula1>#REF!</formula1>
    </dataValidation>
    <dataValidation type="list" allowBlank="1" sqref="D2:G9 C12:C13 F12:G13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14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8" t="s">
        <v>0</v>
      </c>
      <c r="B1" s="18" t="s">
        <v>227</v>
      </c>
      <c r="C1" s="19" t="s">
        <v>228</v>
      </c>
      <c r="D1" s="19" t="s">
        <v>229</v>
      </c>
      <c r="E1" s="19" t="s">
        <v>230</v>
      </c>
      <c r="F1" s="18" t="s">
        <v>231</v>
      </c>
      <c r="G1" s="19" t="s">
        <v>232</v>
      </c>
      <c r="H1" s="20" t="s">
        <v>233</v>
      </c>
    </row>
    <row r="2">
      <c r="A2" s="28">
        <f t="shared" ref="A2:A10" si="1">ROW()-ROW($A$2)</f>
        <v>0</v>
      </c>
      <c r="B2" s="28" t="s">
        <v>185</v>
      </c>
      <c r="C2" s="29" t="s">
        <v>234</v>
      </c>
      <c r="D2" s="30" t="s">
        <v>235</v>
      </c>
      <c r="E2" s="31" t="s">
        <v>222</v>
      </c>
      <c r="F2" s="32" t="b">
        <v>0</v>
      </c>
      <c r="G2" s="29" t="s">
        <v>222</v>
      </c>
      <c r="H2" s="33" t="s">
        <v>182</v>
      </c>
    </row>
    <row r="3">
      <c r="A3" s="28">
        <f t="shared" si="1"/>
        <v>1</v>
      </c>
      <c r="B3" s="28" t="s">
        <v>236</v>
      </c>
      <c r="C3" s="29" t="s">
        <v>237</v>
      </c>
      <c r="D3" s="30" t="s">
        <v>238</v>
      </c>
      <c r="E3" s="31" t="s">
        <v>239</v>
      </c>
      <c r="F3" s="32" t="b">
        <v>0</v>
      </c>
      <c r="G3" s="29" t="s">
        <v>222</v>
      </c>
      <c r="H3" s="33" t="s">
        <v>182</v>
      </c>
    </row>
    <row r="4">
      <c r="A4" s="28">
        <f t="shared" si="1"/>
        <v>2</v>
      </c>
      <c r="B4" s="28" t="s">
        <v>240</v>
      </c>
      <c r="C4" s="29" t="s">
        <v>241</v>
      </c>
      <c r="D4" s="30" t="s">
        <v>238</v>
      </c>
      <c r="E4" s="31" t="s">
        <v>239</v>
      </c>
      <c r="F4" s="32" t="b">
        <v>0</v>
      </c>
      <c r="G4" s="29" t="s">
        <v>222</v>
      </c>
      <c r="H4" s="33" t="s">
        <v>182</v>
      </c>
    </row>
    <row r="5">
      <c r="A5" s="28">
        <f t="shared" si="1"/>
        <v>3</v>
      </c>
      <c r="B5" s="28" t="s">
        <v>242</v>
      </c>
      <c r="C5" s="29" t="s">
        <v>243</v>
      </c>
      <c r="D5" s="30" t="s">
        <v>238</v>
      </c>
      <c r="E5" s="31" t="s">
        <v>239</v>
      </c>
      <c r="F5" s="32" t="b">
        <v>0</v>
      </c>
      <c r="G5" s="29" t="s">
        <v>222</v>
      </c>
      <c r="H5" s="33" t="s">
        <v>182</v>
      </c>
    </row>
    <row r="6">
      <c r="A6" s="28">
        <f t="shared" si="1"/>
        <v>4</v>
      </c>
      <c r="B6" s="28" t="s">
        <v>203</v>
      </c>
      <c r="C6" s="29" t="s">
        <v>244</v>
      </c>
      <c r="D6" s="30" t="s">
        <v>245</v>
      </c>
      <c r="E6" s="31" t="s">
        <v>239</v>
      </c>
      <c r="F6" s="32" t="b">
        <v>1</v>
      </c>
      <c r="G6" s="29" t="s">
        <v>239</v>
      </c>
      <c r="H6" s="33" t="s">
        <v>246</v>
      </c>
    </row>
    <row r="7">
      <c r="A7" s="28">
        <f t="shared" si="1"/>
        <v>5</v>
      </c>
      <c r="B7" s="28" t="s">
        <v>201</v>
      </c>
      <c r="C7" s="29" t="s">
        <v>247</v>
      </c>
      <c r="D7" s="30" t="s">
        <v>245</v>
      </c>
      <c r="E7" s="31" t="s">
        <v>248</v>
      </c>
      <c r="F7" s="32" t="b">
        <v>1</v>
      </c>
      <c r="G7" s="29" t="s">
        <v>248</v>
      </c>
      <c r="H7" s="33" t="s">
        <v>199</v>
      </c>
    </row>
    <row r="8">
      <c r="A8" s="28">
        <f t="shared" si="1"/>
        <v>6</v>
      </c>
      <c r="B8" s="28" t="s">
        <v>225</v>
      </c>
      <c r="C8" s="29" t="s">
        <v>249</v>
      </c>
      <c r="D8" s="30" t="s">
        <v>245</v>
      </c>
      <c r="E8" s="31" t="s">
        <v>250</v>
      </c>
      <c r="F8" s="32" t="b">
        <v>0</v>
      </c>
      <c r="G8" s="29" t="s">
        <v>222</v>
      </c>
      <c r="H8" s="33" t="s">
        <v>251</v>
      </c>
    </row>
    <row r="9">
      <c r="A9" s="28">
        <f t="shared" si="1"/>
        <v>7</v>
      </c>
      <c r="B9" s="28" t="s">
        <v>252</v>
      </c>
      <c r="C9" s="29" t="s">
        <v>253</v>
      </c>
      <c r="D9" s="30" t="s">
        <v>254</v>
      </c>
      <c r="E9" s="31" t="s">
        <v>255</v>
      </c>
      <c r="F9" s="32" t="b">
        <v>0</v>
      </c>
      <c r="G9" s="29" t="s">
        <v>222</v>
      </c>
      <c r="H9" s="33" t="s">
        <v>210</v>
      </c>
    </row>
    <row r="10">
      <c r="A10" s="28">
        <f t="shared" si="1"/>
        <v>8</v>
      </c>
      <c r="B10" s="28" t="s">
        <v>256</v>
      </c>
      <c r="C10" s="29" t="s">
        <v>257</v>
      </c>
      <c r="D10" s="30" t="s">
        <v>235</v>
      </c>
      <c r="E10" s="31" t="s">
        <v>258</v>
      </c>
      <c r="F10" s="32" t="b">
        <v>0</v>
      </c>
      <c r="G10" s="29" t="s">
        <v>222</v>
      </c>
      <c r="H10" s="33" t="s">
        <v>182</v>
      </c>
    </row>
  </sheetData>
  <dataValidations>
    <dataValidation type="list" allowBlank="1" sqref="E2:E10 H2:H10">
      <formula1>#REF!</formula1>
    </dataValidation>
    <dataValidation type="list" allowBlank="1" sqref="C2:D10 G2:G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8" t="s">
        <v>0</v>
      </c>
      <c r="B1" s="18" t="s">
        <v>259</v>
      </c>
      <c r="C1" s="18" t="s">
        <v>260</v>
      </c>
    </row>
    <row r="2">
      <c r="A2" s="21">
        <f>ROW()-ROW(Table_sprites[N])</f>
        <v>0</v>
      </c>
      <c r="B2" s="21" t="s">
        <v>222</v>
      </c>
    </row>
    <row r="3">
      <c r="A3" s="21">
        <f>ROW()-ROW(Table_sprites[N])</f>
        <v>1</v>
      </c>
      <c r="B3" s="21" t="s">
        <v>261</v>
      </c>
      <c r="C3" s="21" t="s">
        <v>262</v>
      </c>
    </row>
    <row r="4">
      <c r="A4" s="21">
        <f>ROW()-ROW(Table_sprites[N])</f>
        <v>2</v>
      </c>
      <c r="B4" s="21" t="s">
        <v>263</v>
      </c>
      <c r="C4" s="21" t="s">
        <v>264</v>
      </c>
    </row>
    <row r="5">
      <c r="A5" s="21">
        <f>ROW()-ROW(Table_sprites[N])</f>
        <v>3</v>
      </c>
      <c r="B5" s="21" t="s">
        <v>265</v>
      </c>
      <c r="C5" s="21" t="s">
        <v>266</v>
      </c>
    </row>
    <row r="6">
      <c r="A6" s="21">
        <f>ROW()-ROW(Table_sprites[N])</f>
        <v>4</v>
      </c>
      <c r="B6" s="21" t="s">
        <v>267</v>
      </c>
      <c r="C6" s="21" t="s">
        <v>268</v>
      </c>
    </row>
    <row r="7">
      <c r="A7" s="21">
        <f>ROW()-ROW(Table_sprites[N])</f>
        <v>5</v>
      </c>
      <c r="B7" s="21" t="s">
        <v>269</v>
      </c>
      <c r="C7" s="21" t="s">
        <v>270</v>
      </c>
    </row>
    <row r="8">
      <c r="A8" s="21">
        <f>ROW()-ROW(Table_sprites[N])</f>
        <v>6</v>
      </c>
      <c r="B8" s="21" t="s">
        <v>271</v>
      </c>
      <c r="C8" s="21" t="s">
        <v>272</v>
      </c>
    </row>
    <row r="9">
      <c r="A9" s="21">
        <f>ROW()-ROW(Table_sprites[N])</f>
        <v>7</v>
      </c>
      <c r="B9" s="21" t="s">
        <v>273</v>
      </c>
      <c r="C9" s="21" t="s">
        <v>274</v>
      </c>
    </row>
    <row r="10">
      <c r="A10" s="21">
        <f>ROW()-ROW(Table_sprites[N])</f>
        <v>8</v>
      </c>
      <c r="B10" s="21" t="s">
        <v>275</v>
      </c>
      <c r="C10" s="21" t="s">
        <v>276</v>
      </c>
    </row>
    <row r="11">
      <c r="A11" s="21">
        <f>ROW()-ROW(Table_sprites[N])</f>
        <v>9</v>
      </c>
      <c r="B11" s="21" t="s">
        <v>239</v>
      </c>
      <c r="C11" s="21" t="s">
        <v>277</v>
      </c>
    </row>
    <row r="12">
      <c r="A12" s="21">
        <f>ROW()-ROW(Table_sprites[N])</f>
        <v>10</v>
      </c>
      <c r="B12" s="21" t="s">
        <v>248</v>
      </c>
      <c r="C12" s="21" t="s">
        <v>278</v>
      </c>
    </row>
    <row r="13">
      <c r="A13" s="21">
        <f>ROW()-ROW(Table_sprites[N])</f>
        <v>11</v>
      </c>
      <c r="B13" s="21" t="s">
        <v>279</v>
      </c>
      <c r="C13" s="21" t="s">
        <v>280</v>
      </c>
    </row>
    <row r="14">
      <c r="A14" s="21">
        <f>ROW()-ROW(Table_sprites[N])</f>
        <v>12</v>
      </c>
      <c r="B14" s="21" t="s">
        <v>226</v>
      </c>
      <c r="C14" s="21" t="s">
        <v>281</v>
      </c>
    </row>
    <row r="15">
      <c r="A15" s="21">
        <f>ROW()-ROW(Table_sprites[N])</f>
        <v>13</v>
      </c>
      <c r="B15" s="21" t="s">
        <v>255</v>
      </c>
      <c r="C15" s="21" t="s">
        <v>282</v>
      </c>
    </row>
    <row r="16">
      <c r="A16" s="21">
        <f>ROW()-ROW(Table_sprites[N])</f>
        <v>14</v>
      </c>
      <c r="B16" s="21" t="s">
        <v>283</v>
      </c>
      <c r="C16" s="21" t="s">
        <v>284</v>
      </c>
    </row>
    <row r="17">
      <c r="A17" s="21">
        <f>ROW()-ROW(Table_sprites[N])</f>
        <v>15</v>
      </c>
      <c r="B17" s="21" t="s">
        <v>258</v>
      </c>
      <c r="C17" s="21" t="s">
        <v>258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8" t="s">
        <v>0</v>
      </c>
      <c r="B1" s="18" t="s">
        <v>285</v>
      </c>
      <c r="C1" s="20" t="s">
        <v>286</v>
      </c>
      <c r="D1" s="20" t="s">
        <v>287</v>
      </c>
    </row>
    <row r="2">
      <c r="A2" s="21">
        <f>ROW()-ROW(Table_Dialogs[N])</f>
        <v>0</v>
      </c>
      <c r="B2" s="21" t="s">
        <v>188</v>
      </c>
      <c r="C2" s="27" t="s">
        <v>185</v>
      </c>
      <c r="D2" s="24" t="s">
        <v>288</v>
      </c>
    </row>
    <row r="3">
      <c r="A3" s="21">
        <f>ROW()-ROW(Table_Dialogs[N])</f>
        <v>1</v>
      </c>
      <c r="B3" s="21" t="s">
        <v>197</v>
      </c>
      <c r="C3" s="27" t="s">
        <v>185</v>
      </c>
      <c r="D3" s="24" t="s">
        <v>289</v>
      </c>
    </row>
    <row r="4">
      <c r="A4" s="21">
        <f>ROW()-ROW(Table_Dialogs[N])</f>
        <v>2</v>
      </c>
      <c r="B4" s="21" t="s">
        <v>209</v>
      </c>
      <c r="C4" s="27" t="s">
        <v>185</v>
      </c>
      <c r="D4" s="24" t="s">
        <v>290</v>
      </c>
    </row>
    <row r="5">
      <c r="A5" s="21">
        <f>ROW()-ROW(Table_Dialogs[N])</f>
        <v>3</v>
      </c>
      <c r="B5" s="21" t="s">
        <v>212</v>
      </c>
      <c r="C5" s="27" t="s">
        <v>185</v>
      </c>
      <c r="D5" s="27" t="s">
        <v>291</v>
      </c>
    </row>
    <row r="6">
      <c r="A6" s="21">
        <f>ROW()-ROW(Table_Dialogs[N])</f>
        <v>4</v>
      </c>
      <c r="B6" s="21" t="s">
        <v>292</v>
      </c>
      <c r="C6" s="27" t="s">
        <v>185</v>
      </c>
      <c r="D6" s="24" t="s">
        <v>288</v>
      </c>
    </row>
    <row r="8">
      <c r="A8" s="18" t="s">
        <v>0</v>
      </c>
      <c r="B8" s="18" t="s">
        <v>293</v>
      </c>
      <c r="C8" s="18" t="s">
        <v>174</v>
      </c>
      <c r="D8" s="20" t="s">
        <v>294</v>
      </c>
      <c r="E8" s="20" t="s">
        <v>295</v>
      </c>
      <c r="F8" s="20" t="s">
        <v>296</v>
      </c>
    </row>
    <row r="9">
      <c r="A9" s="21">
        <f>ROW()-ROW(Table_Dialog_Options[N])</f>
        <v>0</v>
      </c>
      <c r="B9" s="21" t="s">
        <v>288</v>
      </c>
      <c r="C9" s="22" t="s">
        <v>183</v>
      </c>
      <c r="D9" s="22" t="s">
        <v>183</v>
      </c>
      <c r="E9" s="23" t="s">
        <v>188</v>
      </c>
      <c r="F9" s="22" t="s">
        <v>189</v>
      </c>
    </row>
    <row r="10">
      <c r="A10" s="21">
        <f>ROW()-ROW(Table_Dialog_Options[N])</f>
        <v>1</v>
      </c>
      <c r="B10" s="21" t="s">
        <v>289</v>
      </c>
      <c r="C10" s="22" t="s">
        <v>183</v>
      </c>
      <c r="D10" s="22" t="s">
        <v>183</v>
      </c>
      <c r="E10" s="23" t="s">
        <v>188</v>
      </c>
      <c r="F10" s="22" t="s">
        <v>189</v>
      </c>
    </row>
    <row r="11">
      <c r="A11" s="21">
        <f>ROW()-ROW(Table_Dialog_Options[N])</f>
        <v>2</v>
      </c>
      <c r="B11" s="21" t="s">
        <v>297</v>
      </c>
      <c r="C11" s="22" t="s">
        <v>183</v>
      </c>
      <c r="D11" s="22" t="s">
        <v>183</v>
      </c>
      <c r="E11" s="23" t="s">
        <v>188</v>
      </c>
      <c r="F11" s="22" t="s">
        <v>298</v>
      </c>
    </row>
    <row r="12">
      <c r="A12" s="21">
        <f>ROW()-ROW(Table_Dialog_Options[N])</f>
        <v>3</v>
      </c>
      <c r="B12" s="21" t="s">
        <v>299</v>
      </c>
      <c r="C12" s="22" t="s">
        <v>183</v>
      </c>
      <c r="D12" s="22" t="s">
        <v>183</v>
      </c>
      <c r="E12" s="23" t="s">
        <v>188</v>
      </c>
      <c r="F12" s="22" t="s">
        <v>300</v>
      </c>
    </row>
    <row r="13">
      <c r="A13" s="21">
        <f>ROW()-ROW(Table_Dialog_Options[N])</f>
        <v>4</v>
      </c>
      <c r="B13" s="21" t="s">
        <v>301</v>
      </c>
      <c r="C13" s="22" t="s">
        <v>206</v>
      </c>
      <c r="D13" s="22" t="s">
        <v>183</v>
      </c>
      <c r="E13" s="23" t="s">
        <v>188</v>
      </c>
      <c r="F13" s="22" t="s">
        <v>302</v>
      </c>
    </row>
    <row r="14">
      <c r="A14" s="21">
        <f>ROW()-ROW(Table_Dialog_Options[N])</f>
        <v>5</v>
      </c>
      <c r="B14" s="21" t="s">
        <v>303</v>
      </c>
      <c r="C14" s="22" t="s">
        <v>304</v>
      </c>
      <c r="D14" s="22" t="s">
        <v>183</v>
      </c>
      <c r="E14" s="23" t="s">
        <v>188</v>
      </c>
      <c r="F14" s="22" t="s">
        <v>305</v>
      </c>
    </row>
    <row r="15">
      <c r="A15" s="21">
        <f>ROW()-ROW(Table_Dialog_Options[N])</f>
        <v>6</v>
      </c>
      <c r="B15" s="21" t="s">
        <v>306</v>
      </c>
      <c r="C15" s="25" t="s">
        <v>183</v>
      </c>
      <c r="D15" s="22" t="s">
        <v>183</v>
      </c>
      <c r="E15" s="23" t="s">
        <v>188</v>
      </c>
      <c r="F15" s="25" t="s">
        <v>307</v>
      </c>
    </row>
    <row r="16">
      <c r="A16" s="21">
        <f>ROW()-ROW(Table_Dialog_Options[N])</f>
        <v>7</v>
      </c>
      <c r="B16" s="21" t="s">
        <v>308</v>
      </c>
      <c r="C16" s="25" t="s">
        <v>183</v>
      </c>
      <c r="D16" s="22" t="s">
        <v>183</v>
      </c>
      <c r="E16" s="23" t="s">
        <v>188</v>
      </c>
      <c r="F16" s="25" t="s">
        <v>309</v>
      </c>
    </row>
    <row r="17">
      <c r="A17" s="21">
        <f>ROW()-ROW(Table_Dialog_Options[N])</f>
        <v>8</v>
      </c>
      <c r="B17" s="21" t="s">
        <v>310</v>
      </c>
      <c r="C17" s="22" t="s">
        <v>183</v>
      </c>
      <c r="D17" s="22" t="s">
        <v>183</v>
      </c>
      <c r="E17" s="23" t="s">
        <v>188</v>
      </c>
      <c r="F17" s="22" t="s">
        <v>189</v>
      </c>
    </row>
    <row r="19">
      <c r="A19" s="34"/>
      <c r="B19" s="34"/>
      <c r="C19" s="34"/>
      <c r="D19" s="34"/>
      <c r="E19" s="34"/>
      <c r="F19" s="34"/>
    </row>
    <row r="20">
      <c r="A20" s="34"/>
      <c r="B20" s="34"/>
      <c r="C20" s="34"/>
      <c r="D20" s="34"/>
      <c r="E20" s="34"/>
      <c r="F20" s="34"/>
    </row>
    <row r="21">
      <c r="A21" s="34"/>
      <c r="B21" s="34"/>
      <c r="C21" s="34"/>
      <c r="D21" s="34"/>
      <c r="E21" s="34"/>
      <c r="F21" s="34"/>
    </row>
    <row r="22">
      <c r="A22" s="34"/>
      <c r="B22" s="34"/>
      <c r="C22" s="34"/>
      <c r="D22" s="34"/>
      <c r="E22" s="34"/>
      <c r="F22" s="34"/>
    </row>
    <row r="23">
      <c r="A23" s="34"/>
      <c r="B23" s="34"/>
      <c r="C23" s="34"/>
      <c r="D23" s="34"/>
      <c r="E23" s="34"/>
      <c r="F23" s="34"/>
    </row>
    <row r="24">
      <c r="A24" s="34"/>
      <c r="B24" s="34"/>
      <c r="C24" s="34"/>
      <c r="D24" s="34"/>
      <c r="E24" s="34"/>
      <c r="F24" s="34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D9:D17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5" t="s">
        <v>0</v>
      </c>
      <c r="B1" s="36" t="s">
        <v>311</v>
      </c>
      <c r="C1" s="35" t="s">
        <v>312</v>
      </c>
      <c r="D1" s="35" t="s">
        <v>313</v>
      </c>
    </row>
    <row r="2">
      <c r="A2" s="28">
        <f>ROW()-ROW(Table_Name[NAME_ID])</f>
        <v>0</v>
      </c>
      <c r="B2" s="28" t="s">
        <v>234</v>
      </c>
      <c r="C2" s="37"/>
      <c r="D2" s="37"/>
    </row>
    <row r="3">
      <c r="A3" s="28">
        <f>ROW()-ROW(Table_Name[NAME_ID])</f>
        <v>1</v>
      </c>
      <c r="B3" s="28" t="s">
        <v>237</v>
      </c>
      <c r="C3" s="28" t="s">
        <v>314</v>
      </c>
      <c r="D3" s="28" t="s">
        <v>314</v>
      </c>
    </row>
    <row r="4">
      <c r="A4" s="28">
        <f>ROW()-ROW(Table_Name[NAME_ID])</f>
        <v>2</v>
      </c>
      <c r="B4" s="28" t="s">
        <v>241</v>
      </c>
      <c r="C4" s="28" t="s">
        <v>315</v>
      </c>
      <c r="D4" s="28" t="s">
        <v>316</v>
      </c>
    </row>
    <row r="5">
      <c r="A5" s="28">
        <f>ROW()-ROW(Table_Name[NAME_ID])</f>
        <v>3</v>
      </c>
      <c r="B5" s="28" t="s">
        <v>243</v>
      </c>
      <c r="C5" s="28" t="s">
        <v>317</v>
      </c>
      <c r="D5" s="28" t="s">
        <v>318</v>
      </c>
    </row>
    <row r="6">
      <c r="A6" s="28">
        <f>ROW()-ROW(Table_Name[NAME_ID])</f>
        <v>4</v>
      </c>
      <c r="B6" s="28" t="s">
        <v>319</v>
      </c>
      <c r="C6" s="28" t="s">
        <v>320</v>
      </c>
      <c r="D6" s="28" t="s">
        <v>321</v>
      </c>
    </row>
    <row r="7">
      <c r="A7" s="28">
        <f>ROW()-ROW(Table_Name[NAME_ID])</f>
        <v>5</v>
      </c>
      <c r="B7" s="28" t="s">
        <v>322</v>
      </c>
      <c r="C7" s="28" t="s">
        <v>323</v>
      </c>
      <c r="D7" s="28" t="s">
        <v>324</v>
      </c>
    </row>
    <row r="8">
      <c r="A8" s="28">
        <f>ROW()-ROW(Table_Name[NAME_ID])</f>
        <v>6</v>
      </c>
      <c r="B8" s="28" t="s">
        <v>325</v>
      </c>
      <c r="C8" s="28" t="s">
        <v>326</v>
      </c>
      <c r="D8" s="28" t="s">
        <v>327</v>
      </c>
    </row>
    <row r="9">
      <c r="A9" s="28">
        <f>ROW()-ROW(Table_Name[NAME_ID])</f>
        <v>7</v>
      </c>
      <c r="B9" s="28" t="s">
        <v>244</v>
      </c>
      <c r="C9" s="28" t="s">
        <v>328</v>
      </c>
      <c r="D9" s="28" t="s">
        <v>329</v>
      </c>
    </row>
    <row r="10">
      <c r="A10" s="28">
        <f>ROW()-ROW(Table_Name[NAME_ID])</f>
        <v>8</v>
      </c>
      <c r="B10" s="28" t="s">
        <v>247</v>
      </c>
      <c r="C10" s="28" t="s">
        <v>330</v>
      </c>
      <c r="D10" s="28" t="s">
        <v>331</v>
      </c>
    </row>
    <row r="11">
      <c r="A11" s="28">
        <f>ROW()-ROW(Table_Name[NAME_ID])</f>
        <v>9</v>
      </c>
      <c r="B11" s="28" t="s">
        <v>249</v>
      </c>
      <c r="C11" s="28" t="s">
        <v>332</v>
      </c>
      <c r="D11" s="28" t="s">
        <v>333</v>
      </c>
    </row>
    <row r="12">
      <c r="A12" s="28">
        <f>ROW()-ROW(Table_Name[NAME_ID])</f>
        <v>10</v>
      </c>
      <c r="B12" s="28" t="s">
        <v>253</v>
      </c>
      <c r="C12" s="28" t="s">
        <v>334</v>
      </c>
      <c r="D12" s="28" t="s">
        <v>335</v>
      </c>
    </row>
    <row r="13">
      <c r="A13" s="28">
        <f>ROW()-ROW(Table_Name[NAME_ID])</f>
        <v>11</v>
      </c>
      <c r="B13" s="28" t="s">
        <v>257</v>
      </c>
      <c r="C13" s="28" t="s">
        <v>336</v>
      </c>
      <c r="D13" s="28" t="s">
        <v>337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8" t="s">
        <v>0</v>
      </c>
      <c r="B1" s="18" t="s">
        <v>338</v>
      </c>
      <c r="C1" s="19" t="s">
        <v>339</v>
      </c>
      <c r="D1" s="18" t="s">
        <v>340</v>
      </c>
      <c r="E1" s="20" t="s">
        <v>341</v>
      </c>
      <c r="F1" s="18" t="s">
        <v>342</v>
      </c>
      <c r="G1" s="19" t="s">
        <v>343</v>
      </c>
    </row>
    <row r="2">
      <c r="A2" s="21">
        <f>ROW()-ROW(Table_Phrases[N])</f>
        <v>0</v>
      </c>
      <c r="B2" s="21" t="s">
        <v>189</v>
      </c>
      <c r="C2" s="21">
        <v>0.0</v>
      </c>
      <c r="D2" s="21">
        <v>0.0</v>
      </c>
      <c r="E2" s="26" t="s">
        <v>344</v>
      </c>
      <c r="G2" s="21"/>
    </row>
    <row r="3">
      <c r="A3" s="21">
        <f>ROW()-ROW(Table_Phrases[N])</f>
        <v>1</v>
      </c>
      <c r="B3" s="21" t="s">
        <v>345</v>
      </c>
      <c r="C3" s="21">
        <v>0.0</v>
      </c>
      <c r="D3" s="21">
        <v>0.0</v>
      </c>
      <c r="E3" s="26" t="s">
        <v>346</v>
      </c>
      <c r="F3" s="21" t="s">
        <v>347</v>
      </c>
      <c r="G3" s="21" t="s">
        <v>348</v>
      </c>
    </row>
    <row r="4">
      <c r="A4" s="21">
        <f>ROW()-ROW(Table_Phrases[N])</f>
        <v>2</v>
      </c>
      <c r="B4" s="21" t="s">
        <v>349</v>
      </c>
      <c r="C4" s="21">
        <v>0.0</v>
      </c>
      <c r="D4" s="21">
        <v>0.0</v>
      </c>
      <c r="E4" s="26" t="s">
        <v>346</v>
      </c>
      <c r="F4" s="21" t="s">
        <v>350</v>
      </c>
      <c r="G4" s="21" t="s">
        <v>351</v>
      </c>
    </row>
    <row r="5">
      <c r="A5" s="21">
        <f>ROW()-ROW(Table_Phrases[N])</f>
        <v>3</v>
      </c>
      <c r="B5" s="21" t="s">
        <v>352</v>
      </c>
      <c r="C5" s="21">
        <v>0.0</v>
      </c>
      <c r="D5" s="21">
        <v>0.0</v>
      </c>
      <c r="E5" s="26" t="s">
        <v>346</v>
      </c>
      <c r="F5" s="21" t="s">
        <v>353</v>
      </c>
      <c r="G5" s="21" t="s">
        <v>354</v>
      </c>
    </row>
    <row r="6">
      <c r="A6" s="21">
        <f>ROW()-ROW(Table_Phrases[N])</f>
        <v>4</v>
      </c>
      <c r="B6" s="21" t="s">
        <v>355</v>
      </c>
      <c r="C6" s="21">
        <v>0.0</v>
      </c>
      <c r="D6" s="21">
        <v>0.0</v>
      </c>
      <c r="E6" s="26" t="s">
        <v>346</v>
      </c>
      <c r="F6" s="21" t="s">
        <v>356</v>
      </c>
      <c r="G6" s="21" t="s">
        <v>357</v>
      </c>
    </row>
    <row r="7">
      <c r="A7" s="21">
        <f>ROW()-ROW(Table_Phrases[N])</f>
        <v>5</v>
      </c>
      <c r="B7" s="21" t="s">
        <v>358</v>
      </c>
      <c r="C7" s="21">
        <v>0.0</v>
      </c>
      <c r="D7" s="21">
        <v>0.0</v>
      </c>
      <c r="E7" s="26" t="s">
        <v>346</v>
      </c>
      <c r="F7" s="21" t="s">
        <v>359</v>
      </c>
      <c r="G7" s="21" t="s">
        <v>360</v>
      </c>
    </row>
    <row r="8">
      <c r="A8" s="21">
        <f>ROW()-ROW(Table_Phrases[N])</f>
        <v>6</v>
      </c>
      <c r="B8" s="21" t="s">
        <v>300</v>
      </c>
      <c r="C8" s="21">
        <v>0.0</v>
      </c>
      <c r="D8" s="21">
        <v>0.0</v>
      </c>
      <c r="E8" s="26" t="s">
        <v>346</v>
      </c>
      <c r="F8" s="21" t="s">
        <v>361</v>
      </c>
      <c r="G8" s="21" t="s">
        <v>362</v>
      </c>
    </row>
    <row r="9">
      <c r="A9" s="21">
        <f>ROW()-ROW(Table_Phrases[N])</f>
        <v>7</v>
      </c>
      <c r="B9" s="21" t="s">
        <v>302</v>
      </c>
      <c r="C9" s="21">
        <v>0.0</v>
      </c>
      <c r="D9" s="21">
        <v>0.0</v>
      </c>
      <c r="E9" s="26" t="s">
        <v>346</v>
      </c>
      <c r="F9" s="21" t="s">
        <v>363</v>
      </c>
      <c r="G9" s="21" t="s">
        <v>364</v>
      </c>
    </row>
    <row r="10">
      <c r="A10" s="21">
        <f>ROW()-ROW(Table_Phrases[N])</f>
        <v>8</v>
      </c>
      <c r="B10" s="21" t="s">
        <v>305</v>
      </c>
      <c r="C10" s="21">
        <v>0.0</v>
      </c>
      <c r="D10" s="21">
        <v>0.0</v>
      </c>
      <c r="E10" s="26" t="s">
        <v>346</v>
      </c>
      <c r="F10" s="21" t="s">
        <v>365</v>
      </c>
      <c r="G10" s="21" t="s">
        <v>366</v>
      </c>
    </row>
    <row r="11">
      <c r="A11" s="21">
        <f>ROW()-ROW(Table_Phrases[N])</f>
        <v>9</v>
      </c>
      <c r="B11" s="21" t="s">
        <v>198</v>
      </c>
      <c r="C11" s="21">
        <v>0.0</v>
      </c>
      <c r="D11" s="21">
        <v>0.0</v>
      </c>
      <c r="E11" s="26" t="s">
        <v>346</v>
      </c>
      <c r="F11" s="21" t="s">
        <v>367</v>
      </c>
      <c r="G11" s="21" t="s">
        <v>368</v>
      </c>
    </row>
    <row r="12">
      <c r="A12" s="21">
        <f>ROW()-ROW(Table_Phrases[N])</f>
        <v>10</v>
      </c>
      <c r="B12" s="21" t="s">
        <v>307</v>
      </c>
      <c r="C12" s="21">
        <v>0.0</v>
      </c>
      <c r="D12" s="21">
        <v>0.0</v>
      </c>
      <c r="E12" s="26" t="s">
        <v>346</v>
      </c>
      <c r="F12" s="21" t="s">
        <v>369</v>
      </c>
      <c r="G12" s="21" t="s">
        <v>370</v>
      </c>
    </row>
    <row r="13">
      <c r="A13" s="21">
        <f>ROW()-ROW(Table_Phrases[N])</f>
        <v>11</v>
      </c>
      <c r="B13" s="21" t="s">
        <v>309</v>
      </c>
      <c r="C13" s="21">
        <v>0.0</v>
      </c>
      <c r="D13" s="21">
        <v>0.0</v>
      </c>
      <c r="E13" s="26" t="s">
        <v>346</v>
      </c>
      <c r="F13" s="21" t="s">
        <v>371</v>
      </c>
      <c r="G13" s="21" t="s">
        <v>372</v>
      </c>
    </row>
  </sheetData>
  <dataValidations>
    <dataValidation type="list" allowBlank="1" sqref="E2:E13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8" t="s">
        <v>0</v>
      </c>
      <c r="B1" s="18" t="s">
        <v>373</v>
      </c>
      <c r="C1" s="20" t="s">
        <v>374</v>
      </c>
      <c r="D1" s="20" t="s">
        <v>375</v>
      </c>
      <c r="E1" s="20" t="s">
        <v>376</v>
      </c>
      <c r="F1" s="20" t="s">
        <v>377</v>
      </c>
      <c r="G1" s="20" t="s">
        <v>378</v>
      </c>
      <c r="H1" s="20" t="s">
        <v>379</v>
      </c>
    </row>
    <row r="2" ht="186.0" customHeight="1">
      <c r="A2" s="28">
        <f t="shared" ref="A2:A4" si="1">ROW()-ROW($A$2)-1</f>
        <v>-1</v>
      </c>
      <c r="B2" s="28" t="s">
        <v>380</v>
      </c>
      <c r="C2" s="38" t="str">
        <f>IFERROR(__xludf.DUMMYFUNCTION("ARRAYFORMULA(
TEXTJOIN(""|"",TRUE,
UNIQUE(TRANSPOSE(
SPLIT(TEXTJOIN("", "",TRUE,
F2
),"", "")
))
)
)"),"SPRITE_NONE")</f>
        <v>SPRITE_NONE</v>
      </c>
      <c r="D2" s="38" t="str">
        <f t="shared" ref="D2:D4" si="2">SUBSTITUTE(H2,", ","|")</f>
        <v>PHRASE_NONSENSE</v>
      </c>
      <c r="E2" s="38" t="str">
        <f>IFERROR(__xludf.DUMMYFUNCTION("ARRAYFORMULA(
TEXTJOIN(""|"",TRUE,
UNIQUE(TRANSPOSE(
SPLIT(TEXTJOIN("", "",TRUE,
G2
),"", "")
))
)
)"),"ITEM_NONE")</f>
        <v>ITEM_NONE</v>
      </c>
      <c r="F2" s="33" t="s">
        <v>222</v>
      </c>
      <c r="G2" s="33" t="s">
        <v>185</v>
      </c>
      <c r="H2" s="33" t="s">
        <v>345</v>
      </c>
    </row>
    <row r="3" ht="98.25" customHeight="1">
      <c r="A3" s="28">
        <f t="shared" si="1"/>
        <v>0</v>
      </c>
      <c r="B3" s="28" t="s">
        <v>381</v>
      </c>
      <c r="C3" s="38" t="str">
        <f>IFERROR(__xludf.DUMMYFUNCTION("ARRAYFORMULA(
TEXTJOIN(""|"",TRUE,
UNIQUE(TRANSPOSE(
SPLIT(TEXTJOIN("", "",TRUE,
F3
),"", "")
))
)
)"),"BACKGROUND_ROOM_FIRST")</f>
        <v>BACKGROUND_ROOM_FIRST</v>
      </c>
      <c r="D3" s="38" t="str">
        <f t="shared" si="2"/>
        <v>PHRASE_NONSENSE</v>
      </c>
      <c r="E3" s="38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3" t="s">
        <v>283</v>
      </c>
      <c r="G3" s="33" t="s">
        <v>382</v>
      </c>
      <c r="H3" s="33" t="s">
        <v>345</v>
      </c>
    </row>
    <row r="4">
      <c r="A4" s="28">
        <f t="shared" si="1"/>
        <v>1</v>
      </c>
      <c r="B4" s="28" t="s">
        <v>383</v>
      </c>
      <c r="C4" s="38" t="str">
        <f>IFERROR(__xludf.DUMMYFUNCTION("ARRAYFORMULA(
TEXTJOIN(""|"",TRUE,
UNIQUE(TRANSPOSE(
SPLIT(TEXTJOIN("", "",TRUE,
F4
),"", "")
))
)
)"),"SPRITE_LAST")</f>
        <v>SPRITE_LAST</v>
      </c>
      <c r="D4" s="38" t="str">
        <f t="shared" si="2"/>
        <v>PHRASE_NONSENSE</v>
      </c>
      <c r="E4" s="38" t="str">
        <f>IFERROR(__xludf.DUMMYFUNCTION("ARRAYFORMULA(
TEXTJOIN(""|"",TRUE,
UNIQUE(TRANSPOSE(
SPLIT(TEXTJOIN("", "",TRUE,
G4
),"", "")
))
)
)"),"ITEM_LAST")</f>
        <v>ITEM_LAST</v>
      </c>
      <c r="F4" s="33" t="s">
        <v>258</v>
      </c>
      <c r="G4" s="33" t="s">
        <v>256</v>
      </c>
      <c r="H4" s="33" t="s">
        <v>345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8" t="s">
        <v>0</v>
      </c>
      <c r="B1" s="18" t="s">
        <v>384</v>
      </c>
    </row>
    <row r="2">
      <c r="A2" s="21">
        <f>ROW()-ROW(Table_Characters[N])</f>
        <v>0</v>
      </c>
      <c r="B2" s="21" t="s">
        <v>184</v>
      </c>
    </row>
    <row r="3">
      <c r="A3" s="21">
        <f>ROW()-ROW(Table_Characters[N])</f>
        <v>1</v>
      </c>
      <c r="B3" s="21" t="s">
        <v>191</v>
      </c>
    </row>
    <row r="4">
      <c r="A4" s="21">
        <f>ROW()-ROW(Table_Characters[N])</f>
        <v>2</v>
      </c>
      <c r="B4" s="21" t="s">
        <v>200</v>
      </c>
    </row>
    <row r="5">
      <c r="A5" s="21">
        <f>ROW()-ROW(Table_Characters[N])</f>
        <v>3</v>
      </c>
      <c r="B5" s="21" t="s">
        <v>385</v>
      </c>
    </row>
    <row r="6">
      <c r="A6" s="9"/>
      <c r="B6" s="9"/>
    </row>
    <row r="7">
      <c r="A7" s="18" t="s">
        <v>0</v>
      </c>
      <c r="B7" s="18" t="s">
        <v>386</v>
      </c>
    </row>
    <row r="8">
      <c r="A8" s="21">
        <v>0.0</v>
      </c>
      <c r="B8" s="21" t="s">
        <v>196</v>
      </c>
    </row>
    <row r="9">
      <c r="A9" s="21">
        <v>1.0</v>
      </c>
      <c r="B9" s="21" t="s">
        <v>387</v>
      </c>
    </row>
    <row r="10">
      <c r="A10" s="21">
        <v>2.0</v>
      </c>
      <c r="B10" s="21" t="s">
        <v>187</v>
      </c>
    </row>
    <row r="11">
      <c r="A11" s="21">
        <v>3.0</v>
      </c>
      <c r="B11" s="21" t="s">
        <v>388</v>
      </c>
    </row>
    <row r="12">
      <c r="A12" s="21">
        <v>4.0</v>
      </c>
      <c r="B12" s="21" t="s">
        <v>208</v>
      </c>
    </row>
    <row r="13">
      <c r="A13" s="21">
        <v>5.0</v>
      </c>
      <c r="B13" s="21" t="s">
        <v>205</v>
      </c>
    </row>
    <row r="15">
      <c r="A15" s="18" t="s">
        <v>0</v>
      </c>
      <c r="B15" s="18" t="s">
        <v>389</v>
      </c>
    </row>
    <row r="16">
      <c r="A16" s="21">
        <f>ROW()-ROW(Table_Interaction[N])</f>
        <v>0</v>
      </c>
      <c r="B16" s="21" t="s">
        <v>186</v>
      </c>
    </row>
    <row r="17">
      <c r="A17" s="21">
        <f>ROW()-ROW(Table_Interaction[N])</f>
        <v>1</v>
      </c>
      <c r="B17" s="21" t="s">
        <v>390</v>
      </c>
    </row>
    <row r="18">
      <c r="A18" s="21">
        <f>ROW()-ROW(Table_Interaction[N])</f>
        <v>2</v>
      </c>
      <c r="B18" s="21" t="s">
        <v>204</v>
      </c>
    </row>
    <row r="19">
      <c r="A19" s="21">
        <f>ROW()-ROW(Table_Interaction[N])</f>
        <v>3</v>
      </c>
      <c r="B19" s="21" t="s">
        <v>192</v>
      </c>
    </row>
    <row r="20">
      <c r="A20" s="21">
        <f>ROW()-ROW(Table_Interaction[N])</f>
        <v>4</v>
      </c>
      <c r="B20" s="21" t="s">
        <v>195</v>
      </c>
    </row>
    <row r="21">
      <c r="A21" s="21">
        <f>ROW()-ROW(Table_Interaction[N])</f>
        <v>5</v>
      </c>
      <c r="B21" s="21" t="s">
        <v>211</v>
      </c>
    </row>
    <row r="23">
      <c r="A23" s="18" t="s">
        <v>0</v>
      </c>
      <c r="B23" s="18" t="s">
        <v>391</v>
      </c>
    </row>
    <row r="24">
      <c r="A24" s="21">
        <f>ROW()-ROW(Table_Unchain_Type[N])</f>
        <v>0</v>
      </c>
      <c r="B24" s="21" t="s">
        <v>392</v>
      </c>
    </row>
    <row r="25">
      <c r="A25" s="21">
        <f>ROW()-ROW(Table_Unchain_Type[N])</f>
        <v>1</v>
      </c>
      <c r="B25" s="21" t="s">
        <v>221</v>
      </c>
    </row>
    <row r="26">
      <c r="A26" s="21">
        <f>ROW()-ROW(Table_Unchain_Type[N])</f>
        <v>2</v>
      </c>
      <c r="B26" s="21" t="s">
        <v>224</v>
      </c>
    </row>
    <row r="27">
      <c r="A27" s="21">
        <f>ROW()-ROW(Table_Unchain_Type[N])</f>
        <v>3</v>
      </c>
      <c r="B27" s="21" t="s">
        <v>393</v>
      </c>
    </row>
    <row r="29">
      <c r="A29" s="18" t="s">
        <v>0</v>
      </c>
      <c r="B29" s="18" t="s">
        <v>394</v>
      </c>
    </row>
    <row r="30">
      <c r="A30" s="21">
        <v>0.0</v>
      </c>
      <c r="B30" s="21" t="s">
        <v>344</v>
      </c>
    </row>
    <row r="31">
      <c r="A31" s="21">
        <v>1.0</v>
      </c>
      <c r="B31" s="21" t="s">
        <v>346</v>
      </c>
    </row>
    <row r="33">
      <c r="A33" s="18" t="s">
        <v>0</v>
      </c>
      <c r="B33" s="18" t="s">
        <v>395</v>
      </c>
    </row>
    <row r="34">
      <c r="A34" s="21">
        <f>ROW()-ROW(Table_Item_Family_Type[N])</f>
        <v>0</v>
      </c>
      <c r="B34" s="21" t="s">
        <v>235</v>
      </c>
    </row>
    <row r="35">
      <c r="A35" s="21">
        <f>ROW()-ROW(Table_Item_Family_Type[N])</f>
        <v>1</v>
      </c>
      <c r="B35" s="18" t="s">
        <v>396</v>
      </c>
    </row>
    <row r="36">
      <c r="A36" s="21">
        <f>ROW()-ROW(Table_Item_Family_Type[N])</f>
        <v>2</v>
      </c>
      <c r="B36" s="18" t="s">
        <v>245</v>
      </c>
    </row>
    <row r="37">
      <c r="A37" s="21">
        <f>ROW()-ROW(Table_Item_Family_Type[N])</f>
        <v>3</v>
      </c>
      <c r="B37" s="18" t="s">
        <v>254</v>
      </c>
    </row>
    <row r="38">
      <c r="A38" s="21">
        <f>ROW()-ROW(Table_Item_Family_Type[N])</f>
        <v>4</v>
      </c>
      <c r="B38" s="18" t="s">
        <v>238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43.0"/>
    <col customWidth="1" min="4" max="4" width="15.29"/>
    <col customWidth="1" min="6" max="6" width="18.57"/>
    <col customWidth="1" min="7" max="7" width="21.71"/>
  </cols>
  <sheetData>
    <row r="1">
      <c r="A1" s="18" t="s">
        <v>0</v>
      </c>
      <c r="B1" s="18" t="s">
        <v>397</v>
      </c>
    </row>
    <row r="2">
      <c r="A2" s="21">
        <f t="shared" ref="A2:A5" si="1">ROW()-ROW($A$2)</f>
        <v>0</v>
      </c>
      <c r="B2" s="21" t="s">
        <v>183</v>
      </c>
    </row>
    <row r="3">
      <c r="A3" s="21">
        <f t="shared" si="1"/>
        <v>1</v>
      </c>
      <c r="B3" s="21" t="s">
        <v>193</v>
      </c>
    </row>
    <row r="4">
      <c r="A4" s="21">
        <f t="shared" si="1"/>
        <v>2</v>
      </c>
      <c r="B4" s="21" t="s">
        <v>206</v>
      </c>
    </row>
    <row r="5">
      <c r="A5" s="21">
        <f t="shared" si="1"/>
        <v>3</v>
      </c>
      <c r="B5" s="21" t="s">
        <v>398</v>
      </c>
    </row>
    <row r="7">
      <c r="A7" s="18" t="s">
        <v>0</v>
      </c>
      <c r="B7" s="18" t="s">
        <v>399</v>
      </c>
    </row>
    <row r="8">
      <c r="A8" s="39">
        <f>ROW()-ROW(Table_EventsCombi[N])</f>
        <v>0</v>
      </c>
      <c r="B8" s="40" t="str">
        <f>IFERROR(__xludf.DUMMYFUNCTION("ArrayFormula(FLATTEN(Table_Events[EVENT_ID],""(NOT)""&amp;Table_Events[EVENT_ID]))"),"EVENT_NONE")</f>
        <v>EVENT_NONE</v>
      </c>
    </row>
    <row r="9">
      <c r="A9" s="39">
        <f>ROW()-ROW(Table_EventsCombi[N])</f>
        <v>1</v>
      </c>
      <c r="B9" s="40" t="str">
        <f>IFERROR(__xludf.DUMMYFUNCTION("""COMPUTED_VALUE"""),"EVENT_RED_POTION_TOOK")</f>
        <v>EVENT_RED_POTION_TOOK</v>
      </c>
    </row>
    <row r="10">
      <c r="A10" s="39">
        <f>ROW()-ROW(Table_EventsCombi[N])</f>
        <v>2</v>
      </c>
      <c r="B10" s="40" t="str">
        <f>IFERROR(__xludf.DUMMYFUNCTION("""COMPUTED_VALUE"""),"EVENT_FOUNTAIN_FULL")</f>
        <v>EVENT_FOUNTAIN_FULL</v>
      </c>
    </row>
    <row r="11">
      <c r="A11" s="39">
        <f>ROW()-ROW(Table_EventsCombi[N])</f>
        <v>3</v>
      </c>
      <c r="B11" s="40" t="str">
        <f>IFERROR(__xludf.DUMMYFUNCTION("""COMPUTED_VALUE"""),"EVENT_LAST")</f>
        <v>EVENT_LAST</v>
      </c>
    </row>
    <row r="12">
      <c r="A12" s="39">
        <f>ROW()-ROW(Table_EventsCombi[N])</f>
        <v>4</v>
      </c>
      <c r="B12" s="40" t="str">
        <f>IFERROR(__xludf.DUMMYFUNCTION("""COMPUTED_VALUE"""),"(NOT)EVENT_NONE")</f>
        <v>(NOT)EVENT_NONE</v>
      </c>
    </row>
    <row r="13">
      <c r="A13" s="39">
        <f>ROW()-ROW(Table_EventsCombi[N])</f>
        <v>5</v>
      </c>
      <c r="B13" s="40" t="str">
        <f>IFERROR(__xludf.DUMMYFUNCTION("""COMPUTED_VALUE"""),"(NOT)EVENT_RED_POTION_TOOK")</f>
        <v>(NOT)EVENT_RED_POTION_TOOK</v>
      </c>
    </row>
    <row r="14">
      <c r="A14" s="39">
        <f>ROW()-ROW(Table_EventsCombi[N])</f>
        <v>6</v>
      </c>
      <c r="B14" s="40" t="str">
        <f>IFERROR(__xludf.DUMMYFUNCTION("""COMPUTED_VALUE"""),"(NOT)EVENT_FOUNTAIN_FULL")</f>
        <v>(NOT)EVENT_FOUNTAIN_FULL</v>
      </c>
    </row>
    <row r="15">
      <c r="A15" s="39">
        <f>ROW()-ROW(Table_EventsCombi[N])</f>
        <v>7</v>
      </c>
      <c r="B15" s="40" t="str">
        <f>IFERROR(__xludf.DUMMYFUNCTION("""COMPUTED_VALUE"""),"(NOT)EVENT_LAST")</f>
        <v>(NOT)EVENT_LAST</v>
      </c>
    </row>
    <row r="16">
      <c r="A16" s="39">
        <f>ROW()-ROW(Table_EventsCombi[N])</f>
        <v>8</v>
      </c>
      <c r="B16" s="40"/>
    </row>
    <row r="17">
      <c r="A17" s="39">
        <f>ROW()-ROW(Table_EventsCombi[N])</f>
        <v>9</v>
      </c>
      <c r="B17" s="40"/>
    </row>
    <row r="18">
      <c r="A18" s="39">
        <f>ROW()-ROW(Table_EventsCombi[N])</f>
        <v>10</v>
      </c>
      <c r="B18" s="40"/>
    </row>
    <row r="19">
      <c r="A19" s="39">
        <f>ROW()-ROW(Table_EventsCombi[N])</f>
        <v>11</v>
      </c>
      <c r="B19" s="40"/>
    </row>
    <row r="20">
      <c r="A20" s="39">
        <f>ROW()-ROW(Table_EventsCombi[N])</f>
        <v>12</v>
      </c>
      <c r="B20" s="40"/>
    </row>
    <row r="21">
      <c r="A21" s="39">
        <f>ROW()-ROW(Table_EventsCombi[N])</f>
        <v>13</v>
      </c>
      <c r="B21" s="40"/>
    </row>
    <row r="22">
      <c r="A22" s="39">
        <f>ROW()-ROW(Table_EventsCombi[N])</f>
        <v>14</v>
      </c>
      <c r="B22" s="40"/>
    </row>
    <row r="23">
      <c r="A23" s="39">
        <f>ROW()-ROW(Table_EventsCombi[N])</f>
        <v>15</v>
      </c>
      <c r="B23" s="40"/>
    </row>
    <row r="24">
      <c r="A24" s="39">
        <f>ROW()-ROW(Table_EventsCombi[N])</f>
        <v>16</v>
      </c>
      <c r="B24" s="40"/>
    </row>
    <row r="25">
      <c r="A25" s="39">
        <f>ROW()-ROW(Table_EventsCombi[N])</f>
        <v>17</v>
      </c>
      <c r="B25" s="40"/>
    </row>
    <row r="26">
      <c r="A26" s="39">
        <f>ROW()-ROW(Table_EventsCombi[N])</f>
        <v>18</v>
      </c>
      <c r="B26" s="40"/>
    </row>
    <row r="27">
      <c r="A27" s="39">
        <f>ROW()-ROW(Table_EventsCombi[N])</f>
        <v>19</v>
      </c>
      <c r="B27" s="40"/>
    </row>
    <row r="28">
      <c r="A28" s="39">
        <f>ROW()-ROW(Table_EventsCombi[N])</f>
        <v>20</v>
      </c>
      <c r="B28" s="40"/>
    </row>
    <row r="29">
      <c r="A29" s="39">
        <f>ROW()-ROW(Table_EventsCombi[N])</f>
        <v>21</v>
      </c>
      <c r="B29" s="40"/>
    </row>
    <row r="30">
      <c r="A30" s="39">
        <f>ROW()-ROW(Table_EventsCombi[N])</f>
        <v>22</v>
      </c>
      <c r="B30" s="40"/>
    </row>
  </sheetData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9" t="s">
        <v>0</v>
      </c>
      <c r="B1" s="9" t="s">
        <v>400</v>
      </c>
      <c r="C1" s="9" t="s">
        <v>401</v>
      </c>
    </row>
    <row r="2">
      <c r="A2" s="9">
        <f t="shared" ref="A2:A32" si="1">ROW()-ROW($G$2)</f>
        <v>0</v>
      </c>
      <c r="B2" s="41" t="str">
        <f>OFFSET(ITEMS!$B$6,A2,0)</f>
        <v>ITEM_POTION</v>
      </c>
      <c r="C2" s="9" t="s">
        <v>402</v>
      </c>
    </row>
    <row r="3">
      <c r="A3" s="9">
        <f t="shared" si="1"/>
        <v>1</v>
      </c>
      <c r="B3" s="41" t="str">
        <f>OFFSET(ITEMS!$B$6,A3,0)</f>
        <v>ITEM_POTION_BLUE</v>
      </c>
      <c r="C3" s="9" t="s">
        <v>402</v>
      </c>
    </row>
    <row r="4">
      <c r="A4" s="9">
        <f t="shared" si="1"/>
        <v>2</v>
      </c>
      <c r="B4" s="41" t="str">
        <f>OFFSET(ITEMS!$B$6,A4,0)</f>
        <v>ITEM_FOUNTAIN</v>
      </c>
      <c r="C4" s="9" t="s">
        <v>402</v>
      </c>
    </row>
    <row r="5">
      <c r="A5" s="9">
        <f t="shared" si="1"/>
        <v>3</v>
      </c>
      <c r="B5" s="41" t="str">
        <f>OFFSET(ITEMS!$B$6,A5,0)</f>
        <v>ITEM_NPC_MILITO</v>
      </c>
      <c r="C5" s="9" t="s">
        <v>402</v>
      </c>
    </row>
    <row r="6">
      <c r="A6" s="9">
        <f t="shared" si="1"/>
        <v>4</v>
      </c>
      <c r="B6" s="41" t="str">
        <f>OFFSET(ITEMS!$B$6,A6,0)</f>
        <v>ITEM_LAST</v>
      </c>
      <c r="C6" s="41"/>
    </row>
    <row r="7">
      <c r="A7" s="9">
        <f t="shared" si="1"/>
        <v>5</v>
      </c>
      <c r="B7" s="41" t="str">
        <f>OFFSET(ITEMS!$B$6,A7,0)</f>
        <v/>
      </c>
      <c r="C7" s="41"/>
    </row>
    <row r="8">
      <c r="A8" s="9">
        <f t="shared" si="1"/>
        <v>6</v>
      </c>
      <c r="B8" s="41" t="str">
        <f>OFFSET(ITEMS!$B$6,A8,0)</f>
        <v/>
      </c>
      <c r="C8" s="41"/>
    </row>
    <row r="9">
      <c r="A9" s="9">
        <f t="shared" si="1"/>
        <v>7</v>
      </c>
      <c r="B9" s="41" t="str">
        <f>OFFSET(ITEMS!$B$6,A9,0)</f>
        <v/>
      </c>
      <c r="C9" s="41"/>
    </row>
    <row r="10">
      <c r="A10" s="9">
        <f t="shared" si="1"/>
        <v>8</v>
      </c>
      <c r="B10" s="41" t="str">
        <f>OFFSET(ITEMS!$B$6,A10,0)</f>
        <v/>
      </c>
      <c r="C10" s="41"/>
    </row>
    <row r="11">
      <c r="A11" s="9">
        <f t="shared" si="1"/>
        <v>9</v>
      </c>
      <c r="B11" s="41" t="str">
        <f>OFFSET(ITEMS!$B$6,A11,0)</f>
        <v/>
      </c>
      <c r="C11" s="41"/>
    </row>
    <row r="12">
      <c r="A12" s="9">
        <f t="shared" si="1"/>
        <v>10</v>
      </c>
      <c r="B12" s="41" t="str">
        <f>OFFSET(ITEMS!$B$6,A12,0)</f>
        <v/>
      </c>
      <c r="C12" s="41"/>
    </row>
    <row r="13">
      <c r="A13" s="9">
        <f t="shared" si="1"/>
        <v>11</v>
      </c>
      <c r="B13" s="41" t="str">
        <f>OFFSET(ITEMS!$B$6,A13,0)</f>
        <v/>
      </c>
      <c r="C13" s="41"/>
    </row>
    <row r="14">
      <c r="A14" s="9">
        <f t="shared" si="1"/>
        <v>12</v>
      </c>
      <c r="B14" s="41" t="str">
        <f>OFFSET(ITEMS!$B$6,A14,0)</f>
        <v/>
      </c>
      <c r="C14" s="41"/>
    </row>
    <row r="15">
      <c r="A15" s="9">
        <f t="shared" si="1"/>
        <v>13</v>
      </c>
      <c r="B15" s="41" t="str">
        <f>OFFSET(ITEMS!$B$6,A15,0)</f>
        <v/>
      </c>
      <c r="C15" s="41"/>
    </row>
    <row r="16">
      <c r="A16" s="9">
        <f t="shared" si="1"/>
        <v>14</v>
      </c>
      <c r="B16" s="41" t="str">
        <f>OFFSET(ITEMS!$B$6,A16,0)</f>
        <v/>
      </c>
      <c r="C16" s="41"/>
    </row>
    <row r="17">
      <c r="A17" s="9">
        <f t="shared" si="1"/>
        <v>15</v>
      </c>
      <c r="B17" s="41" t="str">
        <f>OFFSET(ITEMS!$B$6,A17,0)</f>
        <v/>
      </c>
      <c r="C17" s="41"/>
    </row>
    <row r="18">
      <c r="A18" s="9">
        <f t="shared" si="1"/>
        <v>16</v>
      </c>
      <c r="B18" s="41" t="str">
        <f>OFFSET(ITEMS!$B$6,A18,0)</f>
        <v/>
      </c>
      <c r="C18" s="41"/>
    </row>
    <row r="19">
      <c r="A19" s="9">
        <f t="shared" si="1"/>
        <v>17</v>
      </c>
      <c r="B19" s="41" t="str">
        <f>OFFSET(ITEMS!$B$6,A19,0)</f>
        <v/>
      </c>
      <c r="C19" s="41"/>
    </row>
    <row r="20">
      <c r="A20" s="9">
        <f t="shared" si="1"/>
        <v>18</v>
      </c>
      <c r="B20" s="41" t="str">
        <f>OFFSET(ITEMS!$B$6,A20,0)</f>
        <v/>
      </c>
      <c r="C20" s="41"/>
    </row>
    <row r="21">
      <c r="A21" s="9">
        <f t="shared" si="1"/>
        <v>19</v>
      </c>
      <c r="B21" s="41" t="str">
        <f>OFFSET(ITEMS!$B$6,A21,0)</f>
        <v/>
      </c>
      <c r="C21" s="41"/>
    </row>
    <row r="22">
      <c r="A22" s="9">
        <f t="shared" si="1"/>
        <v>20</v>
      </c>
      <c r="B22" s="41" t="str">
        <f>OFFSET(ITEMS!$B$6,A22,0)</f>
        <v/>
      </c>
      <c r="C22" s="41"/>
    </row>
    <row r="23">
      <c r="A23" s="9">
        <f t="shared" si="1"/>
        <v>21</v>
      </c>
      <c r="B23" s="41" t="str">
        <f>OFFSET(ITEMS!$B$6,A23,0)</f>
        <v/>
      </c>
      <c r="C23" s="41"/>
    </row>
    <row r="24">
      <c r="A24" s="9">
        <f t="shared" si="1"/>
        <v>22</v>
      </c>
      <c r="B24" s="41" t="str">
        <f>OFFSET(ITEMS!$B$6,A24,0)</f>
        <v/>
      </c>
      <c r="C24" s="41"/>
    </row>
    <row r="25">
      <c r="A25" s="9">
        <f t="shared" si="1"/>
        <v>23</v>
      </c>
      <c r="B25" s="41" t="str">
        <f>OFFSET(ITEMS!$B$6,A25,0)</f>
        <v/>
      </c>
      <c r="C25" s="41"/>
    </row>
    <row r="26">
      <c r="A26" s="9">
        <f t="shared" si="1"/>
        <v>24</v>
      </c>
      <c r="B26" s="41" t="str">
        <f>OFFSET(ITEMS!$B$6,A26,0)</f>
        <v/>
      </c>
      <c r="C26" s="41"/>
    </row>
    <row r="27">
      <c r="A27" s="9">
        <f t="shared" si="1"/>
        <v>25</v>
      </c>
      <c r="B27" s="41" t="str">
        <f>OFFSET(ITEMS!$B$6,A27,0)</f>
        <v/>
      </c>
      <c r="C27" s="41"/>
    </row>
    <row r="28">
      <c r="A28" s="9">
        <f t="shared" si="1"/>
        <v>26</v>
      </c>
      <c r="B28" s="41" t="str">
        <f>OFFSET(ITEMS!$B$6,A28,0)</f>
        <v/>
      </c>
      <c r="C28" s="41"/>
    </row>
    <row r="29">
      <c r="A29" s="9">
        <f t="shared" si="1"/>
        <v>27</v>
      </c>
      <c r="B29" s="41" t="str">
        <f>OFFSET(ITEMS!$B$6,A29,0)</f>
        <v/>
      </c>
      <c r="C29" s="41"/>
    </row>
    <row r="30">
      <c r="A30" s="9">
        <f t="shared" si="1"/>
        <v>28</v>
      </c>
      <c r="B30" s="41" t="str">
        <f>OFFSET(ITEMS!$B$6,A30,0)</f>
        <v/>
      </c>
      <c r="C30" s="41"/>
    </row>
    <row r="31">
      <c r="A31" s="9">
        <f t="shared" si="1"/>
        <v>29</v>
      </c>
      <c r="B31" s="41" t="str">
        <f>OFFSET(ITEMS!$B$6,A31,0)</f>
        <v/>
      </c>
      <c r="C31" s="41"/>
    </row>
    <row r="32">
      <c r="A32" s="9">
        <f t="shared" si="1"/>
        <v>30</v>
      </c>
      <c r="B32" s="41" t="str">
        <f>OFFSET(ITEMS!$B$6,A32,0)</f>
        <v/>
      </c>
      <c r="C32" s="41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8" t="s">
        <v>403</v>
      </c>
      <c r="B1" s="18" t="s">
        <v>404</v>
      </c>
      <c r="C1" s="18" t="s">
        <v>405</v>
      </c>
      <c r="D1" s="18" t="s">
        <v>406</v>
      </c>
    </row>
    <row r="2">
      <c r="A2" s="21" t="s">
        <v>407</v>
      </c>
      <c r="B2" s="42">
        <v>1.0</v>
      </c>
      <c r="C2" s="21" t="b">
        <v>1</v>
      </c>
      <c r="D2" s="21" t="b">
        <v>1</v>
      </c>
    </row>
    <row r="3">
      <c r="A3" s="21" t="s">
        <v>408</v>
      </c>
      <c r="B3" s="42">
        <v>1.0</v>
      </c>
      <c r="C3" s="21" t="b">
        <v>0</v>
      </c>
      <c r="D3" s="21" t="b">
        <v>1</v>
      </c>
    </row>
    <row r="4">
      <c r="A4" s="21" t="s">
        <v>409</v>
      </c>
      <c r="B4" s="42">
        <v>3.0</v>
      </c>
      <c r="C4" s="21" t="b">
        <v>0</v>
      </c>
      <c r="D4" s="21" t="b">
        <v>0</v>
      </c>
    </row>
    <row r="5">
      <c r="A5" s="21" t="s">
        <v>410</v>
      </c>
      <c r="B5" s="42">
        <v>1.0</v>
      </c>
      <c r="C5" s="21" t="b">
        <v>1</v>
      </c>
      <c r="D5" s="21" t="b">
        <v>1</v>
      </c>
    </row>
    <row r="6">
      <c r="A6" s="21" t="s">
        <v>411</v>
      </c>
      <c r="B6" s="42">
        <v>3.0</v>
      </c>
      <c r="C6" s="21" t="b">
        <v>1</v>
      </c>
      <c r="D6" s="21" t="b">
        <v>1</v>
      </c>
    </row>
    <row r="7">
      <c r="A7" s="21" t="s">
        <v>412</v>
      </c>
      <c r="B7" s="42">
        <v>3.0</v>
      </c>
      <c r="C7" s="21" t="b">
        <v>1</v>
      </c>
      <c r="D7" s="21" t="b">
        <v>1</v>
      </c>
    </row>
    <row r="8">
      <c r="A8" s="21" t="s">
        <v>413</v>
      </c>
      <c r="B8" s="42">
        <v>5.0</v>
      </c>
      <c r="C8" s="21" t="b">
        <v>1</v>
      </c>
      <c r="D8" s="21" t="b">
        <v>1</v>
      </c>
    </row>
    <row r="9">
      <c r="A9" s="21" t="s">
        <v>414</v>
      </c>
      <c r="B9" s="42">
        <v>4.0</v>
      </c>
      <c r="C9" s="21" t="b">
        <v>0</v>
      </c>
      <c r="D9" s="21" t="b">
        <v>0</v>
      </c>
    </row>
    <row r="10">
      <c r="A10" s="21" t="s">
        <v>415</v>
      </c>
      <c r="B10" s="42">
        <v>4.0</v>
      </c>
      <c r="C10" s="21" t="b">
        <v>0</v>
      </c>
      <c r="D10" s="21" t="b">
        <v>0</v>
      </c>
    </row>
    <row r="11">
      <c r="A11" s="21" t="s">
        <v>416</v>
      </c>
      <c r="B11" s="42">
        <v>1.0</v>
      </c>
      <c r="C11" s="21" t="b">
        <v>1</v>
      </c>
      <c r="D11" s="21" t="b">
        <v>1</v>
      </c>
    </row>
    <row r="12">
      <c r="A12" s="21" t="s">
        <v>417</v>
      </c>
      <c r="B12" s="42">
        <v>4.0</v>
      </c>
      <c r="C12" s="21" t="b">
        <v>1</v>
      </c>
      <c r="D12" s="21" t="b">
        <v>1</v>
      </c>
    </row>
    <row r="13">
      <c r="A13" s="21" t="s">
        <v>418</v>
      </c>
      <c r="B13" s="42">
        <v>1.0</v>
      </c>
      <c r="C13" s="21" t="b">
        <v>1</v>
      </c>
      <c r="D13" s="21" t="b">
        <v>1</v>
      </c>
    </row>
    <row r="14">
      <c r="A14" s="21" t="s">
        <v>419</v>
      </c>
      <c r="B14" s="42">
        <v>2.0</v>
      </c>
      <c r="C14" s="21" t="b">
        <v>1</v>
      </c>
      <c r="D14" s="21" t="b">
        <v>1</v>
      </c>
    </row>
    <row r="15">
      <c r="A15" s="21" t="s">
        <v>420</v>
      </c>
      <c r="B15" s="42">
        <v>3.0</v>
      </c>
      <c r="C15" s="21" t="b">
        <v>1</v>
      </c>
      <c r="D15" s="21" t="b">
        <v>1</v>
      </c>
    </row>
    <row r="16">
      <c r="A16" s="21" t="s">
        <v>421</v>
      </c>
      <c r="B16" s="42">
        <v>2.0</v>
      </c>
      <c r="C16" s="21" t="b">
        <v>1</v>
      </c>
      <c r="D16" s="21" t="b">
        <v>1</v>
      </c>
    </row>
    <row r="17">
      <c r="A17" s="21" t="s">
        <v>422</v>
      </c>
      <c r="B17" s="42">
        <v>2.0</v>
      </c>
      <c r="C17" s="21" t="b">
        <v>1</v>
      </c>
      <c r="D17" s="21" t="b">
        <v>1</v>
      </c>
    </row>
    <row r="18">
      <c r="A18" s="21" t="s">
        <v>423</v>
      </c>
      <c r="B18" s="42">
        <v>2.0</v>
      </c>
      <c r="C18" s="21" t="b">
        <v>1</v>
      </c>
      <c r="D18" s="21" t="b">
        <v>1</v>
      </c>
    </row>
    <row r="19">
      <c r="A19" s="21" t="s">
        <v>424</v>
      </c>
      <c r="B19" s="42">
        <v>2.0</v>
      </c>
      <c r="C19" s="21" t="b">
        <v>1</v>
      </c>
      <c r="D19" s="21" t="b">
        <v>1</v>
      </c>
    </row>
    <row r="20">
      <c r="A20" s="21" t="s">
        <v>425</v>
      </c>
      <c r="B20" s="42">
        <v>3.0</v>
      </c>
      <c r="C20" s="21" t="b">
        <v>1</v>
      </c>
      <c r="D20" s="21" t="b">
        <v>1</v>
      </c>
    </row>
    <row r="21">
      <c r="A21" s="21" t="s">
        <v>426</v>
      </c>
      <c r="B21" s="42">
        <v>2.0</v>
      </c>
      <c r="C21" s="21" t="b">
        <v>1</v>
      </c>
      <c r="D21" s="21" t="b">
        <v>1</v>
      </c>
    </row>
    <row r="22">
      <c r="A22" s="21" t="s">
        <v>427</v>
      </c>
      <c r="B22" s="42">
        <v>2.0</v>
      </c>
      <c r="C22" s="21" t="b">
        <v>1</v>
      </c>
      <c r="D22" s="21" t="b">
        <v>1</v>
      </c>
    </row>
    <row r="23">
      <c r="A23" s="21" t="s">
        <v>428</v>
      </c>
      <c r="B23" s="42">
        <v>2.0</v>
      </c>
      <c r="C23" s="21" t="b">
        <v>1</v>
      </c>
      <c r="D23" s="21" t="b">
        <v>1</v>
      </c>
    </row>
    <row r="24">
      <c r="A24" s="21" t="s">
        <v>429</v>
      </c>
      <c r="B24" s="42">
        <v>2.0</v>
      </c>
      <c r="C24" s="21" t="b">
        <v>1</v>
      </c>
      <c r="D24" s="21" t="b">
        <v>1</v>
      </c>
    </row>
    <row r="25">
      <c r="A25" s="21" t="s">
        <v>430</v>
      </c>
      <c r="B25" s="42">
        <v>2.0</v>
      </c>
      <c r="C25" s="21" t="b">
        <v>0</v>
      </c>
      <c r="D25" s="21" t="b">
        <v>0</v>
      </c>
    </row>
    <row r="26">
      <c r="A26" s="21" t="s">
        <v>336</v>
      </c>
      <c r="B26" s="42">
        <v>5.0</v>
      </c>
      <c r="C26" s="21" t="b">
        <v>0</v>
      </c>
      <c r="D26" s="21" t="b">
        <v>0</v>
      </c>
    </row>
  </sheetData>
  <conditionalFormatting sqref="B2:B26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6">
    <cfRule type="expression" dxfId="5" priority="2">
      <formula>$C2=TRUE</formula>
    </cfRule>
  </conditionalFormatting>
  <dataValidations>
    <dataValidation type="custom" allowBlank="1" showDropDown="1" sqref="B2:B26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>
      <c r="A1" s="43" t="s">
        <v>431</v>
      </c>
      <c r="B1" s="43" t="s">
        <v>432</v>
      </c>
      <c r="D1" s="43" t="s">
        <v>433</v>
      </c>
      <c r="E1" s="43" t="s">
        <v>432</v>
      </c>
    </row>
    <row r="2">
      <c r="A2" s="44" t="str">
        <f>IFERROR(__xludf.DUMMYFUNCTION("FILTER(Table_PickableSprites[WORK],Table_PickableSprites[WORK]&lt;&gt;"""")"),"SPRITE_POTION_RED")</f>
        <v>SPRITE_POTION_RED</v>
      </c>
      <c r="B2" s="44" t="str">
        <f t="array" ref="B2:B10">IF(Table_Items[SpritePickable]&lt;&gt;"SPRITE_NONE",Table_Items[SpritePickable],"")</f>
        <v/>
      </c>
      <c r="D2" s="44" t="str">
        <f>IFERROR(__xludf.DUMMYFUNCTION("FILTER(Table_PickableNames[WORK],Table_PickableNames[WORK]&lt;&gt;"""")"),"NAME_ITEM_POTION")</f>
        <v>NAME_ITEM_POTION</v>
      </c>
      <c r="E2" s="44" t="str">
        <f t="array" ref="E2:E10">IF(Table_Items[SpritePickable]&lt;&gt;"SPRITE_NONE",Table_Items[Name],"")</f>
        <v/>
      </c>
    </row>
    <row r="3">
      <c r="A3" s="44" t="str">
        <f>IFERROR(__xludf.DUMMYFUNCTION("""COMPUTED_VALUE"""),"SPRITE_POTION_BLUE")</f>
        <v>SPRITE_POTION_BLUE</v>
      </c>
      <c r="B3" s="44" t="s">
        <v>20</v>
      </c>
      <c r="D3" s="44" t="str">
        <f>IFERROR(__xludf.DUMMYFUNCTION("""COMPUTED_VALUE"""),"NAME_ITEM_BLUE_POTION")</f>
        <v>NAME_ITEM_BLUE_POTION</v>
      </c>
      <c r="E3" s="44" t="s">
        <v>20</v>
      </c>
    </row>
    <row r="4">
      <c r="B4" s="44" t="s">
        <v>20</v>
      </c>
      <c r="E4" s="44" t="s">
        <v>20</v>
      </c>
    </row>
    <row r="5">
      <c r="B5" s="44" t="s">
        <v>20</v>
      </c>
      <c r="E5" s="44" t="s">
        <v>20</v>
      </c>
    </row>
    <row r="6">
      <c r="B6" s="44" t="s">
        <v>239</v>
      </c>
      <c r="E6" s="44" t="s">
        <v>244</v>
      </c>
    </row>
    <row r="7">
      <c r="B7" s="44" t="s">
        <v>248</v>
      </c>
      <c r="E7" s="44" t="s">
        <v>247</v>
      </c>
    </row>
    <row r="8">
      <c r="B8" s="44" t="s">
        <v>20</v>
      </c>
      <c r="E8" s="44" t="s">
        <v>20</v>
      </c>
    </row>
    <row r="9">
      <c r="B9" s="44" t="s">
        <v>20</v>
      </c>
      <c r="E9" s="44" t="s">
        <v>20</v>
      </c>
    </row>
    <row r="10">
      <c r="B10" s="44" t="s">
        <v>20</v>
      </c>
      <c r="E10" s="44" t="s">
        <v>20</v>
      </c>
    </row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